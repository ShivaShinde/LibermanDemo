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Form'!$A$1:$J$67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H41" i="1" l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K41" i="1" l="1"/>
  <c r="K40" i="1"/>
  <c r="K39" i="1"/>
  <c r="K38" i="1"/>
  <c r="K37" i="1"/>
  <c r="K36" i="1"/>
  <c r="M41" i="1"/>
  <c r="M40" i="1"/>
  <c r="M39" i="1"/>
  <c r="M38" i="1"/>
  <c r="M37" i="1"/>
  <c r="M36" i="1"/>
  <c r="L41" i="1"/>
  <c r="L40" i="1"/>
  <c r="L39" i="1"/>
  <c r="L38" i="1"/>
  <c r="L37" i="1"/>
  <c r="L36" i="1"/>
  <c r="D41" i="1" l="1"/>
  <c r="D39" i="1"/>
  <c r="D37" i="1"/>
  <c r="C41" i="1" l="1"/>
  <c r="C39" i="1"/>
  <c r="C37" i="1"/>
  <c r="F39" i="1"/>
  <c r="F37" i="1"/>
  <c r="F40" i="1"/>
  <c r="D40" i="1"/>
  <c r="C40" i="1"/>
  <c r="F38" i="1"/>
  <c r="D38" i="1"/>
  <c r="C38" i="1"/>
  <c r="F36" i="1"/>
  <c r="D36" i="1"/>
  <c r="C36" i="1"/>
  <c r="C35" i="1" l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K7" i="1" l="1"/>
  <c r="M7" i="1"/>
  <c r="F7" i="1" s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F41" i="1"/>
  <c r="M42" i="1"/>
  <c r="AA2" i="1"/>
  <c r="AA3" i="1"/>
  <c r="AA4" i="1"/>
  <c r="AA5" i="1"/>
  <c r="AA6" i="1"/>
  <c r="AA7" i="1"/>
  <c r="D9" i="1"/>
  <c r="D29" i="1"/>
  <c r="D30" i="1"/>
  <c r="D31" i="1"/>
  <c r="D32" i="1"/>
  <c r="D33" i="1"/>
  <c r="D34" i="1"/>
  <c r="D35" i="1"/>
  <c r="D10" i="1"/>
  <c r="D11" i="1"/>
  <c r="D12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L27" i="1"/>
  <c r="L28" i="1"/>
  <c r="L29" i="1"/>
  <c r="L30" i="1"/>
  <c r="L31" i="1"/>
  <c r="L32" i="1"/>
  <c r="L33" i="1"/>
  <c r="L34" i="1"/>
  <c r="L3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42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42" i="1"/>
  <c r="AA8" i="1"/>
  <c r="AA9" i="1"/>
  <c r="AA10" i="1"/>
  <c r="AA11" i="1"/>
  <c r="AA12" i="1"/>
  <c r="AA13" i="1"/>
  <c r="AA14" i="1"/>
  <c r="AA15" i="1"/>
  <c r="AA16" i="1"/>
  <c r="AA17" i="1"/>
  <c r="AA43" i="1"/>
  <c r="AA42" i="1"/>
  <c r="AA41" i="1"/>
  <c r="AA34" i="1"/>
  <c r="AA35" i="1"/>
  <c r="C2" i="6"/>
  <c r="H3" i="6"/>
  <c r="B55" i="1"/>
  <c r="B56" i="1"/>
  <c r="B59" i="1"/>
  <c r="B60" i="1"/>
  <c r="B61" i="1"/>
  <c r="B62" i="1"/>
  <c r="B63" i="1"/>
  <c r="B64" i="1"/>
  <c r="B65" i="1"/>
  <c r="B66" i="1"/>
  <c r="AD42" i="1"/>
  <c r="J1" i="5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C3" i="6"/>
  <c r="C4" i="6"/>
  <c r="C5" i="6"/>
  <c r="D3" i="6"/>
  <c r="D4" i="6"/>
  <c r="H4" i="6"/>
  <c r="C6" i="6"/>
  <c r="C7" i="6"/>
  <c r="C8" i="6"/>
  <c r="C9" i="6"/>
  <c r="C10" i="6"/>
  <c r="C11" i="6"/>
  <c r="C12" i="6"/>
  <c r="C13" i="6"/>
  <c r="B13" i="5" a="1"/>
  <c r="B13" i="5" s="1"/>
  <c r="A13" i="5" s="1"/>
  <c r="C14" i="6"/>
  <c r="C15" i="6"/>
  <c r="C16" i="6"/>
  <c r="B16" i="5" a="1"/>
  <c r="B16" i="5" s="1"/>
  <c r="C17" i="6"/>
  <c r="B17" i="5" a="1"/>
  <c r="B17" i="5" s="1"/>
  <c r="C18" i="6"/>
  <c r="B18" i="5" a="1"/>
  <c r="B18" i="5" s="1"/>
  <c r="C19" i="6"/>
  <c r="B19" i="5" a="1"/>
  <c r="B19" i="5" s="1"/>
  <c r="C20" i="6"/>
  <c r="B20" i="5" a="1"/>
  <c r="B20" i="5" s="1"/>
  <c r="C21" i="6"/>
  <c r="B21" i="5" a="1"/>
  <c r="B21" i="5" s="1"/>
  <c r="A21" i="5" s="1"/>
  <c r="C22" i="6"/>
  <c r="C23" i="6"/>
  <c r="B23" i="5" a="1"/>
  <c r="B23" i="5" s="1"/>
  <c r="C24" i="6"/>
  <c r="B24" i="5" a="1"/>
  <c r="B24" i="5" s="1"/>
  <c r="C25" i="6"/>
  <c r="B25" i="5" a="1"/>
  <c r="B25" i="5" s="1"/>
  <c r="C26" i="6"/>
  <c r="B26" i="5" a="1"/>
  <c r="B26" i="5" s="1"/>
  <c r="C27" i="6"/>
  <c r="B27" i="5" a="1"/>
  <c r="B27" i="5" s="1"/>
  <c r="C28" i="6"/>
  <c r="B28" i="5" a="1"/>
  <c r="B28" i="5" s="1"/>
  <c r="C29" i="6"/>
  <c r="B29" i="5" a="1"/>
  <c r="B29" i="5" s="1"/>
  <c r="A29" i="5" s="1"/>
  <c r="C30" i="6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1" i="6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G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D11" i="7"/>
  <c r="B3" i="4"/>
  <c r="B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F6" i="5" a="1"/>
  <c r="F6" i="5" s="1"/>
  <c r="C6" i="5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B22" i="5" l="1" a="1"/>
  <c r="B22" i="5" s="1"/>
  <c r="D6" i="5"/>
  <c r="F31" i="6"/>
  <c r="F35" i="1"/>
  <c r="F30" i="6" s="1"/>
  <c r="F34" i="1"/>
  <c r="F29" i="6" s="1"/>
  <c r="F33" i="1"/>
  <c r="F28" i="6" s="1"/>
  <c r="F32" i="1"/>
  <c r="F27" i="6" s="1"/>
  <c r="F31" i="1"/>
  <c r="F26" i="6" s="1"/>
  <c r="F30" i="1"/>
  <c r="F25" i="6" s="1"/>
  <c r="F29" i="1"/>
  <c r="F24" i="6" s="1"/>
  <c r="F28" i="1"/>
  <c r="F23" i="6" s="1"/>
  <c r="F27" i="1"/>
  <c r="F22" i="6" s="1"/>
  <c r="F26" i="1"/>
  <c r="F21" i="6" s="1"/>
  <c r="F25" i="1"/>
  <c r="F20" i="6" s="1"/>
  <c r="F24" i="1"/>
  <c r="F19" i="6" s="1"/>
  <c r="F23" i="1"/>
  <c r="F18" i="6" s="1"/>
  <c r="F22" i="1"/>
  <c r="F17" i="6" s="1"/>
  <c r="F21" i="1"/>
  <c r="F16" i="6" s="1"/>
  <c r="F20" i="1"/>
  <c r="F15" i="6" s="1"/>
  <c r="F19" i="1"/>
  <c r="F14" i="6" s="1"/>
  <c r="F18" i="1"/>
  <c r="F13" i="6" s="1"/>
  <c r="F17" i="1"/>
  <c r="F12" i="6" s="1"/>
  <c r="F16" i="1"/>
  <c r="F11" i="6" s="1"/>
  <c r="F15" i="1"/>
  <c r="F10" i="6" s="1"/>
  <c r="F14" i="1"/>
  <c r="F9" i="6" s="1"/>
  <c r="F13" i="1"/>
  <c r="F8" i="6" s="1"/>
  <c r="F12" i="1"/>
  <c r="F7" i="6" s="1"/>
  <c r="F11" i="1"/>
  <c r="F6" i="6" s="1"/>
  <c r="F10" i="1"/>
  <c r="F5" i="6" s="1"/>
  <c r="F9" i="1"/>
  <c r="F4" i="6" s="1"/>
  <c r="F8" i="1"/>
  <c r="F3" i="6" s="1"/>
  <c r="G22" i="5"/>
  <c r="C22" i="5"/>
  <c r="F22" i="5" a="1"/>
  <c r="F22" i="5" s="1"/>
  <c r="A22" i="5"/>
  <c r="H22" i="5" a="1"/>
  <c r="H22" i="5" s="1"/>
  <c r="D22" i="5"/>
  <c r="E22" i="5"/>
  <c r="H6" i="5" a="1"/>
  <c r="H6" i="5" s="1"/>
  <c r="A6" i="5"/>
  <c r="C23" i="5"/>
  <c r="D23" i="5"/>
  <c r="A23" i="5"/>
  <c r="G23" i="5"/>
  <c r="E23" i="5"/>
  <c r="F23" i="5" a="1"/>
  <c r="F23" i="5" s="1"/>
  <c r="H23" i="5" a="1"/>
  <c r="H23" i="5" s="1"/>
  <c r="E3" i="5"/>
  <c r="C30" i="5"/>
  <c r="D30" i="5"/>
  <c r="A30" i="5"/>
  <c r="F30" i="5" a="1"/>
  <c r="F30" i="5" s="1"/>
  <c r="G30" i="5"/>
  <c r="H30" i="5" a="1"/>
  <c r="H30" i="5" s="1"/>
  <c r="E30" i="5"/>
  <c r="B10" i="5" a="1"/>
  <c r="B10" i="5" s="1"/>
  <c r="K2" i="4"/>
  <c r="D25" i="5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54" i="1"/>
  <c r="C58" i="1"/>
  <c r="C55" i="1"/>
  <c r="C60" i="1"/>
  <c r="C64" i="1"/>
  <c r="C56" i="1"/>
  <c r="C61" i="1"/>
  <c r="C53" i="1"/>
  <c r="C65" i="1"/>
  <c r="C66" i="1"/>
  <c r="C57" i="1"/>
  <c r="C59" i="1"/>
  <c r="C62" i="1"/>
  <c r="C63" i="1"/>
  <c r="K5" i="4" l="1"/>
  <c r="C3" i="4"/>
  <c r="C11" i="7" s="1"/>
  <c r="A10" i="5"/>
  <c r="E10" i="5"/>
  <c r="F10" i="5" a="1"/>
  <c r="F10" i="5" s="1"/>
  <c r="C10" i="5"/>
  <c r="G10" i="5"/>
  <c r="D10" i="5"/>
  <c r="H10" i="5" a="1"/>
  <c r="H10" i="5" s="1"/>
  <c r="K4" i="4"/>
  <c r="A2" i="4" s="1"/>
  <c r="A3" i="7" s="1"/>
  <c r="D12" i="5"/>
  <c r="H12" i="5" a="1"/>
  <c r="H12" i="5" s="1"/>
  <c r="A12" i="5"/>
  <c r="E12" i="5"/>
  <c r="F12" i="5" a="1"/>
  <c r="F12" i="5" s="1"/>
  <c r="C12" i="5"/>
  <c r="G12" i="5"/>
  <c r="C67" i="1"/>
  <c r="A3" i="4" l="1"/>
  <c r="A11" i="7" s="1"/>
</calcChain>
</file>

<file path=xl/sharedStrings.xml><?xml version="1.0" encoding="utf-8"?>
<sst xmlns="http://schemas.openxmlformats.org/spreadsheetml/2006/main" count="1651" uniqueCount="647">
  <si>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</si>
  <si>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</si>
  <si>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</si>
  <si>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</si>
  <si>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</si>
  <si>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</si>
  <si>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</si>
  <si>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</si>
  <si>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</si>
  <si>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</si>
  <si>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</si>
  <si>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</si>
  <si>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</si>
  <si>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</si>
  <si>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</si>
  <si>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</si>
  <si>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</si>
  <si>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</si>
  <si>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</si>
  <si>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</si>
  <si>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</si>
  <si>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</si>
  <si>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</si>
  <si>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</si>
  <si>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</si>
  <si>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</si>
  <si>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</si>
  <si>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</si>
  <si>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</si>
  <si>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</si>
  <si>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</si>
  <si>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</si>
  <si>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</si>
  <si>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</si>
  <si>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</si>
  <si>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</si>
  <si>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</si>
  <si>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</si>
  <si>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</si>
  <si>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</si>
  <si>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</si>
  <si>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</si>
  <si>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</si>
  <si>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</si>
  <si>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</si>
  <si>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</si>
  <si>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</si>
  <si>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</si>
  <si>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</si>
  <si>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</si>
  <si>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</si>
  <si>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</si>
  <si>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</si>
  <si>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</si>
  <si>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</si>
  <si>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</si>
  <si>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</si>
  <si>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</si>
  <si>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</si>
  <si>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</si>
  <si>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</si>
  <si>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</si>
  <si>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</si>
  <si>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</si>
  <si>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</si>
  <si>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</si>
  <si>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</si>
  <si>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</si>
  <si>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</si>
  <si>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</si>
  <si>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</si>
  <si>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</si>
  <si>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</si>
  <si>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</si>
  <si>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</si>
  <si>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</si>
  <si>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</si>
  <si>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</si>
  <si>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</si>
  <si>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</si>
  <si>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</si>
  <si>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</si>
  <si>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</si>
  <si>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</si>
  <si>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</si>
  <si>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</si>
  <si>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</si>
  <si>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</si>
  <si>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</si>
  <si>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</si>
  <si>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</si>
  <si>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</si>
  <si>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</si>
  <si>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</si>
  <si>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</si>
  <si>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</si>
  <si>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</si>
  <si>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</si>
  <si>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</si>
  <si>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</si>
  <si>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</si>
  <si>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</si>
  <si>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</si>
  <si>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</si>
  <si>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</si>
  <si>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</si>
  <si>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</si>
  <si>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</si>
  <si>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</si>
  <si>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</si>
  <si>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</si>
  <si>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</si>
  <si>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</si>
  <si>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</si>
  <si>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</si>
  <si>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</si>
  <si>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</si>
  <si>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</si>
  <si>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</si>
  <si>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</si>
  <si>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</si>
  <si>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</si>
  <si>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</si>
  <si>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</si>
  <si>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</si>
  <si>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</si>
  <si>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</si>
  <si>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</si>
  <si>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</si>
  <si>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</si>
  <si>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</si>
  <si>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</si>
  <si>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</si>
  <si>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</si>
  <si>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</si>
  <si>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</si>
  <si>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</si>
  <si>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</si>
  <si>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</si>
  <si>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</si>
  <si>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</si>
  <si>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</si>
  <si>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</si>
  <si>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</si>
  <si>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</si>
  <si>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</si>
  <si>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</si>
  <si>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</si>
  <si>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</si>
  <si>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</si>
  <si>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</si>
  <si>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</si>
  <si>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</si>
  <si>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</si>
  <si>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</si>
  <si>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</si>
  <si>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</si>
  <si>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</si>
  <si>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</si>
  <si>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</si>
  <si>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</si>
  <si>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</si>
  <si>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</si>
  <si>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</si>
  <si>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</si>
  <si>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</si>
  <si>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</si>
  <si>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</si>
  <si>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</si>
  <si>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</si>
  <si>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</si>
  <si>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</si>
  <si>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</si>
  <si>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</si>
  <si>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</si>
  <si>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</si>
  <si>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</si>
  <si>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</si>
  <si>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</si>
  <si>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</si>
  <si>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</si>
  <si>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</si>
  <si>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</si>
  <si>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</si>
  <si>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</si>
  <si>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</si>
  <si>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</si>
  <si>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</si>
  <si>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</si>
  <si>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</si>
  <si>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</si>
  <si>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</si>
  <si>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</si>
  <si>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</si>
  <si>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</si>
  <si>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</si>
  <si>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</si>
  <si>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</si>
  <si>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</si>
  <si>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</si>
  <si>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</si>
  <si>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</si>
  <si>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</si>
  <si>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</si>
  <si>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</si>
  <si>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</si>
  <si>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</si>
  <si>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</si>
  <si>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</si>
  <si>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</si>
  <si>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</si>
  <si>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</si>
  <si>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</si>
  <si>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</si>
  <si>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</si>
  <si>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</si>
  <si>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</si>
  <si>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</si>
  <si>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</si>
  <si>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</si>
  <si>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</si>
  <si>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</si>
  <si>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</si>
  <si>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</si>
  <si>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</si>
  <si>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</si>
  <si>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</si>
  <si>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</si>
  <si>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</si>
  <si>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</si>
  <si>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</si>
  <si>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</si>
  <si>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</si>
  <si>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</si>
  <si>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</si>
  <si>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</si>
  <si>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</si>
  <si>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</si>
  <si>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</si>
  <si>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</si>
  <si>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</si>
  <si>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</si>
  <si>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</si>
  <si>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</si>
  <si>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</si>
  <si>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</si>
  <si>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</si>
  <si>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</si>
  <si>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</si>
  <si>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</si>
  <si>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</si>
  <si>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</si>
  <si>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</si>
  <si>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</si>
  <si>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</si>
  <si>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</si>
  <si>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</si>
  <si>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</si>
  <si>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</si>
  <si>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</si>
  <si>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</si>
  <si>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</si>
  <si>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</si>
  <si>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</si>
  <si>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</si>
  <si>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</si>
  <si>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</si>
  <si>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</si>
  <si>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</si>
  <si>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</si>
  <si>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</si>
  <si>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</si>
  <si>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</si>
  <si>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</si>
  <si>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</si>
  <si>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</si>
  <si>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</si>
  <si>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</si>
  <si>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</si>
  <si>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</si>
  <si>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</si>
  <si>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</si>
  <si>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</si>
  <si>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</si>
  <si>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</si>
  <si>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</si>
  <si>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</si>
  <si>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</si>
  <si>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</si>
  <si>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</si>
  <si>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</si>
  <si>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</si>
  <si>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</si>
  <si>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</si>
  <si>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</si>
  <si>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</si>
  <si>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</si>
  <si>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</si>
  <si>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</si>
  <si>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</si>
  <si>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</si>
  <si>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</si>
  <si>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</si>
  <si>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</si>
  <si>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</si>
  <si>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</si>
  <si>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</si>
  <si>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</si>
  <si>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</si>
  <si>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</si>
  <si>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</si>
  <si>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</si>
  <si>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</si>
  <si>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</si>
  <si>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</si>
  <si>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</si>
  <si>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</si>
  <si>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</si>
  <si>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</si>
  <si>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</si>
  <si>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</si>
  <si>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</si>
  <si>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</si>
  <si>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</si>
  <si>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</si>
  <si>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</si>
  <si>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</si>
  <si>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</si>
  <si>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</si>
  <si>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</si>
  <si>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</si>
  <si>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</si>
  <si>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</si>
  <si>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</si>
  <si>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</si>
  <si>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</si>
  <si>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</si>
  <si>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</si>
  <si>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</si>
  <si>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</si>
  <si>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</si>
  <si>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</si>
  <si>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</si>
  <si>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</si>
  <si>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</si>
  <si>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</si>
  <si>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</si>
  <si>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</si>
  <si>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</si>
  <si>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</si>
  <si>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</si>
  <si>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</si>
  <si>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</si>
  <si>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</si>
  <si>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</si>
  <si>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</si>
  <si>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</si>
  <si>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</si>
  <si>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</si>
  <si>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</si>
  <si>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</si>
  <si>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</si>
  <si>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</si>
  <si>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</si>
  <si>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</si>
  <si>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</si>
  <si>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</si>
  <si>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</si>
  <si>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</si>
  <si>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</si>
  <si>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</si>
  <si>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</si>
  <si>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</si>
  <si>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</si>
  <si>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</si>
  <si>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</si>
  <si>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</si>
  <si>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</si>
  <si>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</si>
  <si>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</si>
  <si>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</si>
  <si>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</si>
  <si>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</si>
  <si>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</si>
  <si>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</si>
  <si>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</si>
  <si>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</si>
  <si>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</si>
  <si>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</si>
  <si>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</si>
  <si>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</si>
  <si>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</si>
  <si>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</si>
  <si>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</si>
  <si>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</si>
  <si>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</si>
  <si>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</si>
  <si>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</si>
  <si>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</si>
  <si>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</si>
  <si>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</si>
  <si>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</si>
  <si>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</si>
  <si>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</si>
  <si>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</si>
  <si>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</si>
  <si>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</si>
  <si>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</si>
  <si>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</si>
  <si>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</si>
  <si>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</si>
  <si>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</si>
  <si>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</si>
  <si>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</si>
  <si>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</si>
  <si>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</si>
  <si>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</si>
  <si>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</si>
  <si>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</si>
  <si>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</si>
  <si>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</si>
  <si>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</si>
  <si>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</si>
  <si>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</si>
  <si>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</si>
  <si>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</si>
  <si>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</si>
  <si>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</si>
  <si>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</si>
  <si>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</si>
  <si>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</si>
  <si>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</si>
  <si>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</si>
  <si>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GL</t>
  </si>
  <si>
    <t>Location/Exp</t>
  </si>
  <si>
    <t>Total Amount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</si>
  <si>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</si>
  <si>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</si>
  <si>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</si>
  <si>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</si>
  <si>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</si>
  <si>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</si>
  <si>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</si>
  <si>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</si>
  <si>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</si>
  <si>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</si>
  <si>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</si>
  <si>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</si>
  <si>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</si>
  <si>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</si>
  <si>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</si>
  <si>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</si>
  <si>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</si>
  <si>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</si>
  <si>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</si>
  <si>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</si>
  <si>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</si>
  <si>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</si>
  <si>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</si>
  <si>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</si>
  <si>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</si>
  <si>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</si>
  <si>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</si>
  <si>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</si>
  <si>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</si>
  <si>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</si>
  <si>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Total Approved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</si>
  <si>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</si>
  <si>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</si>
  <si>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</si>
  <si>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</si>
  <si>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</si>
  <si>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</si>
  <si>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</si>
  <si>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</si>
  <si>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</si>
  <si>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</si>
  <si>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</si>
  <si>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</si>
  <si>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</si>
  <si>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</si>
  <si>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</si>
  <si>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</si>
  <si>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</si>
  <si>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</si>
  <si>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</si>
  <si>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</si>
  <si>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</si>
  <si>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</si>
  <si>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</si>
  <si>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</si>
  <si>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</si>
  <si>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</si>
  <si>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</si>
  <si>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</si>
  <si>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</si>
  <si>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</si>
  <si>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</si>
  <si>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</si>
  <si>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</si>
  <si>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</si>
  <si>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</si>
  <si>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</si>
  <si>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</si>
  <si>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</si>
  <si>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</si>
  <si>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</si>
  <si>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</si>
  <si>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</si>
  <si>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</si>
  <si>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</si>
  <si>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</si>
  <si>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</si>
  <si>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</si>
  <si>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</si>
  <si>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</si>
  <si>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</si>
  <si>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</si>
  <si>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</si>
  <si>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</si>
  <si>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</si>
  <si>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</si>
  <si>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</si>
  <si>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</si>
  <si>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</si>
  <si>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</si>
  <si>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</si>
  <si>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</si>
  <si>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</si>
  <si>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</si>
  <si>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</si>
  <si>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</si>
  <si>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</si>
  <si>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</si>
  <si>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</si>
  <si>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</si>
  <si>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</si>
  <si>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</si>
  <si>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</si>
  <si>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</si>
  <si>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</si>
  <si>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</si>
  <si>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</si>
  <si>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</si>
  <si>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</si>
  <si>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</si>
  <si>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</si>
  <si>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</si>
  <si>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</si>
  <si>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</si>
  <si>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</si>
  <si>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</si>
  <si>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</si>
  <si>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</si>
  <si>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</si>
  <si>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</si>
  <si>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</si>
  <si>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</si>
  <si>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</si>
  <si>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</si>
  <si>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</si>
  <si>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</si>
  <si>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</si>
  <si>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</si>
  <si>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</si>
  <si>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</si>
  <si>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</si>
  <si>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</si>
  <si>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</si>
  <si>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</si>
  <si>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</si>
  <si>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</si>
  <si>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</si>
  <si>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</si>
  <si>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</si>
  <si>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</si>
  <si>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</si>
  <si>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</si>
  <si>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</si>
  <si>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</si>
  <si>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</si>
  <si>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</si>
  <si>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</si>
  <si>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</si>
  <si>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</si>
  <si>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</si>
  <si>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</si>
  <si>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</si>
  <si>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</si>
  <si>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</si>
  <si>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</si>
  <si>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</si>
  <si>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</si>
  <si>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</si>
  <si>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</si>
  <si>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</si>
  <si>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</si>
  <si>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</si>
  <si>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</si>
  <si>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</si>
  <si>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</si>
  <si>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</si>
  <si>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</si>
  <si>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</si>
  <si>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</si>
  <si>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</si>
  <si>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</si>
  <si>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</si>
  <si>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</si>
  <si>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</si>
  <si>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</si>
  <si>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</si>
  <si>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</si>
  <si>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</si>
  <si>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</si>
  <si>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0540</t>
  </si>
  <si>
    <t>0541</t>
  </si>
  <si>
    <t>0542</t>
  </si>
  <si>
    <t>River Park Place TH POA</t>
  </si>
  <si>
    <t>One Bloomingdale Pace CA</t>
  </si>
  <si>
    <t>0543</t>
  </si>
  <si>
    <t>Tamarac of Addison</t>
  </si>
  <si>
    <t>PM EGV</t>
  </si>
  <si>
    <t>INTERNAL USE ONLY - DO NOT EDIT BELOW THIS LINE</t>
  </si>
  <si>
    <t>Formula Column.  Data Populated Automatically</t>
  </si>
  <si>
    <t>Data Entry Column. Data Populated Manually</t>
  </si>
  <si>
    <t>Date Submitted:</t>
  </si>
  <si>
    <t>Name:</t>
  </si>
  <si>
    <t>Department:</t>
  </si>
  <si>
    <t>Select Prop/Corp For Bill-Back</t>
  </si>
  <si>
    <t xml:space="preserve"> Notes (Explanations for Expense Type: "Other" Expenses)</t>
  </si>
  <si>
    <t>Please note:  If you need more expense line items than shown, please fill out a separate expense statement.</t>
  </si>
  <si>
    <t>LMSC - Construction</t>
  </si>
  <si>
    <t>LFS - Financial</t>
  </si>
  <si>
    <t>LMS - Corporate</t>
  </si>
  <si>
    <t>0544</t>
  </si>
  <si>
    <t>0545</t>
  </si>
  <si>
    <t>0546</t>
  </si>
  <si>
    <t>Ontario Street Lofts CA</t>
  </si>
  <si>
    <t>Shoreline Towers Condo</t>
  </si>
  <si>
    <t xml:space="preserve">Cobblestone Condo </t>
  </si>
  <si>
    <t>L8510-C</t>
  </si>
  <si>
    <t>Ontario Street Lofts</t>
  </si>
  <si>
    <t>Cobblestone Condo</t>
  </si>
  <si>
    <t>Lieberman Management Services - Expense Statement v1.2</t>
  </si>
  <si>
    <t>Cell Phone Reimbursement</t>
  </si>
  <si>
    <t>Lisette Lopez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</si>
</sst>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#,##0.0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12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8" fillId="4" borderId="3" xfId="0" applyFont="1" applyFill="1" applyBorder="1" applyAlignment="1">
      <alignment horizontal="center" wrapText="1"/>
    </xf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4" borderId="11" xfId="0" applyFont="1" applyFill="1" applyBorder="1" applyAlignment="1">
      <alignment horizontal="center" wrapText="1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8" fillId="4" borderId="12" xfId="0" applyFont="1" applyFill="1" applyBorder="1" applyAlignment="1">
      <alignment horizontal="center" wrapText="1"/>
    </xf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7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2" fillId="0" borderId="18" xfId="4" applyFont="1" applyBorder="1">
      <alignment vertical="center"/>
    </xf>
    <xf numFmtId="49" fontId="2" fillId="0" borderId="17" xfId="0" quotePrefix="1" applyNumberFormat="1" applyFont="1" applyFill="1" applyBorder="1"/>
    <xf numFmtId="0" fontId="8" fillId="8" borderId="3" xfId="0" applyFont="1" applyFill="1" applyBorder="1" applyAlignment="1">
      <alignment horizontal="center" wrapText="1"/>
    </xf>
    <xf numFmtId="0" fontId="8" fillId="8" borderId="11" xfId="0" applyFont="1" applyFill="1" applyBorder="1" applyAlignment="1">
      <alignment horizontal="center" wrapText="1"/>
    </xf>
    <xf numFmtId="0" fontId="13" fillId="8" borderId="13" xfId="0" applyFont="1" applyFill="1" applyBorder="1" applyAlignment="1">
      <alignment horizontal="center" wrapText="1"/>
    </xf>
    <xf numFmtId="0" fontId="3" fillId="0" borderId="0" xfId="4" applyFill="1" applyBorder="1">
      <alignment vertical="center"/>
    </xf>
    <xf numFmtId="0" fontId="14" fillId="4" borderId="3" xfId="0" applyFont="1" applyFill="1" applyBorder="1" applyAlignment="1">
      <alignment horizontal="right"/>
    </xf>
    <xf numFmtId="0" fontId="14" fillId="4" borderId="11" xfId="0" applyFont="1" applyFill="1" applyBorder="1" applyAlignment="1">
      <alignment horizontal="right"/>
    </xf>
    <xf numFmtId="0" fontId="7" fillId="8" borderId="1" xfId="0" applyFont="1" applyFill="1" applyBorder="1"/>
    <xf numFmtId="0" fontId="7" fillId="8" borderId="2" xfId="0" applyFont="1" applyFill="1" applyBorder="1"/>
    <xf numFmtId="164" fontId="7" fillId="0" borderId="0" xfId="0" applyNumberFormat="1" applyFont="1" applyBorder="1" applyProtection="1">
      <protection locked="0"/>
    </xf>
    <xf numFmtId="0" fontId="7" fillId="8" borderId="38" xfId="0" applyFont="1" applyFill="1" applyBorder="1"/>
    <xf numFmtId="4" fontId="10" fillId="8" borderId="34" xfId="0" applyNumberFormat="1" applyFont="1" applyFill="1" applyBorder="1" applyAlignment="1" applyProtection="1">
      <alignment horizontal="center"/>
    </xf>
    <xf numFmtId="0" fontId="11" fillId="8" borderId="4" xfId="0" applyFont="1" applyFill="1" applyBorder="1" applyAlignment="1" applyProtection="1"/>
    <xf numFmtId="0" fontId="0" fillId="8" borderId="6" xfId="0" applyFill="1" applyBorder="1" applyProtection="1"/>
    <xf numFmtId="165" fontId="6" fillId="0" borderId="0" xfId="0" applyNumberFormat="1" applyFont="1" applyFill="1" applyBorder="1" applyAlignment="1" applyProtection="1">
      <alignment horizontal="center"/>
      <protection locked="0"/>
    </xf>
    <xf numFmtId="0" fontId="1" fillId="0" borderId="18" xfId="0" applyFont="1" applyBorder="1"/>
    <xf numFmtId="0" fontId="1" fillId="0" borderId="18" xfId="0" applyFont="1" applyFill="1" applyBorder="1"/>
    <xf numFmtId="0" fontId="2" fillId="0" borderId="0" xfId="0" quotePrefix="1" applyFont="1"/>
    <xf numFmtId="0" fontId="2" fillId="0" borderId="0" xfId="0" applyFont="1"/>
    <xf numFmtId="0" fontId="7" fillId="0" borderId="3" xfId="0" applyFont="1" applyFill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" fontId="7" fillId="0" borderId="3" xfId="0" applyNumberFormat="1" applyFont="1" applyFill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4" xfId="0" applyBorder="1" applyAlignment="1"/>
    <xf numFmtId="0" fontId="14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4" fillId="4" borderId="35" xfId="0" applyFont="1" applyFill="1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1" fillId="0" borderId="37" xfId="0" applyFont="1" applyBorder="1" applyAlignment="1">
      <alignment horizontal="center" wrapText="1"/>
    </xf>
    <xf numFmtId="14" fontId="7" fillId="0" borderId="3" xfId="0" applyNumberFormat="1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15"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43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495</v>
      </c>
      <c r="B1" s="45" t="s">
        <v>496</v>
      </c>
      <c r="C1" t="s">
        <v>497</v>
      </c>
      <c r="D1" t="s">
        <v>498</v>
      </c>
      <c r="E1" s="43" t="s">
        <v>499</v>
      </c>
      <c r="F1" s="43" t="s">
        <v>500</v>
      </c>
      <c r="G1" t="s">
        <v>501</v>
      </c>
      <c r="H1" s="46" t="s">
        <v>502</v>
      </c>
      <c r="J1" t="str">
        <f>IF(DAY('Entry Form'!E4)&lt;23,MONTH('Entry Form'!E4)&amp;"/23/"&amp;YEAR('Entry Form'!E4),MONTH('Entry Form'!E4)+1&amp;"/23/"&amp;YEAR('Entry Form'!E4))</f>
        <v>5/23/2012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0020</v>
      </c>
      <c r="C2" t="str">
        <f>IF(B2="","","01")</f>
        <v>01</v>
      </c>
      <c r="D2" t="str">
        <f>IF(B2="","","9R")</f>
        <v>9R</v>
      </c>
      <c r="E2" s="43" t="str">
        <f>IF(B2="","",$J$1)</f>
        <v>5/23/2012</v>
      </c>
      <c r="F2" s="47" t="str">
        <f t="array" ref="F2">IF(B2="","",CONCATENATE("ER ",INDEX(expense,SMALL(IF(_xlnm.Criteria="Yes",ROW(_xlnm.Criteria)),ROW(1:1)),4)))</f>
        <v>ER Cell Phone Reimbursement</v>
      </c>
      <c r="G2" t="str">
        <f>IF(B2="","","CR")</f>
        <v>CR</v>
      </c>
      <c r="H2">
        <f t="array" ref="H2">IF(B2="","",INDEX(expense,SMALL(IF(_xlnm.Criteria="Yes",ROW(_xlnm.Criteria)),ROW(1:1)),8))</f>
        <v>25</v>
      </c>
    </row>
    <row r="3" spans="1:10" x14ac:dyDescent="0.2">
      <c r="A3" t="str">
        <f t="shared" ref="A3:A50" si="0">IF(B3="","","99-0991")</f>
        <v>99-0991</v>
      </c>
      <c r="B3" t="str">
        <f t="array" ref="B3">IF(ISERROR(INDEX(expense,SMALL(IF(_xlnm.Criteria="Yes",ROW(_xlnm.Criteria)),ROW(2:2)),3)),"",INDEX(expense,SMALL(IF(_xlnm.Criteria="Yes",ROW(_xlnm.Criteria)),ROW(2:2)),3))</f>
        <v>0020</v>
      </c>
      <c r="C3" t="str">
        <f t="shared" ref="C3:C50" si="1">IF(B3="","","01")</f>
        <v>01</v>
      </c>
      <c r="D3" t="str">
        <f t="shared" ref="D3:D50" si="2">IF(B3="","","9R")</f>
        <v>9R</v>
      </c>
      <c r="E3" s="43" t="str">
        <f t="shared" ref="E3:E50" si="3">IF(B3="","",$J$1)</f>
        <v>5/23/2012</v>
      </c>
      <c r="F3" s="47" t="str">
        <f t="array" ref="F3">IF(B3="","",CONCATENATE("ER ",INDEX(expense,SMALL(IF(_xlnm.Criteria="Yes",ROW(_xlnm.Criteria)),ROW(2:2)),4)))</f>
        <v>ER Cell Phone Reimbursement</v>
      </c>
      <c r="G3" t="str">
        <f t="shared" ref="G3:G50" si="4">IF(B3="","","CR")</f>
        <v>CR</v>
      </c>
      <c r="H3">
        <f t="array" ref="H3">IF(B3="","",INDEX(expense,SMALL(IF(_xlnm.Criteria="Yes",ROW(_xlnm.Criteria)),ROW(2:2)),8))</f>
        <v>25</v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43" t="str">
        <f t="shared" si="3"/>
        <v/>
      </c>
      <c r="F4" s="47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43" t="str">
        <f t="shared" si="3"/>
        <v/>
      </c>
      <c r="F5" s="47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43" t="str">
        <f t="shared" si="3"/>
        <v/>
      </c>
      <c r="F6" s="47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43" t="str">
        <f t="shared" si="3"/>
        <v/>
      </c>
      <c r="F7" s="47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43" t="str">
        <f t="shared" si="3"/>
        <v/>
      </c>
      <c r="F8" s="47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43" t="str">
        <f t="shared" si="3"/>
        <v/>
      </c>
      <c r="F9" s="47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43" t="str">
        <f t="shared" si="3"/>
        <v/>
      </c>
      <c r="F10" s="47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43" t="str">
        <f t="shared" si="3"/>
        <v/>
      </c>
      <c r="F11" s="47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43" t="str">
        <f t="shared" si="3"/>
        <v/>
      </c>
      <c r="F12" s="47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43" t="str">
        <f t="shared" si="3"/>
        <v/>
      </c>
      <c r="F13" s="47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43" t="str">
        <f t="shared" si="3"/>
        <v/>
      </c>
      <c r="F14" s="47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43" t="str">
        <f t="shared" si="3"/>
        <v/>
      </c>
      <c r="F15" s="47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43" t="str">
        <f t="shared" si="3"/>
        <v/>
      </c>
      <c r="F16" s="47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43" t="str">
        <f t="shared" si="3"/>
        <v/>
      </c>
      <c r="F17" s="47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43" t="str">
        <f t="shared" si="3"/>
        <v/>
      </c>
      <c r="F18" s="47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43" t="str">
        <f t="shared" si="3"/>
        <v/>
      </c>
      <c r="F19" s="47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43" t="str">
        <f t="shared" si="3"/>
        <v/>
      </c>
      <c r="F20" s="47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43" t="str">
        <f t="shared" si="3"/>
        <v/>
      </c>
      <c r="F21" s="47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43" t="str">
        <f t="shared" si="3"/>
        <v/>
      </c>
      <c r="F22" s="47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43" t="str">
        <f t="shared" si="3"/>
        <v/>
      </c>
      <c r="F23" s="47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43" t="str">
        <f t="shared" si="3"/>
        <v/>
      </c>
      <c r="F24" s="47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43" t="str">
        <f t="shared" si="3"/>
        <v/>
      </c>
      <c r="F25" s="47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43" t="str">
        <f t="shared" si="3"/>
        <v/>
      </c>
      <c r="F26" s="47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43" t="str">
        <f t="shared" si="3"/>
        <v/>
      </c>
      <c r="F27" s="47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43" t="str">
        <f t="shared" si="3"/>
        <v/>
      </c>
      <c r="F28" s="47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43" t="str">
        <f t="shared" si="3"/>
        <v/>
      </c>
      <c r="F29" s="47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43" t="str">
        <f t="shared" si="3"/>
        <v/>
      </c>
      <c r="F30" s="47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43" t="str">
        <f t="shared" si="3"/>
        <v/>
      </c>
      <c r="F31" s="47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43" t="str">
        <f t="shared" si="3"/>
        <v/>
      </c>
      <c r="F32" s="47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43" t="str">
        <f t="shared" si="3"/>
        <v/>
      </c>
      <c r="F33" s="47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43" t="str">
        <f t="shared" si="3"/>
        <v/>
      </c>
      <c r="F34" s="47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43" t="str">
        <f t="shared" si="3"/>
        <v/>
      </c>
      <c r="F35" s="47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43" t="str">
        <f t="shared" si="3"/>
        <v/>
      </c>
      <c r="F36" s="47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43" t="str">
        <f t="shared" si="3"/>
        <v/>
      </c>
      <c r="F37" s="47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43" t="str">
        <f t="shared" si="3"/>
        <v/>
      </c>
      <c r="F38" s="47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43" t="str">
        <f t="shared" si="3"/>
        <v/>
      </c>
      <c r="F39" s="47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43" t="str">
        <f t="shared" si="3"/>
        <v/>
      </c>
      <c r="F40" s="47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43" t="str">
        <f t="shared" si="3"/>
        <v/>
      </c>
      <c r="F41" s="47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43" t="str">
        <f t="shared" si="3"/>
        <v/>
      </c>
      <c r="F42" s="47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43" t="str">
        <f t="shared" si="3"/>
        <v/>
      </c>
      <c r="F43" s="47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43" t="str">
        <f t="shared" si="3"/>
        <v/>
      </c>
      <c r="F44" s="47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43" t="str">
        <f t="shared" si="3"/>
        <v/>
      </c>
      <c r="F45" s="47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43" t="str">
        <f t="shared" si="3"/>
        <v/>
      </c>
      <c r="F46" s="47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43" t="str">
        <f t="shared" si="3"/>
        <v/>
      </c>
      <c r="F47" s="47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43" t="str">
        <f t="shared" si="3"/>
        <v/>
      </c>
      <c r="F48" s="47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43" t="str">
        <f t="shared" si="3"/>
        <v/>
      </c>
      <c r="F49" s="47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43" t="str">
        <f t="shared" si="3"/>
        <v/>
      </c>
      <c r="F50" s="47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47"/>
    </row>
    <row r="52" spans="1:8" x14ac:dyDescent="0.2">
      <c r="F52" s="47"/>
    </row>
    <row r="53" spans="1:8" x14ac:dyDescent="0.2">
      <c r="F53" s="47"/>
    </row>
    <row r="54" spans="1:8" x14ac:dyDescent="0.2">
      <c r="F54" s="47"/>
    </row>
    <row r="55" spans="1:8" x14ac:dyDescent="0.2">
      <c r="F55" s="47"/>
    </row>
    <row r="56" spans="1:8" x14ac:dyDescent="0.2">
      <c r="F56" s="47"/>
    </row>
    <row r="57" spans="1:8" x14ac:dyDescent="0.2">
      <c r="F57" s="47"/>
    </row>
    <row r="58" spans="1:8" x14ac:dyDescent="0.2">
      <c r="F58" s="47"/>
    </row>
    <row r="59" spans="1:8" x14ac:dyDescent="0.2">
      <c r="F59" s="47"/>
    </row>
    <row r="60" spans="1:8" x14ac:dyDescent="0.2">
      <c r="F60" s="47"/>
    </row>
    <row r="61" spans="1:8" x14ac:dyDescent="0.2">
      <c r="F61" s="47"/>
    </row>
    <row r="62" spans="1:8" x14ac:dyDescent="0.2">
      <c r="F62" s="47"/>
    </row>
    <row r="63" spans="1:8" x14ac:dyDescent="0.2">
      <c r="F63" s="47"/>
    </row>
    <row r="64" spans="1:8" x14ac:dyDescent="0.2">
      <c r="F64" s="47"/>
    </row>
    <row r="65" spans="6:6" x14ac:dyDescent="0.2">
      <c r="F65" s="47"/>
    </row>
    <row r="66" spans="6:6" x14ac:dyDescent="0.2">
      <c r="F66" s="47"/>
    </row>
    <row r="67" spans="6:6" x14ac:dyDescent="0.2">
      <c r="F67" s="47"/>
    </row>
    <row r="68" spans="6:6" x14ac:dyDescent="0.2">
      <c r="F68" s="47"/>
    </row>
    <row r="69" spans="6:6" x14ac:dyDescent="0.2">
      <c r="F69" s="47"/>
    </row>
    <row r="70" spans="6:6" x14ac:dyDescent="0.2">
      <c r="F70" s="47"/>
    </row>
    <row r="71" spans="6:6" x14ac:dyDescent="0.2">
      <c r="F71" s="47"/>
    </row>
    <row r="72" spans="6:6" x14ac:dyDescent="0.2">
      <c r="F72" s="47"/>
    </row>
    <row r="73" spans="6:6" x14ac:dyDescent="0.2">
      <c r="F73" s="47"/>
    </row>
    <row r="74" spans="6:6" x14ac:dyDescent="0.2">
      <c r="F74" s="47"/>
    </row>
    <row r="75" spans="6:6" x14ac:dyDescent="0.2">
      <c r="F75" s="47"/>
    </row>
    <row r="76" spans="6:6" x14ac:dyDescent="0.2">
      <c r="F76" s="47"/>
    </row>
    <row r="77" spans="6:6" x14ac:dyDescent="0.2">
      <c r="F77" s="47"/>
    </row>
    <row r="78" spans="6:6" x14ac:dyDescent="0.2">
      <c r="F78" s="47"/>
    </row>
    <row r="79" spans="6:6" x14ac:dyDescent="0.2">
      <c r="F79" s="47"/>
    </row>
    <row r="80" spans="6:6" x14ac:dyDescent="0.2">
      <c r="F80" s="47"/>
    </row>
    <row r="81" spans="6:6" x14ac:dyDescent="0.2">
      <c r="F81" s="47"/>
    </row>
    <row r="82" spans="6:6" x14ac:dyDescent="0.2">
      <c r="F82" s="47"/>
    </row>
    <row r="83" spans="6:6" x14ac:dyDescent="0.2">
      <c r="F83" s="47"/>
    </row>
    <row r="84" spans="6:6" x14ac:dyDescent="0.2">
      <c r="F84" s="47"/>
    </row>
    <row r="85" spans="6:6" x14ac:dyDescent="0.2">
      <c r="F85" s="47"/>
    </row>
    <row r="86" spans="6:6" x14ac:dyDescent="0.2">
      <c r="F86" s="47"/>
    </row>
    <row r="87" spans="6:6" x14ac:dyDescent="0.2">
      <c r="F87" s="47"/>
    </row>
    <row r="88" spans="6:6" x14ac:dyDescent="0.2">
      <c r="F88" s="47"/>
    </row>
    <row r="89" spans="6:6" x14ac:dyDescent="0.2">
      <c r="F89" s="47"/>
    </row>
    <row r="90" spans="6:6" x14ac:dyDescent="0.2">
      <c r="F90" s="47"/>
    </row>
    <row r="91" spans="6:6" x14ac:dyDescent="0.2">
      <c r="F91" s="47"/>
    </row>
    <row r="92" spans="6:6" x14ac:dyDescent="0.2">
      <c r="F92" s="47"/>
    </row>
    <row r="93" spans="6:6" x14ac:dyDescent="0.2">
      <c r="F93" s="47"/>
    </row>
    <row r="94" spans="6:6" x14ac:dyDescent="0.2">
      <c r="F94" s="47"/>
    </row>
    <row r="95" spans="6:6" x14ac:dyDescent="0.2">
      <c r="F95" s="47"/>
    </row>
    <row r="96" spans="6:6" x14ac:dyDescent="0.2">
      <c r="F96" s="47"/>
    </row>
    <row r="97" spans="6:6" x14ac:dyDescent="0.2">
      <c r="F97" s="47"/>
    </row>
    <row r="98" spans="6:6" x14ac:dyDescent="0.2">
      <c r="F98" s="47"/>
    </row>
    <row r="99" spans="6:6" x14ac:dyDescent="0.2">
      <c r="F99" s="47"/>
    </row>
    <row r="100" spans="6:6" x14ac:dyDescent="0.2">
      <c r="F100" s="47"/>
    </row>
    <row r="101" spans="6:6" x14ac:dyDescent="0.2">
      <c r="F101" s="47"/>
    </row>
    <row r="102" spans="6:6" x14ac:dyDescent="0.2">
      <c r="F102" s="47"/>
    </row>
    <row r="103" spans="6:6" x14ac:dyDescent="0.2">
      <c r="F103" s="47"/>
    </row>
    <row r="104" spans="6:6" x14ac:dyDescent="0.2">
      <c r="F104" s="47"/>
    </row>
    <row r="105" spans="6:6" x14ac:dyDescent="0.2">
      <c r="F105" s="47"/>
    </row>
    <row r="106" spans="6:6" x14ac:dyDescent="0.2">
      <c r="F106" s="47"/>
    </row>
    <row r="107" spans="6:6" x14ac:dyDescent="0.2">
      <c r="F107" s="47"/>
    </row>
    <row r="108" spans="6:6" x14ac:dyDescent="0.2">
      <c r="F108" s="47"/>
    </row>
    <row r="109" spans="6:6" x14ac:dyDescent="0.2">
      <c r="F109" s="47"/>
    </row>
    <row r="110" spans="6:6" x14ac:dyDescent="0.2">
      <c r="F110" s="47"/>
    </row>
    <row r="111" spans="6:6" x14ac:dyDescent="0.2">
      <c r="F111" s="47"/>
    </row>
    <row r="112" spans="6:6" x14ac:dyDescent="0.2">
      <c r="F112" s="47"/>
    </row>
    <row r="113" spans="6:6" x14ac:dyDescent="0.2">
      <c r="F113" s="47"/>
    </row>
    <row r="114" spans="6:6" x14ac:dyDescent="0.2">
      <c r="F114" s="47"/>
    </row>
    <row r="115" spans="6:6" x14ac:dyDescent="0.2">
      <c r="F115" s="47"/>
    </row>
    <row r="116" spans="6:6" x14ac:dyDescent="0.2">
      <c r="F116" s="47"/>
    </row>
    <row r="117" spans="6:6" x14ac:dyDescent="0.2">
      <c r="F117" s="47"/>
    </row>
    <row r="118" spans="6:6" x14ac:dyDescent="0.2">
      <c r="F118" s="47"/>
    </row>
    <row r="119" spans="6:6" x14ac:dyDescent="0.2">
      <c r="F119" s="47"/>
    </row>
    <row r="120" spans="6:6" x14ac:dyDescent="0.2">
      <c r="F120" s="47"/>
    </row>
    <row r="121" spans="6:6" x14ac:dyDescent="0.2">
      <c r="F121" s="47"/>
    </row>
    <row r="122" spans="6:6" x14ac:dyDescent="0.2">
      <c r="F122" s="47"/>
    </row>
    <row r="123" spans="6:6" x14ac:dyDescent="0.2">
      <c r="F123" s="47"/>
    </row>
    <row r="124" spans="6:6" x14ac:dyDescent="0.2">
      <c r="F124" s="47"/>
    </row>
    <row r="125" spans="6:6" x14ac:dyDescent="0.2">
      <c r="F125" s="47"/>
    </row>
    <row r="126" spans="6:6" x14ac:dyDescent="0.2">
      <c r="F126" s="47"/>
    </row>
    <row r="127" spans="6:6" x14ac:dyDescent="0.2">
      <c r="F127" s="47"/>
    </row>
    <row r="128" spans="6:6" x14ac:dyDescent="0.2">
      <c r="F128" s="47"/>
    </row>
    <row r="129" spans="6:6" x14ac:dyDescent="0.2">
      <c r="F129" s="47"/>
    </row>
    <row r="130" spans="6:6" x14ac:dyDescent="0.2">
      <c r="F130" s="47"/>
    </row>
    <row r="131" spans="6:6" x14ac:dyDescent="0.2">
      <c r="F131" s="47"/>
    </row>
    <row r="132" spans="6:6" x14ac:dyDescent="0.2">
      <c r="F132" s="47"/>
    </row>
    <row r="133" spans="6:6" x14ac:dyDescent="0.2">
      <c r="F133" s="47"/>
    </row>
    <row r="134" spans="6:6" x14ac:dyDescent="0.2">
      <c r="F134" s="47"/>
    </row>
    <row r="135" spans="6:6" x14ac:dyDescent="0.2">
      <c r="F135" s="47"/>
    </row>
    <row r="136" spans="6:6" x14ac:dyDescent="0.2">
      <c r="F136" s="47"/>
    </row>
    <row r="137" spans="6:6" x14ac:dyDescent="0.2">
      <c r="F137" s="47"/>
    </row>
    <row r="138" spans="6:6" x14ac:dyDescent="0.2">
      <c r="F138" s="47"/>
    </row>
    <row r="139" spans="6:6" x14ac:dyDescent="0.2">
      <c r="F139" s="47"/>
    </row>
    <row r="140" spans="6:6" x14ac:dyDescent="0.2">
      <c r="F140" s="47"/>
    </row>
    <row r="141" spans="6:6" x14ac:dyDescent="0.2">
      <c r="F141" s="47"/>
    </row>
    <row r="142" spans="6:6" x14ac:dyDescent="0.2">
      <c r="F142" s="47"/>
    </row>
    <row r="143" spans="6:6" x14ac:dyDescent="0.2">
      <c r="F143" s="47"/>
    </row>
    <row r="144" spans="6:6" x14ac:dyDescent="0.2">
      <c r="F144" s="47"/>
    </row>
    <row r="145" spans="6:6" x14ac:dyDescent="0.2">
      <c r="F145" s="47"/>
    </row>
    <row r="146" spans="6:6" x14ac:dyDescent="0.2">
      <c r="F146" s="47"/>
    </row>
    <row r="147" spans="6:6" x14ac:dyDescent="0.2">
      <c r="F147" s="47"/>
    </row>
    <row r="148" spans="6:6" x14ac:dyDescent="0.2">
      <c r="F148" s="47"/>
    </row>
    <row r="149" spans="6:6" x14ac:dyDescent="0.2">
      <c r="F149" s="47"/>
    </row>
    <row r="150" spans="6:6" x14ac:dyDescent="0.2">
      <c r="F150" s="47"/>
    </row>
    <row r="151" spans="6:6" x14ac:dyDescent="0.2">
      <c r="F151" s="47"/>
    </row>
    <row r="152" spans="6:6" x14ac:dyDescent="0.2">
      <c r="F152" s="47"/>
    </row>
    <row r="153" spans="6:6" x14ac:dyDescent="0.2">
      <c r="F153" s="47"/>
    </row>
    <row r="154" spans="6:6" x14ac:dyDescent="0.2">
      <c r="F154" s="47"/>
    </row>
    <row r="155" spans="6:6" x14ac:dyDescent="0.2">
      <c r="F155" s="47"/>
    </row>
    <row r="156" spans="6:6" x14ac:dyDescent="0.2">
      <c r="F156" s="47"/>
    </row>
    <row r="157" spans="6:6" x14ac:dyDescent="0.2">
      <c r="F157" s="47"/>
    </row>
    <row r="158" spans="6:6" x14ac:dyDescent="0.2">
      <c r="F158" s="47"/>
    </row>
    <row r="159" spans="6:6" x14ac:dyDescent="0.2">
      <c r="F159" s="47"/>
    </row>
    <row r="160" spans="6:6" x14ac:dyDescent="0.2">
      <c r="F160" s="47"/>
    </row>
    <row r="161" spans="6:6" x14ac:dyDescent="0.2">
      <c r="F161" s="47"/>
    </row>
    <row r="162" spans="6:6" x14ac:dyDescent="0.2">
      <c r="F162" s="47"/>
    </row>
    <row r="163" spans="6:6" x14ac:dyDescent="0.2">
      <c r="F163" s="47"/>
    </row>
    <row r="164" spans="6:6" x14ac:dyDescent="0.2">
      <c r="F164" s="47"/>
    </row>
    <row r="165" spans="6:6" x14ac:dyDescent="0.2">
      <c r="F165" s="47"/>
    </row>
    <row r="166" spans="6:6" x14ac:dyDescent="0.2">
      <c r="F166" s="47"/>
    </row>
    <row r="167" spans="6:6" x14ac:dyDescent="0.2">
      <c r="F167" s="47"/>
    </row>
    <row r="168" spans="6:6" x14ac:dyDescent="0.2">
      <c r="F168" s="47"/>
    </row>
    <row r="169" spans="6:6" x14ac:dyDescent="0.2">
      <c r="F169" s="47"/>
    </row>
    <row r="170" spans="6:6" x14ac:dyDescent="0.2">
      <c r="F170" s="47"/>
    </row>
    <row r="171" spans="6:6" x14ac:dyDescent="0.2">
      <c r="F171" s="47"/>
    </row>
    <row r="172" spans="6:6" x14ac:dyDescent="0.2">
      <c r="F172" s="47"/>
    </row>
    <row r="173" spans="6:6" x14ac:dyDescent="0.2">
      <c r="F173" s="47"/>
    </row>
    <row r="174" spans="6:6" x14ac:dyDescent="0.2">
      <c r="F174" s="47"/>
    </row>
    <row r="175" spans="6:6" x14ac:dyDescent="0.2">
      <c r="F175" s="47"/>
    </row>
    <row r="176" spans="6:6" x14ac:dyDescent="0.2">
      <c r="F176" s="47"/>
    </row>
    <row r="177" spans="6:6" x14ac:dyDescent="0.2">
      <c r="F177" s="47"/>
    </row>
    <row r="178" spans="6:6" x14ac:dyDescent="0.2">
      <c r="F178" s="47"/>
    </row>
    <row r="179" spans="6:6" x14ac:dyDescent="0.2">
      <c r="F179" s="47"/>
    </row>
    <row r="180" spans="6:6" x14ac:dyDescent="0.2">
      <c r="F180" s="47"/>
    </row>
    <row r="181" spans="6:6" x14ac:dyDescent="0.2">
      <c r="F181" s="47"/>
    </row>
    <row r="182" spans="6:6" x14ac:dyDescent="0.2">
      <c r="F182" s="47"/>
    </row>
    <row r="183" spans="6:6" x14ac:dyDescent="0.2">
      <c r="F183" s="47"/>
    </row>
    <row r="184" spans="6:6" x14ac:dyDescent="0.2">
      <c r="F184" s="47"/>
    </row>
    <row r="185" spans="6:6" x14ac:dyDescent="0.2">
      <c r="F185" s="47"/>
    </row>
    <row r="186" spans="6:6" x14ac:dyDescent="0.2">
      <c r="F186" s="47"/>
    </row>
    <row r="187" spans="6:6" x14ac:dyDescent="0.2">
      <c r="F187" s="47"/>
    </row>
    <row r="188" spans="6:6" x14ac:dyDescent="0.2">
      <c r="F188" s="47"/>
    </row>
    <row r="189" spans="6:6" x14ac:dyDescent="0.2">
      <c r="F189" s="47"/>
    </row>
    <row r="190" spans="6:6" x14ac:dyDescent="0.2">
      <c r="F190" s="47"/>
    </row>
    <row r="191" spans="6:6" x14ac:dyDescent="0.2">
      <c r="F191" s="47"/>
    </row>
    <row r="192" spans="6:6" x14ac:dyDescent="0.2">
      <c r="F192" s="47"/>
    </row>
    <row r="193" spans="6:6" x14ac:dyDescent="0.2">
      <c r="F193" s="47"/>
    </row>
    <row r="194" spans="6:6" x14ac:dyDescent="0.2">
      <c r="F194" s="47"/>
    </row>
    <row r="195" spans="6:6" x14ac:dyDescent="0.2">
      <c r="F195" s="47"/>
    </row>
    <row r="196" spans="6:6" x14ac:dyDescent="0.2">
      <c r="F196" s="47"/>
    </row>
    <row r="197" spans="6:6" x14ac:dyDescent="0.2">
      <c r="F197" s="47"/>
    </row>
    <row r="198" spans="6:6" x14ac:dyDescent="0.2">
      <c r="F198" s="47"/>
    </row>
    <row r="199" spans="6:6" x14ac:dyDescent="0.2">
      <c r="F199" s="47"/>
    </row>
    <row r="200" spans="6:6" x14ac:dyDescent="0.2">
      <c r="F200" s="47"/>
    </row>
    <row r="201" spans="6:6" x14ac:dyDescent="0.2">
      <c r="F201" s="47"/>
    </row>
    <row r="202" spans="6:6" x14ac:dyDescent="0.2">
      <c r="F202" s="47"/>
    </row>
    <row r="203" spans="6:6" x14ac:dyDescent="0.2">
      <c r="F203" s="47"/>
    </row>
    <row r="204" spans="6:6" x14ac:dyDescent="0.2">
      <c r="F204" s="47"/>
    </row>
    <row r="205" spans="6:6" x14ac:dyDescent="0.2">
      <c r="F205" s="47"/>
    </row>
    <row r="206" spans="6:6" x14ac:dyDescent="0.2">
      <c r="F206" s="47"/>
    </row>
    <row r="207" spans="6:6" x14ac:dyDescent="0.2">
      <c r="F207" s="47"/>
    </row>
    <row r="208" spans="6:6" x14ac:dyDescent="0.2">
      <c r="F208" s="47"/>
    </row>
    <row r="209" spans="6:6" x14ac:dyDescent="0.2">
      <c r="F209" s="47"/>
    </row>
    <row r="210" spans="6:6" x14ac:dyDescent="0.2">
      <c r="F210" s="47"/>
    </row>
    <row r="211" spans="6:6" x14ac:dyDescent="0.2">
      <c r="F211" s="47"/>
    </row>
    <row r="212" spans="6:6" x14ac:dyDescent="0.2">
      <c r="F212" s="47"/>
    </row>
    <row r="213" spans="6:6" x14ac:dyDescent="0.2">
      <c r="F213" s="47"/>
    </row>
    <row r="214" spans="6:6" x14ac:dyDescent="0.2">
      <c r="F214" s="47"/>
    </row>
    <row r="215" spans="6:6" x14ac:dyDescent="0.2">
      <c r="F215" s="47"/>
    </row>
    <row r="216" spans="6:6" x14ac:dyDescent="0.2">
      <c r="F216" s="47"/>
    </row>
    <row r="217" spans="6:6" x14ac:dyDescent="0.2">
      <c r="F217" s="47"/>
    </row>
    <row r="218" spans="6:6" x14ac:dyDescent="0.2">
      <c r="F218" s="47"/>
    </row>
    <row r="219" spans="6:6" x14ac:dyDescent="0.2">
      <c r="F219" s="47"/>
    </row>
    <row r="220" spans="6:6" x14ac:dyDescent="0.2">
      <c r="F220" s="47"/>
    </row>
    <row r="221" spans="6:6" x14ac:dyDescent="0.2">
      <c r="F221" s="47"/>
    </row>
    <row r="222" spans="6:6" x14ac:dyDescent="0.2">
      <c r="F222" s="47"/>
    </row>
    <row r="223" spans="6:6" x14ac:dyDescent="0.2">
      <c r="F223" s="47"/>
    </row>
    <row r="224" spans="6:6" x14ac:dyDescent="0.2">
      <c r="F224" s="47"/>
    </row>
    <row r="225" spans="6:6" x14ac:dyDescent="0.2">
      <c r="F225" s="47"/>
    </row>
    <row r="226" spans="6:6" x14ac:dyDescent="0.2">
      <c r="F226" s="47"/>
    </row>
    <row r="227" spans="6:6" x14ac:dyDescent="0.2">
      <c r="F227" s="47"/>
    </row>
    <row r="228" spans="6:6" x14ac:dyDescent="0.2">
      <c r="F228" s="47"/>
    </row>
    <row r="229" spans="6:6" x14ac:dyDescent="0.2">
      <c r="F229" s="47"/>
    </row>
    <row r="230" spans="6:6" x14ac:dyDescent="0.2">
      <c r="F230" s="47"/>
    </row>
    <row r="231" spans="6:6" x14ac:dyDescent="0.2">
      <c r="F231" s="47"/>
    </row>
    <row r="232" spans="6:6" x14ac:dyDescent="0.2">
      <c r="F232" s="47"/>
    </row>
    <row r="233" spans="6:6" x14ac:dyDescent="0.2">
      <c r="F233" s="47"/>
    </row>
    <row r="234" spans="6:6" x14ac:dyDescent="0.2">
      <c r="F234" s="47"/>
    </row>
    <row r="235" spans="6:6" x14ac:dyDescent="0.2">
      <c r="F235" s="47"/>
    </row>
    <row r="236" spans="6:6" x14ac:dyDescent="0.2">
      <c r="F236" s="47"/>
    </row>
    <row r="237" spans="6:6" x14ac:dyDescent="0.2">
      <c r="F237" s="47"/>
    </row>
    <row r="238" spans="6:6" x14ac:dyDescent="0.2">
      <c r="F238" s="47"/>
    </row>
    <row r="239" spans="6:6" x14ac:dyDescent="0.2">
      <c r="F239" s="47"/>
    </row>
    <row r="240" spans="6:6" x14ac:dyDescent="0.2">
      <c r="F240" s="47"/>
    </row>
    <row r="241" spans="6:6" x14ac:dyDescent="0.2">
      <c r="F241" s="47"/>
    </row>
    <row r="242" spans="6:6" x14ac:dyDescent="0.2">
      <c r="F242" s="47"/>
    </row>
    <row r="243" spans="6:6" x14ac:dyDescent="0.2">
      <c r="F243" s="47"/>
    </row>
    <row r="244" spans="6:6" x14ac:dyDescent="0.2">
      <c r="F244" s="47"/>
    </row>
    <row r="245" spans="6:6" x14ac:dyDescent="0.2">
      <c r="F245" s="47"/>
    </row>
    <row r="246" spans="6:6" x14ac:dyDescent="0.2">
      <c r="F246" s="47"/>
    </row>
    <row r="247" spans="6:6" x14ac:dyDescent="0.2">
      <c r="F247" s="47"/>
    </row>
    <row r="248" spans="6:6" x14ac:dyDescent="0.2">
      <c r="F248" s="47"/>
    </row>
    <row r="249" spans="6:6" x14ac:dyDescent="0.2">
      <c r="F249" s="47"/>
    </row>
    <row r="250" spans="6:6" x14ac:dyDescent="0.2">
      <c r="F250" s="47"/>
    </row>
    <row r="251" spans="6:6" x14ac:dyDescent="0.2">
      <c r="F251" s="47"/>
    </row>
    <row r="252" spans="6:6" x14ac:dyDescent="0.2">
      <c r="F252" s="47"/>
    </row>
    <row r="253" spans="6:6" x14ac:dyDescent="0.2">
      <c r="F253" s="47"/>
    </row>
    <row r="254" spans="6:6" x14ac:dyDescent="0.2">
      <c r="F254" s="47"/>
    </row>
    <row r="255" spans="6:6" x14ac:dyDescent="0.2">
      <c r="F255" s="47"/>
    </row>
    <row r="256" spans="6:6" x14ac:dyDescent="0.2">
      <c r="F256" s="47"/>
    </row>
    <row r="257" spans="6:6" x14ac:dyDescent="0.2">
      <c r="F257" s="47"/>
    </row>
    <row r="258" spans="6:6" x14ac:dyDescent="0.2">
      <c r="F258" s="47"/>
    </row>
    <row r="259" spans="6:6" x14ac:dyDescent="0.2">
      <c r="F259" s="47"/>
    </row>
    <row r="260" spans="6:6" x14ac:dyDescent="0.2">
      <c r="F260" s="47"/>
    </row>
    <row r="261" spans="6:6" x14ac:dyDescent="0.2">
      <c r="F261" s="47"/>
    </row>
    <row r="262" spans="6:6" x14ac:dyDescent="0.2">
      <c r="F262" s="47"/>
    </row>
    <row r="263" spans="6:6" x14ac:dyDescent="0.2">
      <c r="F263" s="47"/>
    </row>
    <row r="264" spans="6:6" x14ac:dyDescent="0.2">
      <c r="F264" s="47"/>
    </row>
    <row r="265" spans="6:6" x14ac:dyDescent="0.2">
      <c r="F265" s="47"/>
    </row>
    <row r="266" spans="6:6" x14ac:dyDescent="0.2">
      <c r="F266" s="47"/>
    </row>
    <row r="267" spans="6:6" x14ac:dyDescent="0.2">
      <c r="F267" s="47"/>
    </row>
    <row r="268" spans="6:6" x14ac:dyDescent="0.2">
      <c r="F268" s="47"/>
    </row>
    <row r="269" spans="6:6" x14ac:dyDescent="0.2">
      <c r="F269" s="47"/>
    </row>
    <row r="270" spans="6:6" x14ac:dyDescent="0.2">
      <c r="F270" s="47"/>
    </row>
    <row r="271" spans="6:6" x14ac:dyDescent="0.2">
      <c r="F271" s="47"/>
    </row>
    <row r="272" spans="6:6" x14ac:dyDescent="0.2">
      <c r="F272" s="47"/>
    </row>
    <row r="273" spans="6:6" x14ac:dyDescent="0.2">
      <c r="F273" s="47"/>
    </row>
    <row r="274" spans="6:6" x14ac:dyDescent="0.2">
      <c r="F274" s="47"/>
    </row>
    <row r="275" spans="6:6" x14ac:dyDescent="0.2">
      <c r="F275" s="47"/>
    </row>
    <row r="276" spans="6:6" x14ac:dyDescent="0.2">
      <c r="F276" s="47"/>
    </row>
    <row r="277" spans="6:6" x14ac:dyDescent="0.2">
      <c r="F277" s="47"/>
    </row>
    <row r="278" spans="6:6" x14ac:dyDescent="0.2">
      <c r="F278" s="47"/>
    </row>
    <row r="279" spans="6:6" x14ac:dyDescent="0.2">
      <c r="F279" s="47"/>
    </row>
    <row r="280" spans="6:6" x14ac:dyDescent="0.2">
      <c r="F280" s="47"/>
    </row>
    <row r="281" spans="6:6" x14ac:dyDescent="0.2">
      <c r="F281" s="47"/>
    </row>
    <row r="282" spans="6:6" x14ac:dyDescent="0.2">
      <c r="F282" s="47"/>
    </row>
    <row r="283" spans="6:6" x14ac:dyDescent="0.2">
      <c r="F283" s="47"/>
    </row>
    <row r="284" spans="6:6" x14ac:dyDescent="0.2">
      <c r="F284" s="47"/>
    </row>
    <row r="285" spans="6:6" x14ac:dyDescent="0.2">
      <c r="F285" s="47"/>
    </row>
    <row r="286" spans="6:6" x14ac:dyDescent="0.2">
      <c r="F286" s="47"/>
    </row>
    <row r="287" spans="6:6" x14ac:dyDescent="0.2">
      <c r="F287" s="47"/>
    </row>
    <row r="288" spans="6:6" x14ac:dyDescent="0.2">
      <c r="F288" s="47"/>
    </row>
    <row r="289" spans="6:6" x14ac:dyDescent="0.2">
      <c r="F289" s="47"/>
    </row>
    <row r="290" spans="6:6" x14ac:dyDescent="0.2">
      <c r="F290" s="47"/>
    </row>
    <row r="291" spans="6:6" x14ac:dyDescent="0.2">
      <c r="F291" s="47"/>
    </row>
    <row r="292" spans="6:6" x14ac:dyDescent="0.2">
      <c r="F292" s="47"/>
    </row>
    <row r="293" spans="6:6" x14ac:dyDescent="0.2">
      <c r="F293" s="47"/>
    </row>
    <row r="294" spans="6:6" x14ac:dyDescent="0.2">
      <c r="F294" s="47"/>
    </row>
    <row r="295" spans="6:6" x14ac:dyDescent="0.2">
      <c r="F295" s="47"/>
    </row>
    <row r="296" spans="6:6" x14ac:dyDescent="0.2">
      <c r="F296" s="47"/>
    </row>
    <row r="297" spans="6:6" x14ac:dyDescent="0.2">
      <c r="F297" s="47"/>
    </row>
    <row r="298" spans="6:6" x14ac:dyDescent="0.2">
      <c r="F298" s="47"/>
    </row>
    <row r="299" spans="6:6" x14ac:dyDescent="0.2">
      <c r="F299" s="47"/>
    </row>
    <row r="300" spans="6:6" x14ac:dyDescent="0.2">
      <c r="F300" s="47"/>
    </row>
    <row r="301" spans="6:6" x14ac:dyDescent="0.2">
      <c r="F301" s="47"/>
    </row>
    <row r="302" spans="6:6" x14ac:dyDescent="0.2">
      <c r="F302" s="47"/>
    </row>
    <row r="303" spans="6:6" x14ac:dyDescent="0.2">
      <c r="F303" s="47"/>
    </row>
    <row r="304" spans="6:6" x14ac:dyDescent="0.2">
      <c r="F304" s="47"/>
    </row>
    <row r="305" spans="6:6" x14ac:dyDescent="0.2">
      <c r="F305" s="47"/>
    </row>
    <row r="306" spans="6:6" x14ac:dyDescent="0.2">
      <c r="F306" s="47"/>
    </row>
    <row r="307" spans="6:6" x14ac:dyDescent="0.2">
      <c r="F307" s="47"/>
    </row>
    <row r="308" spans="6:6" x14ac:dyDescent="0.2">
      <c r="F308" s="47"/>
    </row>
    <row r="309" spans="6:6" x14ac:dyDescent="0.2">
      <c r="F309" s="47"/>
    </row>
    <row r="310" spans="6:6" x14ac:dyDescent="0.2">
      <c r="F310" s="47"/>
    </row>
    <row r="311" spans="6:6" x14ac:dyDescent="0.2">
      <c r="F311" s="47"/>
    </row>
    <row r="312" spans="6:6" x14ac:dyDescent="0.2">
      <c r="F312" s="47"/>
    </row>
    <row r="313" spans="6:6" x14ac:dyDescent="0.2">
      <c r="F313" s="47"/>
    </row>
    <row r="314" spans="6:6" x14ac:dyDescent="0.2">
      <c r="F314" s="47"/>
    </row>
    <row r="315" spans="6:6" x14ac:dyDescent="0.2">
      <c r="F315" s="47"/>
    </row>
    <row r="316" spans="6:6" x14ac:dyDescent="0.2">
      <c r="F316" s="47"/>
    </row>
    <row r="317" spans="6:6" x14ac:dyDescent="0.2">
      <c r="F317" s="47"/>
    </row>
    <row r="318" spans="6:6" x14ac:dyDescent="0.2">
      <c r="F318" s="47"/>
    </row>
    <row r="319" spans="6:6" x14ac:dyDescent="0.2">
      <c r="F319" s="47"/>
    </row>
    <row r="320" spans="6:6" x14ac:dyDescent="0.2">
      <c r="F320" s="47"/>
    </row>
    <row r="321" spans="6:6" x14ac:dyDescent="0.2">
      <c r="F321" s="47"/>
    </row>
    <row r="322" spans="6:6" x14ac:dyDescent="0.2">
      <c r="F322" s="47"/>
    </row>
    <row r="323" spans="6:6" x14ac:dyDescent="0.2">
      <c r="F323" s="47"/>
    </row>
    <row r="324" spans="6:6" x14ac:dyDescent="0.2">
      <c r="F324" s="47"/>
    </row>
    <row r="325" spans="6:6" x14ac:dyDescent="0.2">
      <c r="F325" s="47"/>
    </row>
    <row r="326" spans="6:6" x14ac:dyDescent="0.2">
      <c r="F326" s="47"/>
    </row>
    <row r="327" spans="6:6" x14ac:dyDescent="0.2">
      <c r="F327" s="47"/>
    </row>
    <row r="328" spans="6:6" x14ac:dyDescent="0.2">
      <c r="F328" s="47"/>
    </row>
    <row r="329" spans="6:6" x14ac:dyDescent="0.2">
      <c r="F329" s="47"/>
    </row>
    <row r="330" spans="6:6" x14ac:dyDescent="0.2">
      <c r="F330" s="47"/>
    </row>
    <row r="331" spans="6:6" x14ac:dyDescent="0.2">
      <c r="F331" s="47"/>
    </row>
    <row r="332" spans="6:6" x14ac:dyDescent="0.2">
      <c r="F332" s="47"/>
    </row>
    <row r="333" spans="6:6" x14ac:dyDescent="0.2">
      <c r="F333" s="47"/>
    </row>
    <row r="334" spans="6:6" x14ac:dyDescent="0.2">
      <c r="F334" s="47"/>
    </row>
    <row r="335" spans="6:6" x14ac:dyDescent="0.2">
      <c r="F335" s="47"/>
    </row>
    <row r="336" spans="6:6" x14ac:dyDescent="0.2">
      <c r="F336" s="47"/>
    </row>
    <row r="337" spans="6:6" x14ac:dyDescent="0.2">
      <c r="F337" s="47"/>
    </row>
    <row r="338" spans="6:6" x14ac:dyDescent="0.2">
      <c r="F338" s="47"/>
    </row>
    <row r="339" spans="6:6" x14ac:dyDescent="0.2">
      <c r="F339" s="47"/>
    </row>
    <row r="340" spans="6:6" x14ac:dyDescent="0.2">
      <c r="F340" s="47"/>
    </row>
    <row r="341" spans="6:6" x14ac:dyDescent="0.2">
      <c r="F341" s="47"/>
    </row>
    <row r="342" spans="6:6" x14ac:dyDescent="0.2">
      <c r="F342" s="47"/>
    </row>
    <row r="343" spans="6:6" x14ac:dyDescent="0.2">
      <c r="F343" s="47"/>
    </row>
    <row r="344" spans="6:6" x14ac:dyDescent="0.2">
      <c r="F344" s="47"/>
    </row>
    <row r="345" spans="6:6" x14ac:dyDescent="0.2">
      <c r="F345" s="47"/>
    </row>
    <row r="346" spans="6:6" x14ac:dyDescent="0.2">
      <c r="F346" s="47"/>
    </row>
    <row r="347" spans="6:6" x14ac:dyDescent="0.2">
      <c r="F347" s="47"/>
    </row>
    <row r="348" spans="6:6" x14ac:dyDescent="0.2">
      <c r="F348" s="47"/>
    </row>
    <row r="349" spans="6:6" x14ac:dyDescent="0.2">
      <c r="F349" s="47"/>
    </row>
    <row r="350" spans="6:6" x14ac:dyDescent="0.2">
      <c r="F350" s="47"/>
    </row>
    <row r="351" spans="6:6" x14ac:dyDescent="0.2">
      <c r="F351" s="47"/>
    </row>
    <row r="352" spans="6:6" x14ac:dyDescent="0.2">
      <c r="F352" s="47"/>
    </row>
    <row r="353" spans="6:6" x14ac:dyDescent="0.2">
      <c r="F353" s="47"/>
    </row>
    <row r="354" spans="6:6" x14ac:dyDescent="0.2">
      <c r="F354" s="47"/>
    </row>
    <row r="355" spans="6:6" x14ac:dyDescent="0.2">
      <c r="F355" s="47"/>
    </row>
    <row r="356" spans="6:6" x14ac:dyDescent="0.2">
      <c r="F356" s="47"/>
    </row>
    <row r="357" spans="6:6" x14ac:dyDescent="0.2">
      <c r="F357" s="47"/>
    </row>
    <row r="358" spans="6:6" x14ac:dyDescent="0.2">
      <c r="F358" s="47"/>
    </row>
    <row r="359" spans="6:6" x14ac:dyDescent="0.2">
      <c r="F359" s="47"/>
    </row>
    <row r="360" spans="6:6" x14ac:dyDescent="0.2">
      <c r="F360" s="47"/>
    </row>
    <row r="361" spans="6:6" x14ac:dyDescent="0.2">
      <c r="F361" s="47"/>
    </row>
    <row r="362" spans="6:6" x14ac:dyDescent="0.2">
      <c r="F362" s="47"/>
    </row>
    <row r="363" spans="6:6" x14ac:dyDescent="0.2">
      <c r="F363" s="47"/>
    </row>
    <row r="364" spans="6:6" x14ac:dyDescent="0.2">
      <c r="F364" s="47"/>
    </row>
    <row r="365" spans="6:6" x14ac:dyDescent="0.2">
      <c r="F365" s="47"/>
    </row>
    <row r="366" spans="6:6" x14ac:dyDescent="0.2">
      <c r="F366" s="47"/>
    </row>
    <row r="367" spans="6:6" x14ac:dyDescent="0.2">
      <c r="F367" s="47"/>
    </row>
    <row r="368" spans="6:6" x14ac:dyDescent="0.2">
      <c r="F368" s="47"/>
    </row>
    <row r="369" spans="6:6" x14ac:dyDescent="0.2">
      <c r="F369" s="47"/>
    </row>
    <row r="370" spans="6:6" x14ac:dyDescent="0.2">
      <c r="F370" s="47"/>
    </row>
    <row r="371" spans="6:6" x14ac:dyDescent="0.2">
      <c r="F371" s="47"/>
    </row>
    <row r="372" spans="6:6" x14ac:dyDescent="0.2">
      <c r="F372" s="47"/>
    </row>
    <row r="373" spans="6:6" x14ac:dyDescent="0.2">
      <c r="F373" s="47"/>
    </row>
    <row r="374" spans="6:6" x14ac:dyDescent="0.2">
      <c r="F374" s="47"/>
    </row>
    <row r="375" spans="6:6" x14ac:dyDescent="0.2">
      <c r="F375" s="47"/>
    </row>
    <row r="376" spans="6:6" x14ac:dyDescent="0.2">
      <c r="F376" s="47"/>
    </row>
    <row r="377" spans="6:6" x14ac:dyDescent="0.2">
      <c r="F377" s="47"/>
    </row>
    <row r="378" spans="6:6" x14ac:dyDescent="0.2">
      <c r="F378" s="47"/>
    </row>
    <row r="379" spans="6:6" x14ac:dyDescent="0.2">
      <c r="F379" s="47"/>
    </row>
    <row r="380" spans="6:6" x14ac:dyDescent="0.2">
      <c r="F380" s="47"/>
    </row>
    <row r="381" spans="6:6" x14ac:dyDescent="0.2">
      <c r="F381" s="47"/>
    </row>
    <row r="382" spans="6:6" x14ac:dyDescent="0.2">
      <c r="F382" s="47"/>
    </row>
    <row r="383" spans="6:6" x14ac:dyDescent="0.2">
      <c r="F383" s="47"/>
    </row>
    <row r="384" spans="6:6" x14ac:dyDescent="0.2">
      <c r="F384" s="47"/>
    </row>
    <row r="385" spans="6:6" x14ac:dyDescent="0.2">
      <c r="F385" s="47"/>
    </row>
    <row r="386" spans="6:6" x14ac:dyDescent="0.2">
      <c r="F386" s="47"/>
    </row>
    <row r="387" spans="6:6" x14ac:dyDescent="0.2">
      <c r="F387" s="47"/>
    </row>
    <row r="388" spans="6:6" x14ac:dyDescent="0.2">
      <c r="F388" s="47"/>
    </row>
    <row r="389" spans="6:6" x14ac:dyDescent="0.2">
      <c r="F389" s="47"/>
    </row>
    <row r="390" spans="6:6" x14ac:dyDescent="0.2">
      <c r="F390" s="47"/>
    </row>
    <row r="391" spans="6:6" x14ac:dyDescent="0.2">
      <c r="F391" s="47"/>
    </row>
    <row r="392" spans="6:6" x14ac:dyDescent="0.2">
      <c r="F392" s="47"/>
    </row>
    <row r="393" spans="6:6" x14ac:dyDescent="0.2">
      <c r="F393" s="47"/>
    </row>
    <row r="394" spans="6:6" x14ac:dyDescent="0.2">
      <c r="F394" s="47"/>
    </row>
    <row r="395" spans="6:6" x14ac:dyDescent="0.2">
      <c r="F395" s="47"/>
    </row>
    <row r="396" spans="6:6" x14ac:dyDescent="0.2">
      <c r="F396" s="47"/>
    </row>
    <row r="397" spans="6:6" x14ac:dyDescent="0.2">
      <c r="F397" s="47"/>
    </row>
    <row r="398" spans="6:6" x14ac:dyDescent="0.2">
      <c r="F398" s="47"/>
    </row>
    <row r="399" spans="6:6" x14ac:dyDescent="0.2">
      <c r="F399" s="47"/>
    </row>
    <row r="400" spans="6:6" x14ac:dyDescent="0.2">
      <c r="F400" s="47"/>
    </row>
    <row r="401" spans="6:6" x14ac:dyDescent="0.2">
      <c r="F401" s="47"/>
    </row>
    <row r="402" spans="6:6" x14ac:dyDescent="0.2">
      <c r="F402" s="47"/>
    </row>
    <row r="403" spans="6:6" x14ac:dyDescent="0.2">
      <c r="F403" s="47"/>
    </row>
    <row r="404" spans="6:6" x14ac:dyDescent="0.2">
      <c r="F404" s="47"/>
    </row>
    <row r="405" spans="6:6" x14ac:dyDescent="0.2">
      <c r="F405" s="47"/>
    </row>
    <row r="406" spans="6:6" x14ac:dyDescent="0.2">
      <c r="F406" s="47"/>
    </row>
    <row r="407" spans="6:6" x14ac:dyDescent="0.2">
      <c r="F407" s="47"/>
    </row>
    <row r="408" spans="6:6" x14ac:dyDescent="0.2">
      <c r="F408" s="47"/>
    </row>
    <row r="409" spans="6:6" x14ac:dyDescent="0.2">
      <c r="F409" s="47"/>
    </row>
    <row r="410" spans="6:6" x14ac:dyDescent="0.2">
      <c r="F410" s="47"/>
    </row>
    <row r="411" spans="6:6" x14ac:dyDescent="0.2">
      <c r="F411" s="47"/>
    </row>
    <row r="412" spans="6:6" x14ac:dyDescent="0.2">
      <c r="F412" s="47"/>
    </row>
    <row r="413" spans="6:6" x14ac:dyDescent="0.2">
      <c r="F413" s="47"/>
    </row>
    <row r="414" spans="6:6" x14ac:dyDescent="0.2">
      <c r="F414" s="47"/>
    </row>
    <row r="415" spans="6:6" x14ac:dyDescent="0.2">
      <c r="F415" s="47"/>
    </row>
    <row r="416" spans="6:6" x14ac:dyDescent="0.2">
      <c r="F416" s="47"/>
    </row>
    <row r="417" spans="6:6" x14ac:dyDescent="0.2">
      <c r="F417" s="47"/>
    </row>
    <row r="418" spans="6:6" x14ac:dyDescent="0.2">
      <c r="F418" s="47"/>
    </row>
    <row r="419" spans="6:6" x14ac:dyDescent="0.2">
      <c r="F419" s="47"/>
    </row>
    <row r="420" spans="6:6" x14ac:dyDescent="0.2">
      <c r="F420" s="47"/>
    </row>
    <row r="421" spans="6:6" x14ac:dyDescent="0.2">
      <c r="F421" s="47"/>
    </row>
    <row r="422" spans="6:6" x14ac:dyDescent="0.2">
      <c r="F422" s="47"/>
    </row>
    <row r="423" spans="6:6" x14ac:dyDescent="0.2">
      <c r="F423" s="47"/>
    </row>
    <row r="424" spans="6:6" x14ac:dyDescent="0.2">
      <c r="F424" s="47"/>
    </row>
    <row r="425" spans="6:6" x14ac:dyDescent="0.2">
      <c r="F425" s="47"/>
    </row>
    <row r="426" spans="6:6" x14ac:dyDescent="0.2">
      <c r="F426" s="47"/>
    </row>
    <row r="427" spans="6:6" x14ac:dyDescent="0.2">
      <c r="F427" s="47"/>
    </row>
    <row r="428" spans="6:6" x14ac:dyDescent="0.2">
      <c r="F428" s="47"/>
    </row>
    <row r="429" spans="6:6" x14ac:dyDescent="0.2">
      <c r="F429" s="47"/>
    </row>
    <row r="430" spans="6:6" x14ac:dyDescent="0.2">
      <c r="F430" s="47"/>
    </row>
    <row r="431" spans="6:6" x14ac:dyDescent="0.2">
      <c r="F431" s="47"/>
    </row>
    <row r="432" spans="6:6" x14ac:dyDescent="0.2">
      <c r="F432" s="47"/>
    </row>
    <row r="433" spans="6:6" x14ac:dyDescent="0.2">
      <c r="F433" s="47"/>
    </row>
    <row r="434" spans="6:6" x14ac:dyDescent="0.2">
      <c r="F434" s="47"/>
    </row>
    <row r="435" spans="6:6" x14ac:dyDescent="0.2">
      <c r="F435" s="47"/>
    </row>
    <row r="436" spans="6:6" x14ac:dyDescent="0.2">
      <c r="F436" s="47"/>
    </row>
    <row r="437" spans="6:6" x14ac:dyDescent="0.2">
      <c r="F437" s="47"/>
    </row>
    <row r="438" spans="6:6" x14ac:dyDescent="0.2">
      <c r="F438" s="47"/>
    </row>
    <row r="439" spans="6:6" x14ac:dyDescent="0.2">
      <c r="F439" s="47"/>
    </row>
    <row r="440" spans="6:6" x14ac:dyDescent="0.2">
      <c r="F440" s="47"/>
    </row>
    <row r="441" spans="6:6" x14ac:dyDescent="0.2">
      <c r="F441" s="47"/>
    </row>
    <row r="442" spans="6:6" x14ac:dyDescent="0.2">
      <c r="F442" s="47"/>
    </row>
    <row r="443" spans="6:6" x14ac:dyDescent="0.2">
      <c r="F443" s="47"/>
    </row>
    <row r="444" spans="6:6" x14ac:dyDescent="0.2">
      <c r="F444" s="47"/>
    </row>
    <row r="445" spans="6:6" x14ac:dyDescent="0.2">
      <c r="F445" s="47"/>
    </row>
    <row r="446" spans="6:6" x14ac:dyDescent="0.2">
      <c r="F446" s="47"/>
    </row>
    <row r="447" spans="6:6" x14ac:dyDescent="0.2">
      <c r="F447" s="47"/>
    </row>
    <row r="448" spans="6:6" x14ac:dyDescent="0.2">
      <c r="F448" s="47"/>
    </row>
    <row r="449" spans="6:6" x14ac:dyDescent="0.2">
      <c r="F449" s="47"/>
    </row>
    <row r="450" spans="6:6" x14ac:dyDescent="0.2">
      <c r="F450" s="47"/>
    </row>
    <row r="451" spans="6:6" x14ac:dyDescent="0.2">
      <c r="F451" s="47"/>
    </row>
    <row r="452" spans="6:6" x14ac:dyDescent="0.2">
      <c r="F452" s="47"/>
    </row>
    <row r="453" spans="6:6" x14ac:dyDescent="0.2">
      <c r="F453" s="47"/>
    </row>
    <row r="454" spans="6:6" x14ac:dyDescent="0.2">
      <c r="F454" s="47"/>
    </row>
    <row r="455" spans="6:6" x14ac:dyDescent="0.2">
      <c r="F455" s="47"/>
    </row>
    <row r="456" spans="6:6" x14ac:dyDescent="0.2">
      <c r="F456" s="47"/>
    </row>
    <row r="457" spans="6:6" x14ac:dyDescent="0.2">
      <c r="F457" s="47"/>
    </row>
    <row r="458" spans="6:6" x14ac:dyDescent="0.2">
      <c r="F458" s="47"/>
    </row>
    <row r="459" spans="6:6" x14ac:dyDescent="0.2">
      <c r="F459" s="47"/>
    </row>
    <row r="460" spans="6:6" x14ac:dyDescent="0.2">
      <c r="F460" s="47"/>
    </row>
    <row r="461" spans="6:6" x14ac:dyDescent="0.2">
      <c r="F461" s="47"/>
    </row>
    <row r="462" spans="6:6" x14ac:dyDescent="0.2">
      <c r="F462" s="47"/>
    </row>
    <row r="463" spans="6:6" x14ac:dyDescent="0.2">
      <c r="F463" s="47"/>
    </row>
    <row r="464" spans="6:6" x14ac:dyDescent="0.2">
      <c r="F464" s="47"/>
    </row>
    <row r="465" spans="6:6" x14ac:dyDescent="0.2">
      <c r="F465" s="47"/>
    </row>
    <row r="466" spans="6:6" x14ac:dyDescent="0.2">
      <c r="F466" s="47"/>
    </row>
    <row r="467" spans="6:6" x14ac:dyDescent="0.2">
      <c r="F467" s="47"/>
    </row>
    <row r="468" spans="6:6" x14ac:dyDescent="0.2">
      <c r="F468" s="47"/>
    </row>
    <row r="469" spans="6:6" x14ac:dyDescent="0.2">
      <c r="F469" s="47"/>
    </row>
    <row r="470" spans="6:6" x14ac:dyDescent="0.2">
      <c r="F470" s="47"/>
    </row>
    <row r="471" spans="6:6" x14ac:dyDescent="0.2">
      <c r="F471" s="47"/>
    </row>
    <row r="472" spans="6:6" x14ac:dyDescent="0.2">
      <c r="F472" s="47"/>
    </row>
    <row r="473" spans="6:6" x14ac:dyDescent="0.2">
      <c r="F473" s="47"/>
    </row>
    <row r="474" spans="6:6" x14ac:dyDescent="0.2">
      <c r="F474" s="47"/>
    </row>
    <row r="475" spans="6:6" x14ac:dyDescent="0.2">
      <c r="F475" s="47"/>
    </row>
    <row r="476" spans="6:6" x14ac:dyDescent="0.2">
      <c r="F476" s="47"/>
    </row>
    <row r="477" spans="6:6" x14ac:dyDescent="0.2">
      <c r="F477" s="47"/>
    </row>
    <row r="478" spans="6:6" x14ac:dyDescent="0.2">
      <c r="F478" s="47"/>
    </row>
    <row r="479" spans="6:6" x14ac:dyDescent="0.2">
      <c r="F479" s="47"/>
    </row>
    <row r="480" spans="6:6" x14ac:dyDescent="0.2">
      <c r="F480" s="47"/>
    </row>
    <row r="481" spans="6:6" x14ac:dyDescent="0.2">
      <c r="F481" s="47"/>
    </row>
    <row r="482" spans="6:6" x14ac:dyDescent="0.2">
      <c r="F482" s="47"/>
    </row>
    <row r="483" spans="6:6" x14ac:dyDescent="0.2">
      <c r="F483" s="47"/>
    </row>
    <row r="484" spans="6:6" x14ac:dyDescent="0.2">
      <c r="F484" s="47"/>
    </row>
    <row r="485" spans="6:6" x14ac:dyDescent="0.2">
      <c r="F485" s="47"/>
    </row>
    <row r="486" spans="6:6" x14ac:dyDescent="0.2">
      <c r="F486" s="47"/>
    </row>
    <row r="487" spans="6:6" x14ac:dyDescent="0.2">
      <c r="F487" s="47"/>
    </row>
    <row r="488" spans="6:6" x14ac:dyDescent="0.2">
      <c r="F488" s="47"/>
    </row>
    <row r="489" spans="6:6" x14ac:dyDescent="0.2">
      <c r="F489" s="47"/>
    </row>
    <row r="490" spans="6:6" x14ac:dyDescent="0.2">
      <c r="F490" s="47"/>
    </row>
    <row r="491" spans="6:6" x14ac:dyDescent="0.2">
      <c r="F491" s="47"/>
    </row>
    <row r="492" spans="6:6" x14ac:dyDescent="0.2">
      <c r="F492" s="47"/>
    </row>
    <row r="493" spans="6:6" x14ac:dyDescent="0.2">
      <c r="F493" s="47"/>
    </row>
    <row r="494" spans="6:6" x14ac:dyDescent="0.2">
      <c r="F494" s="47"/>
    </row>
    <row r="495" spans="6:6" x14ac:dyDescent="0.2">
      <c r="F495" s="47"/>
    </row>
    <row r="496" spans="6:6" x14ac:dyDescent="0.2">
      <c r="F496" s="47"/>
    </row>
    <row r="497" spans="6:6" x14ac:dyDescent="0.2">
      <c r="F497" s="47"/>
    </row>
    <row r="498" spans="6:6" x14ac:dyDescent="0.2">
      <c r="F498" s="47"/>
    </row>
    <row r="499" spans="6:6" x14ac:dyDescent="0.2">
      <c r="F499" s="47"/>
    </row>
    <row r="500" spans="6:6" x14ac:dyDescent="0.2">
      <c r="F500" s="47"/>
    </row>
    <row r="501" spans="6:6" x14ac:dyDescent="0.2">
      <c r="F501" s="47"/>
    </row>
    <row r="502" spans="6:6" x14ac:dyDescent="0.2">
      <c r="F502" s="47"/>
    </row>
    <row r="503" spans="6:6" x14ac:dyDescent="0.2">
      <c r="F503" s="47"/>
    </row>
    <row r="504" spans="6:6" x14ac:dyDescent="0.2">
      <c r="F504" s="47"/>
    </row>
    <row r="505" spans="6:6" x14ac:dyDescent="0.2">
      <c r="F505" s="47"/>
    </row>
    <row r="506" spans="6:6" x14ac:dyDescent="0.2">
      <c r="F506" s="47"/>
    </row>
    <row r="507" spans="6:6" x14ac:dyDescent="0.2">
      <c r="F507" s="47"/>
    </row>
    <row r="508" spans="6:6" x14ac:dyDescent="0.2">
      <c r="F508" s="47"/>
    </row>
    <row r="509" spans="6:6" x14ac:dyDescent="0.2">
      <c r="F509" s="47"/>
    </row>
    <row r="510" spans="6:6" x14ac:dyDescent="0.2">
      <c r="F510" s="47"/>
    </row>
    <row r="511" spans="6:6" x14ac:dyDescent="0.2">
      <c r="F511" s="47"/>
    </row>
    <row r="512" spans="6:6" x14ac:dyDescent="0.2">
      <c r="F512" s="47"/>
    </row>
    <row r="513" spans="6:6" x14ac:dyDescent="0.2">
      <c r="F513" s="47"/>
    </row>
    <row r="514" spans="6:6" x14ac:dyDescent="0.2">
      <c r="F514" s="47"/>
    </row>
    <row r="515" spans="6:6" x14ac:dyDescent="0.2">
      <c r="F515" s="47"/>
    </row>
    <row r="516" spans="6:6" x14ac:dyDescent="0.2">
      <c r="F516" s="47"/>
    </row>
    <row r="517" spans="6:6" x14ac:dyDescent="0.2">
      <c r="F517" s="47"/>
    </row>
    <row r="518" spans="6:6" x14ac:dyDescent="0.2">
      <c r="F518" s="47"/>
    </row>
    <row r="519" spans="6:6" x14ac:dyDescent="0.2">
      <c r="F519" s="47"/>
    </row>
    <row r="520" spans="6:6" x14ac:dyDescent="0.2">
      <c r="F520" s="47"/>
    </row>
    <row r="521" spans="6:6" x14ac:dyDescent="0.2">
      <c r="F521" s="47"/>
    </row>
    <row r="522" spans="6:6" x14ac:dyDescent="0.2">
      <c r="F522" s="47"/>
    </row>
    <row r="523" spans="6:6" x14ac:dyDescent="0.2">
      <c r="F523" s="47"/>
    </row>
    <row r="524" spans="6:6" x14ac:dyDescent="0.2">
      <c r="F524" s="47"/>
    </row>
    <row r="525" spans="6:6" x14ac:dyDescent="0.2">
      <c r="F525" s="47"/>
    </row>
    <row r="526" spans="6:6" x14ac:dyDescent="0.2">
      <c r="F526" s="47"/>
    </row>
    <row r="527" spans="6:6" x14ac:dyDescent="0.2">
      <c r="F527" s="47"/>
    </row>
    <row r="528" spans="6:6" x14ac:dyDescent="0.2">
      <c r="F528" s="47"/>
    </row>
    <row r="529" spans="6:6" x14ac:dyDescent="0.2">
      <c r="F529" s="47"/>
    </row>
    <row r="530" spans="6:6" x14ac:dyDescent="0.2">
      <c r="F530" s="47"/>
    </row>
    <row r="531" spans="6:6" x14ac:dyDescent="0.2">
      <c r="F531" s="47"/>
    </row>
    <row r="532" spans="6:6" x14ac:dyDescent="0.2">
      <c r="F532" s="47"/>
    </row>
    <row r="533" spans="6:6" x14ac:dyDescent="0.2">
      <c r="F533" s="47"/>
    </row>
    <row r="534" spans="6:6" x14ac:dyDescent="0.2">
      <c r="F534" s="47"/>
    </row>
    <row r="535" spans="6:6" x14ac:dyDescent="0.2">
      <c r="F535" s="47"/>
    </row>
    <row r="536" spans="6:6" x14ac:dyDescent="0.2">
      <c r="F536" s="47"/>
    </row>
    <row r="537" spans="6:6" x14ac:dyDescent="0.2">
      <c r="F537" s="47"/>
    </row>
    <row r="538" spans="6:6" x14ac:dyDescent="0.2">
      <c r="F538" s="47"/>
    </row>
    <row r="539" spans="6:6" x14ac:dyDescent="0.2">
      <c r="F539" s="47"/>
    </row>
    <row r="540" spans="6:6" x14ac:dyDescent="0.2">
      <c r="F540" s="47"/>
    </row>
    <row r="541" spans="6:6" x14ac:dyDescent="0.2">
      <c r="F541" s="47"/>
    </row>
    <row r="542" spans="6:6" x14ac:dyDescent="0.2">
      <c r="F542" s="47"/>
    </row>
    <row r="543" spans="6:6" x14ac:dyDescent="0.2">
      <c r="F543" s="47"/>
    </row>
    <row r="544" spans="6:6" x14ac:dyDescent="0.2">
      <c r="F544" s="47"/>
    </row>
    <row r="545" spans="6:6" x14ac:dyDescent="0.2">
      <c r="F545" s="47"/>
    </row>
    <row r="546" spans="6:6" x14ac:dyDescent="0.2">
      <c r="F546" s="47"/>
    </row>
    <row r="547" spans="6:6" x14ac:dyDescent="0.2">
      <c r="F547" s="47"/>
    </row>
    <row r="548" spans="6:6" x14ac:dyDescent="0.2">
      <c r="F548" s="47"/>
    </row>
    <row r="549" spans="6:6" x14ac:dyDescent="0.2">
      <c r="F549" s="47"/>
    </row>
    <row r="550" spans="6:6" x14ac:dyDescent="0.2">
      <c r="F550" s="47"/>
    </row>
    <row r="551" spans="6:6" x14ac:dyDescent="0.2">
      <c r="F551" s="47"/>
    </row>
    <row r="552" spans="6:6" x14ac:dyDescent="0.2">
      <c r="F552" s="47"/>
    </row>
    <row r="553" spans="6:6" x14ac:dyDescent="0.2">
      <c r="F553" s="47"/>
    </row>
    <row r="554" spans="6:6" x14ac:dyDescent="0.2">
      <c r="F554" s="47"/>
    </row>
    <row r="555" spans="6:6" x14ac:dyDescent="0.2">
      <c r="F555" s="47"/>
    </row>
    <row r="556" spans="6:6" x14ac:dyDescent="0.2">
      <c r="F556" s="47"/>
    </row>
    <row r="557" spans="6:6" x14ac:dyDescent="0.2">
      <c r="F557" s="47"/>
    </row>
    <row r="558" spans="6:6" x14ac:dyDescent="0.2">
      <c r="F558" s="47"/>
    </row>
    <row r="559" spans="6:6" x14ac:dyDescent="0.2">
      <c r="F559" s="47"/>
    </row>
    <row r="560" spans="6:6" x14ac:dyDescent="0.2">
      <c r="F560" s="47"/>
    </row>
    <row r="561" spans="6:6" x14ac:dyDescent="0.2">
      <c r="F561" s="47"/>
    </row>
    <row r="562" spans="6:6" x14ac:dyDescent="0.2">
      <c r="F562" s="47"/>
    </row>
    <row r="563" spans="6:6" x14ac:dyDescent="0.2">
      <c r="F563" s="47"/>
    </row>
    <row r="564" spans="6:6" x14ac:dyDescent="0.2">
      <c r="F564" s="47"/>
    </row>
    <row r="565" spans="6:6" x14ac:dyDescent="0.2">
      <c r="F565" s="47"/>
    </row>
    <row r="566" spans="6:6" x14ac:dyDescent="0.2">
      <c r="F566" s="47"/>
    </row>
    <row r="567" spans="6:6" x14ac:dyDescent="0.2">
      <c r="F567" s="47"/>
    </row>
    <row r="568" spans="6:6" x14ac:dyDescent="0.2">
      <c r="F568" s="47"/>
    </row>
    <row r="569" spans="6:6" x14ac:dyDescent="0.2">
      <c r="F569" s="47"/>
    </row>
    <row r="570" spans="6:6" x14ac:dyDescent="0.2">
      <c r="F570" s="47"/>
    </row>
    <row r="571" spans="6:6" x14ac:dyDescent="0.2">
      <c r="F571" s="47"/>
    </row>
    <row r="572" spans="6:6" x14ac:dyDescent="0.2">
      <c r="F572" s="47"/>
    </row>
    <row r="573" spans="6:6" x14ac:dyDescent="0.2">
      <c r="F573" s="47"/>
    </row>
    <row r="574" spans="6:6" x14ac:dyDescent="0.2">
      <c r="F574" s="47"/>
    </row>
    <row r="575" spans="6:6" x14ac:dyDescent="0.2">
      <c r="F575" s="47"/>
    </row>
    <row r="576" spans="6:6" x14ac:dyDescent="0.2">
      <c r="F576" s="47"/>
    </row>
    <row r="577" spans="6:6" x14ac:dyDescent="0.2">
      <c r="F577" s="47"/>
    </row>
    <row r="578" spans="6:6" x14ac:dyDescent="0.2">
      <c r="F578" s="47"/>
    </row>
    <row r="579" spans="6:6" x14ac:dyDescent="0.2">
      <c r="F579" s="47"/>
    </row>
    <row r="580" spans="6:6" x14ac:dyDescent="0.2">
      <c r="F580" s="47"/>
    </row>
    <row r="581" spans="6:6" x14ac:dyDescent="0.2">
      <c r="F581" s="47"/>
    </row>
    <row r="582" spans="6:6" x14ac:dyDescent="0.2">
      <c r="F582" s="47"/>
    </row>
    <row r="583" spans="6:6" x14ac:dyDescent="0.2">
      <c r="F583" s="47"/>
    </row>
    <row r="584" spans="6:6" x14ac:dyDescent="0.2">
      <c r="F584" s="47"/>
    </row>
    <row r="585" spans="6:6" x14ac:dyDescent="0.2">
      <c r="F585" s="47"/>
    </row>
    <row r="586" spans="6:6" x14ac:dyDescent="0.2">
      <c r="F586" s="47"/>
    </row>
    <row r="587" spans="6:6" x14ac:dyDescent="0.2">
      <c r="F587" s="47"/>
    </row>
    <row r="588" spans="6:6" x14ac:dyDescent="0.2">
      <c r="F588" s="47"/>
    </row>
    <row r="589" spans="6:6" x14ac:dyDescent="0.2">
      <c r="F589" s="47"/>
    </row>
    <row r="590" spans="6:6" x14ac:dyDescent="0.2">
      <c r="F590" s="47"/>
    </row>
    <row r="591" spans="6:6" x14ac:dyDescent="0.2">
      <c r="F591" s="47"/>
    </row>
    <row r="592" spans="6:6" x14ac:dyDescent="0.2">
      <c r="F592" s="47"/>
    </row>
    <row r="593" spans="6:6" x14ac:dyDescent="0.2">
      <c r="F593" s="47"/>
    </row>
    <row r="594" spans="6:6" x14ac:dyDescent="0.2">
      <c r="F594" s="47"/>
    </row>
    <row r="595" spans="6:6" x14ac:dyDescent="0.2">
      <c r="F595" s="47"/>
    </row>
    <row r="596" spans="6:6" x14ac:dyDescent="0.2">
      <c r="F596" s="47"/>
    </row>
    <row r="597" spans="6:6" x14ac:dyDescent="0.2">
      <c r="F597" s="47"/>
    </row>
    <row r="598" spans="6:6" x14ac:dyDescent="0.2">
      <c r="F598" s="47"/>
    </row>
    <row r="599" spans="6:6" x14ac:dyDescent="0.2">
      <c r="F599" s="47"/>
    </row>
    <row r="600" spans="6:6" x14ac:dyDescent="0.2">
      <c r="F600" s="47"/>
    </row>
    <row r="601" spans="6:6" x14ac:dyDescent="0.2">
      <c r="F601" s="47"/>
    </row>
    <row r="602" spans="6:6" x14ac:dyDescent="0.2">
      <c r="F602" s="47"/>
    </row>
    <row r="603" spans="6:6" x14ac:dyDescent="0.2">
      <c r="F603" s="47"/>
    </row>
    <row r="604" spans="6:6" x14ac:dyDescent="0.2">
      <c r="F604" s="47"/>
    </row>
    <row r="605" spans="6:6" x14ac:dyDescent="0.2">
      <c r="F605" s="47"/>
    </row>
    <row r="606" spans="6:6" x14ac:dyDescent="0.2">
      <c r="F606" s="47"/>
    </row>
    <row r="607" spans="6:6" x14ac:dyDescent="0.2">
      <c r="F607" s="47"/>
    </row>
    <row r="608" spans="6:6" x14ac:dyDescent="0.2">
      <c r="F608" s="47"/>
    </row>
    <row r="609" spans="6:6" x14ac:dyDescent="0.2">
      <c r="F609" s="47"/>
    </row>
    <row r="610" spans="6:6" x14ac:dyDescent="0.2">
      <c r="F610" s="47"/>
    </row>
    <row r="611" spans="6:6" x14ac:dyDescent="0.2">
      <c r="F611" s="47"/>
    </row>
    <row r="612" spans="6:6" x14ac:dyDescent="0.2">
      <c r="F612" s="47"/>
    </row>
    <row r="613" spans="6:6" x14ac:dyDescent="0.2">
      <c r="F613" s="47"/>
    </row>
    <row r="614" spans="6:6" x14ac:dyDescent="0.2">
      <c r="F614" s="47"/>
    </row>
    <row r="615" spans="6:6" x14ac:dyDescent="0.2">
      <c r="F615" s="47"/>
    </row>
    <row r="616" spans="6:6" x14ac:dyDescent="0.2">
      <c r="F616" s="47"/>
    </row>
    <row r="617" spans="6:6" x14ac:dyDescent="0.2">
      <c r="F617" s="47"/>
    </row>
    <row r="618" spans="6:6" x14ac:dyDescent="0.2">
      <c r="F618" s="47"/>
    </row>
    <row r="619" spans="6:6" x14ac:dyDescent="0.2">
      <c r="F619" s="47"/>
    </row>
    <row r="620" spans="6:6" x14ac:dyDescent="0.2">
      <c r="F620" s="47"/>
    </row>
    <row r="621" spans="6:6" x14ac:dyDescent="0.2">
      <c r="F621" s="47"/>
    </row>
    <row r="622" spans="6:6" x14ac:dyDescent="0.2">
      <c r="F622" s="47"/>
    </row>
    <row r="623" spans="6:6" x14ac:dyDescent="0.2">
      <c r="F623" s="47"/>
    </row>
    <row r="624" spans="6:6" x14ac:dyDescent="0.2">
      <c r="F624" s="47"/>
    </row>
    <row r="625" spans="6:6" x14ac:dyDescent="0.2">
      <c r="F625" s="47"/>
    </row>
    <row r="626" spans="6:6" x14ac:dyDescent="0.2">
      <c r="F626" s="47"/>
    </row>
    <row r="627" spans="6:6" x14ac:dyDescent="0.2">
      <c r="F627" s="47"/>
    </row>
    <row r="628" spans="6:6" x14ac:dyDescent="0.2">
      <c r="F628" s="47"/>
    </row>
    <row r="629" spans="6:6" x14ac:dyDescent="0.2">
      <c r="F629" s="47"/>
    </row>
    <row r="630" spans="6:6" x14ac:dyDescent="0.2">
      <c r="F630" s="47"/>
    </row>
    <row r="631" spans="6:6" x14ac:dyDescent="0.2">
      <c r="F631" s="47"/>
    </row>
    <row r="632" spans="6:6" x14ac:dyDescent="0.2">
      <c r="F632" s="47"/>
    </row>
    <row r="633" spans="6:6" x14ac:dyDescent="0.2">
      <c r="F633" s="47"/>
    </row>
    <row r="634" spans="6:6" x14ac:dyDescent="0.2">
      <c r="F634" s="47"/>
    </row>
    <row r="635" spans="6:6" x14ac:dyDescent="0.2">
      <c r="F635" s="47"/>
    </row>
    <row r="636" spans="6:6" x14ac:dyDescent="0.2">
      <c r="F636" s="47"/>
    </row>
    <row r="637" spans="6:6" x14ac:dyDescent="0.2">
      <c r="F637" s="47"/>
    </row>
    <row r="638" spans="6:6" x14ac:dyDescent="0.2">
      <c r="F638" s="47"/>
    </row>
    <row r="639" spans="6:6" x14ac:dyDescent="0.2">
      <c r="F639" s="47"/>
    </row>
    <row r="640" spans="6:6" x14ac:dyDescent="0.2">
      <c r="F640" s="47"/>
    </row>
    <row r="641" spans="6:6" x14ac:dyDescent="0.2">
      <c r="F641" s="47"/>
    </row>
    <row r="642" spans="6:6" x14ac:dyDescent="0.2">
      <c r="F642" s="47"/>
    </row>
    <row r="643" spans="6:6" x14ac:dyDescent="0.2">
      <c r="F643" s="47"/>
    </row>
    <row r="644" spans="6:6" x14ac:dyDescent="0.2">
      <c r="F644" s="47"/>
    </row>
    <row r="645" spans="6:6" x14ac:dyDescent="0.2">
      <c r="F645" s="47"/>
    </row>
    <row r="646" spans="6:6" x14ac:dyDescent="0.2">
      <c r="F646" s="47"/>
    </row>
    <row r="647" spans="6:6" x14ac:dyDescent="0.2">
      <c r="F647" s="47"/>
    </row>
    <row r="648" spans="6:6" x14ac:dyDescent="0.2">
      <c r="F648" s="47"/>
    </row>
    <row r="649" spans="6:6" x14ac:dyDescent="0.2">
      <c r="F649" s="47"/>
    </row>
    <row r="650" spans="6:6" x14ac:dyDescent="0.2">
      <c r="F650" s="47"/>
    </row>
    <row r="651" spans="6:6" x14ac:dyDescent="0.2">
      <c r="F651" s="47"/>
    </row>
    <row r="652" spans="6:6" x14ac:dyDescent="0.2">
      <c r="F652" s="47"/>
    </row>
    <row r="653" spans="6:6" x14ac:dyDescent="0.2">
      <c r="F653" s="47"/>
    </row>
    <row r="654" spans="6:6" x14ac:dyDescent="0.2">
      <c r="F654" s="47"/>
    </row>
    <row r="655" spans="6:6" x14ac:dyDescent="0.2">
      <c r="F655" s="47"/>
    </row>
    <row r="656" spans="6:6" x14ac:dyDescent="0.2">
      <c r="F656" s="47"/>
    </row>
    <row r="657" spans="6:6" x14ac:dyDescent="0.2">
      <c r="F657" s="47"/>
    </row>
    <row r="658" spans="6:6" x14ac:dyDescent="0.2">
      <c r="F658" s="47"/>
    </row>
    <row r="659" spans="6:6" x14ac:dyDescent="0.2">
      <c r="F659" s="47"/>
    </row>
    <row r="660" spans="6:6" x14ac:dyDescent="0.2">
      <c r="F660" s="47"/>
    </row>
    <row r="661" spans="6:6" x14ac:dyDescent="0.2">
      <c r="F661" s="47"/>
    </row>
    <row r="662" spans="6:6" x14ac:dyDescent="0.2">
      <c r="F662" s="47"/>
    </row>
    <row r="663" spans="6:6" x14ac:dyDescent="0.2">
      <c r="F663" s="47"/>
    </row>
    <row r="664" spans="6:6" x14ac:dyDescent="0.2">
      <c r="F664" s="47"/>
    </row>
    <row r="665" spans="6:6" x14ac:dyDescent="0.2">
      <c r="F665" s="47"/>
    </row>
    <row r="666" spans="6:6" x14ac:dyDescent="0.2">
      <c r="F666" s="47"/>
    </row>
    <row r="667" spans="6:6" x14ac:dyDescent="0.2">
      <c r="F667" s="47"/>
    </row>
    <row r="668" spans="6:6" x14ac:dyDescent="0.2">
      <c r="F668" s="47"/>
    </row>
    <row r="669" spans="6:6" x14ac:dyDescent="0.2">
      <c r="F669" s="47"/>
    </row>
    <row r="670" spans="6:6" x14ac:dyDescent="0.2">
      <c r="F670" s="47"/>
    </row>
    <row r="671" spans="6:6" x14ac:dyDescent="0.2">
      <c r="F671" s="47"/>
    </row>
    <row r="672" spans="6:6" x14ac:dyDescent="0.2">
      <c r="F672" s="47"/>
    </row>
    <row r="673" spans="6:6" x14ac:dyDescent="0.2">
      <c r="F673" s="47"/>
    </row>
    <row r="674" spans="6:6" x14ac:dyDescent="0.2">
      <c r="F674" s="47"/>
    </row>
    <row r="675" spans="6:6" x14ac:dyDescent="0.2">
      <c r="F675" s="47"/>
    </row>
    <row r="676" spans="6:6" x14ac:dyDescent="0.2">
      <c r="F676" s="47"/>
    </row>
    <row r="677" spans="6:6" x14ac:dyDescent="0.2">
      <c r="F677" s="47"/>
    </row>
    <row r="678" spans="6:6" x14ac:dyDescent="0.2">
      <c r="F678" s="47"/>
    </row>
    <row r="679" spans="6:6" x14ac:dyDescent="0.2">
      <c r="F679" s="47"/>
    </row>
    <row r="680" spans="6:6" x14ac:dyDescent="0.2">
      <c r="F680" s="47"/>
    </row>
    <row r="681" spans="6:6" x14ac:dyDescent="0.2">
      <c r="F681" s="47"/>
    </row>
    <row r="682" spans="6:6" x14ac:dyDescent="0.2">
      <c r="F682" s="47"/>
    </row>
    <row r="683" spans="6:6" x14ac:dyDescent="0.2">
      <c r="F683" s="47"/>
    </row>
    <row r="684" spans="6:6" x14ac:dyDescent="0.2">
      <c r="F684" s="47"/>
    </row>
    <row r="685" spans="6:6" x14ac:dyDescent="0.2">
      <c r="F685" s="47"/>
    </row>
    <row r="686" spans="6:6" x14ac:dyDescent="0.2">
      <c r="F686" s="47"/>
    </row>
    <row r="687" spans="6:6" x14ac:dyDescent="0.2">
      <c r="F687" s="47"/>
    </row>
    <row r="688" spans="6:6" x14ac:dyDescent="0.2">
      <c r="F688" s="47"/>
    </row>
    <row r="689" spans="6:6" x14ac:dyDescent="0.2">
      <c r="F689" s="47"/>
    </row>
    <row r="690" spans="6:6" x14ac:dyDescent="0.2">
      <c r="F690" s="47"/>
    </row>
    <row r="691" spans="6:6" x14ac:dyDescent="0.2">
      <c r="F691" s="47"/>
    </row>
    <row r="692" spans="6:6" x14ac:dyDescent="0.2">
      <c r="F692" s="47"/>
    </row>
    <row r="693" spans="6:6" x14ac:dyDescent="0.2">
      <c r="F693" s="47"/>
    </row>
    <row r="694" spans="6:6" x14ac:dyDescent="0.2">
      <c r="F694" s="47"/>
    </row>
    <row r="695" spans="6:6" x14ac:dyDescent="0.2">
      <c r="F695" s="47"/>
    </row>
    <row r="696" spans="6:6" x14ac:dyDescent="0.2">
      <c r="F696" s="47"/>
    </row>
    <row r="697" spans="6:6" x14ac:dyDescent="0.2">
      <c r="F697" s="47"/>
    </row>
    <row r="698" spans="6:6" x14ac:dyDescent="0.2">
      <c r="F698" s="47"/>
    </row>
    <row r="699" spans="6:6" x14ac:dyDescent="0.2">
      <c r="F699" s="47"/>
    </row>
    <row r="700" spans="6:6" x14ac:dyDescent="0.2">
      <c r="F700" s="47"/>
    </row>
    <row r="701" spans="6:6" x14ac:dyDescent="0.2">
      <c r="F701" s="47"/>
    </row>
    <row r="702" spans="6:6" x14ac:dyDescent="0.2">
      <c r="F702" s="47"/>
    </row>
    <row r="703" spans="6:6" x14ac:dyDescent="0.2">
      <c r="F703" s="47"/>
    </row>
    <row r="704" spans="6:6" x14ac:dyDescent="0.2">
      <c r="F704" s="47"/>
    </row>
    <row r="705" spans="6:6" x14ac:dyDescent="0.2">
      <c r="F705" s="47"/>
    </row>
    <row r="706" spans="6:6" x14ac:dyDescent="0.2">
      <c r="F706" s="47"/>
    </row>
    <row r="707" spans="6:6" x14ac:dyDescent="0.2">
      <c r="F707" s="47"/>
    </row>
    <row r="708" spans="6:6" x14ac:dyDescent="0.2">
      <c r="F708" s="47"/>
    </row>
    <row r="709" spans="6:6" x14ac:dyDescent="0.2">
      <c r="F709" s="47"/>
    </row>
    <row r="710" spans="6:6" x14ac:dyDescent="0.2">
      <c r="F710" s="47"/>
    </row>
    <row r="711" spans="6:6" x14ac:dyDescent="0.2">
      <c r="F711" s="47"/>
    </row>
    <row r="712" spans="6:6" x14ac:dyDescent="0.2">
      <c r="F712" s="47"/>
    </row>
    <row r="713" spans="6:6" x14ac:dyDescent="0.2">
      <c r="F713" s="47"/>
    </row>
    <row r="714" spans="6:6" x14ac:dyDescent="0.2">
      <c r="F714" s="47"/>
    </row>
    <row r="715" spans="6:6" x14ac:dyDescent="0.2">
      <c r="F715" s="47"/>
    </row>
    <row r="716" spans="6:6" x14ac:dyDescent="0.2">
      <c r="F716" s="47"/>
    </row>
    <row r="717" spans="6:6" x14ac:dyDescent="0.2">
      <c r="F717" s="47"/>
    </row>
    <row r="718" spans="6:6" x14ac:dyDescent="0.2">
      <c r="F718" s="47"/>
    </row>
    <row r="719" spans="6:6" x14ac:dyDescent="0.2">
      <c r="F719" s="47"/>
    </row>
    <row r="720" spans="6:6" x14ac:dyDescent="0.2">
      <c r="F720" s="47"/>
    </row>
    <row r="721" spans="6:6" x14ac:dyDescent="0.2">
      <c r="F721" s="47"/>
    </row>
    <row r="722" spans="6:6" x14ac:dyDescent="0.2">
      <c r="F722" s="47"/>
    </row>
    <row r="723" spans="6:6" x14ac:dyDescent="0.2">
      <c r="F723" s="47"/>
    </row>
    <row r="724" spans="6:6" x14ac:dyDescent="0.2">
      <c r="F724" s="47"/>
    </row>
    <row r="725" spans="6:6" x14ac:dyDescent="0.2">
      <c r="F725" s="47"/>
    </row>
    <row r="726" spans="6:6" x14ac:dyDescent="0.2">
      <c r="F726" s="47"/>
    </row>
    <row r="727" spans="6:6" x14ac:dyDescent="0.2">
      <c r="F727" s="47"/>
    </row>
    <row r="728" spans="6:6" x14ac:dyDescent="0.2">
      <c r="F728" s="47"/>
    </row>
    <row r="729" spans="6:6" x14ac:dyDescent="0.2">
      <c r="F729" s="47"/>
    </row>
    <row r="730" spans="6:6" x14ac:dyDescent="0.2">
      <c r="F730" s="47"/>
    </row>
    <row r="731" spans="6:6" x14ac:dyDescent="0.2">
      <c r="F731" s="47"/>
    </row>
    <row r="732" spans="6:6" x14ac:dyDescent="0.2">
      <c r="F732" s="47"/>
    </row>
    <row r="733" spans="6:6" x14ac:dyDescent="0.2">
      <c r="F733" s="47"/>
    </row>
    <row r="734" spans="6:6" x14ac:dyDescent="0.2">
      <c r="F734" s="47"/>
    </row>
    <row r="735" spans="6:6" x14ac:dyDescent="0.2">
      <c r="F735" s="47"/>
    </row>
    <row r="736" spans="6:6" x14ac:dyDescent="0.2">
      <c r="F736" s="47"/>
    </row>
    <row r="737" spans="6:6" x14ac:dyDescent="0.2">
      <c r="F737" s="47"/>
    </row>
    <row r="738" spans="6:6" x14ac:dyDescent="0.2">
      <c r="F738" s="47"/>
    </row>
    <row r="739" spans="6:6" x14ac:dyDescent="0.2">
      <c r="F739" s="47"/>
    </row>
    <row r="740" spans="6:6" x14ac:dyDescent="0.2">
      <c r="F740" s="47"/>
    </row>
    <row r="741" spans="6:6" x14ac:dyDescent="0.2">
      <c r="F741" s="47"/>
    </row>
    <row r="742" spans="6:6" x14ac:dyDescent="0.2">
      <c r="F742" s="47"/>
    </row>
    <row r="743" spans="6:6" x14ac:dyDescent="0.2">
      <c r="F743" s="47"/>
    </row>
    <row r="744" spans="6:6" x14ac:dyDescent="0.2">
      <c r="F744" s="47"/>
    </row>
    <row r="745" spans="6:6" x14ac:dyDescent="0.2">
      <c r="F745" s="47"/>
    </row>
    <row r="746" spans="6:6" x14ac:dyDescent="0.2">
      <c r="F746" s="47"/>
    </row>
    <row r="747" spans="6:6" x14ac:dyDescent="0.2">
      <c r="F747" s="47"/>
    </row>
    <row r="748" spans="6:6" x14ac:dyDescent="0.2">
      <c r="F748" s="47"/>
    </row>
    <row r="749" spans="6:6" x14ac:dyDescent="0.2">
      <c r="F749" s="47"/>
    </row>
    <row r="750" spans="6:6" x14ac:dyDescent="0.2">
      <c r="F750" s="47"/>
    </row>
    <row r="751" spans="6:6" x14ac:dyDescent="0.2">
      <c r="F751" s="47"/>
    </row>
    <row r="752" spans="6:6" x14ac:dyDescent="0.2">
      <c r="F752" s="47"/>
    </row>
    <row r="753" spans="6:6" x14ac:dyDescent="0.2">
      <c r="F753" s="47"/>
    </row>
    <row r="754" spans="6:6" x14ac:dyDescent="0.2">
      <c r="F754" s="47"/>
    </row>
    <row r="755" spans="6:6" x14ac:dyDescent="0.2">
      <c r="F755" s="47"/>
    </row>
    <row r="756" spans="6:6" x14ac:dyDescent="0.2">
      <c r="F756" s="47"/>
    </row>
    <row r="757" spans="6:6" x14ac:dyDescent="0.2">
      <c r="F757" s="47"/>
    </row>
    <row r="758" spans="6:6" x14ac:dyDescent="0.2">
      <c r="F758" s="47"/>
    </row>
    <row r="759" spans="6:6" x14ac:dyDescent="0.2">
      <c r="F759" s="47"/>
    </row>
    <row r="760" spans="6:6" x14ac:dyDescent="0.2">
      <c r="F760" s="47"/>
    </row>
    <row r="761" spans="6:6" x14ac:dyDescent="0.2">
      <c r="F761" s="47"/>
    </row>
    <row r="762" spans="6:6" x14ac:dyDescent="0.2">
      <c r="F762" s="47"/>
    </row>
    <row r="763" spans="6:6" x14ac:dyDescent="0.2">
      <c r="F763" s="47"/>
    </row>
    <row r="764" spans="6:6" x14ac:dyDescent="0.2">
      <c r="F764" s="47"/>
    </row>
    <row r="765" spans="6:6" x14ac:dyDescent="0.2">
      <c r="F765" s="47"/>
    </row>
    <row r="766" spans="6:6" x14ac:dyDescent="0.2">
      <c r="F766" s="47"/>
    </row>
    <row r="767" spans="6:6" x14ac:dyDescent="0.2">
      <c r="F767" s="47"/>
    </row>
    <row r="768" spans="6:6" x14ac:dyDescent="0.2">
      <c r="F768" s="47"/>
    </row>
    <row r="769" spans="6:6" x14ac:dyDescent="0.2">
      <c r="F769" s="47"/>
    </row>
    <row r="770" spans="6:6" x14ac:dyDescent="0.2">
      <c r="F770" s="47"/>
    </row>
    <row r="771" spans="6:6" x14ac:dyDescent="0.2">
      <c r="F771" s="47"/>
    </row>
    <row r="772" spans="6:6" x14ac:dyDescent="0.2">
      <c r="F772" s="47"/>
    </row>
    <row r="773" spans="6:6" x14ac:dyDescent="0.2">
      <c r="F773" s="47"/>
    </row>
    <row r="774" spans="6:6" x14ac:dyDescent="0.2">
      <c r="F774" s="47"/>
    </row>
    <row r="775" spans="6:6" x14ac:dyDescent="0.2">
      <c r="F775" s="47"/>
    </row>
    <row r="776" spans="6:6" x14ac:dyDescent="0.2">
      <c r="F776" s="47"/>
    </row>
    <row r="777" spans="6:6" x14ac:dyDescent="0.2">
      <c r="F777" s="47"/>
    </row>
    <row r="778" spans="6:6" x14ac:dyDescent="0.2">
      <c r="F778" s="47"/>
    </row>
    <row r="779" spans="6:6" x14ac:dyDescent="0.2">
      <c r="F779" s="47"/>
    </row>
    <row r="780" spans="6:6" x14ac:dyDescent="0.2">
      <c r="F780" s="47"/>
    </row>
    <row r="781" spans="6:6" x14ac:dyDescent="0.2">
      <c r="F781" s="47"/>
    </row>
    <row r="782" spans="6:6" x14ac:dyDescent="0.2">
      <c r="F782" s="47"/>
    </row>
    <row r="783" spans="6:6" x14ac:dyDescent="0.2">
      <c r="F783" s="47"/>
    </row>
    <row r="784" spans="6:6" x14ac:dyDescent="0.2">
      <c r="F784" s="47"/>
    </row>
    <row r="785" spans="6:6" x14ac:dyDescent="0.2">
      <c r="F785" s="47"/>
    </row>
    <row r="786" spans="6:6" x14ac:dyDescent="0.2">
      <c r="F786" s="47"/>
    </row>
    <row r="787" spans="6:6" x14ac:dyDescent="0.2">
      <c r="F787" s="47"/>
    </row>
    <row r="788" spans="6:6" x14ac:dyDescent="0.2">
      <c r="F788" s="47"/>
    </row>
    <row r="789" spans="6:6" x14ac:dyDescent="0.2">
      <c r="F789" s="47"/>
    </row>
    <row r="790" spans="6:6" x14ac:dyDescent="0.2">
      <c r="F790" s="47"/>
    </row>
    <row r="791" spans="6:6" x14ac:dyDescent="0.2">
      <c r="F791" s="47"/>
    </row>
    <row r="792" spans="6:6" x14ac:dyDescent="0.2">
      <c r="F792" s="47"/>
    </row>
    <row r="793" spans="6:6" x14ac:dyDescent="0.2">
      <c r="F793" s="47"/>
    </row>
    <row r="794" spans="6:6" x14ac:dyDescent="0.2">
      <c r="F794" s="47"/>
    </row>
    <row r="795" spans="6:6" x14ac:dyDescent="0.2">
      <c r="F795" s="47"/>
    </row>
    <row r="796" spans="6:6" x14ac:dyDescent="0.2">
      <c r="F796" s="47"/>
    </row>
    <row r="797" spans="6:6" x14ac:dyDescent="0.2">
      <c r="F797" s="47"/>
    </row>
    <row r="798" spans="6:6" x14ac:dyDescent="0.2">
      <c r="F798" s="47"/>
    </row>
    <row r="799" spans="6:6" x14ac:dyDescent="0.2">
      <c r="F799" s="47"/>
    </row>
    <row r="800" spans="6:6" x14ac:dyDescent="0.2">
      <c r="F800" s="47"/>
    </row>
    <row r="801" spans="6:6" x14ac:dyDescent="0.2">
      <c r="F801" s="47"/>
    </row>
    <row r="802" spans="6:6" x14ac:dyDescent="0.2">
      <c r="F802" s="47"/>
    </row>
    <row r="803" spans="6:6" x14ac:dyDescent="0.2">
      <c r="F803" s="47"/>
    </row>
    <row r="804" spans="6:6" x14ac:dyDescent="0.2">
      <c r="F804" s="47"/>
    </row>
    <row r="805" spans="6:6" x14ac:dyDescent="0.2">
      <c r="F805" s="47"/>
    </row>
    <row r="806" spans="6:6" x14ac:dyDescent="0.2">
      <c r="F806" s="47"/>
    </row>
    <row r="807" spans="6:6" x14ac:dyDescent="0.2">
      <c r="F807" s="47"/>
    </row>
    <row r="808" spans="6:6" x14ac:dyDescent="0.2">
      <c r="F808" s="47"/>
    </row>
    <row r="809" spans="6:6" x14ac:dyDescent="0.2">
      <c r="F809" s="47"/>
    </row>
    <row r="810" spans="6:6" x14ac:dyDescent="0.2">
      <c r="F810" s="47"/>
    </row>
    <row r="811" spans="6:6" x14ac:dyDescent="0.2">
      <c r="F811" s="47"/>
    </row>
    <row r="812" spans="6:6" x14ac:dyDescent="0.2">
      <c r="F812" s="47"/>
    </row>
    <row r="813" spans="6:6" x14ac:dyDescent="0.2">
      <c r="F813" s="47"/>
    </row>
    <row r="814" spans="6:6" x14ac:dyDescent="0.2">
      <c r="F814" s="47"/>
    </row>
    <row r="815" spans="6:6" x14ac:dyDescent="0.2">
      <c r="F815" s="47"/>
    </row>
    <row r="816" spans="6:6" x14ac:dyDescent="0.2">
      <c r="F816" s="47"/>
    </row>
    <row r="817" spans="6:6" x14ac:dyDescent="0.2">
      <c r="F817" s="47"/>
    </row>
    <row r="818" spans="6:6" x14ac:dyDescent="0.2">
      <c r="F818" s="47"/>
    </row>
    <row r="819" spans="6:6" x14ac:dyDescent="0.2">
      <c r="F819" s="47"/>
    </row>
    <row r="820" spans="6:6" x14ac:dyDescent="0.2">
      <c r="F820" s="47"/>
    </row>
    <row r="821" spans="6:6" x14ac:dyDescent="0.2">
      <c r="F821" s="47"/>
    </row>
    <row r="822" spans="6:6" x14ac:dyDescent="0.2">
      <c r="F822" s="47"/>
    </row>
    <row r="823" spans="6:6" x14ac:dyDescent="0.2">
      <c r="F823" s="47"/>
    </row>
    <row r="824" spans="6:6" x14ac:dyDescent="0.2">
      <c r="F824" s="47"/>
    </row>
    <row r="825" spans="6:6" x14ac:dyDescent="0.2">
      <c r="F825" s="47"/>
    </row>
    <row r="826" spans="6:6" x14ac:dyDescent="0.2">
      <c r="F826" s="47"/>
    </row>
    <row r="827" spans="6:6" x14ac:dyDescent="0.2">
      <c r="F827" s="47"/>
    </row>
    <row r="828" spans="6:6" x14ac:dyDescent="0.2">
      <c r="F828" s="47"/>
    </row>
    <row r="829" spans="6:6" x14ac:dyDescent="0.2">
      <c r="F829" s="47"/>
    </row>
    <row r="830" spans="6:6" x14ac:dyDescent="0.2">
      <c r="F830" s="47"/>
    </row>
    <row r="831" spans="6:6" x14ac:dyDescent="0.2">
      <c r="F831" s="47"/>
    </row>
    <row r="832" spans="6:6" x14ac:dyDescent="0.2">
      <c r="F832" s="47"/>
    </row>
    <row r="833" spans="6:6" x14ac:dyDescent="0.2">
      <c r="F833" s="47"/>
    </row>
    <row r="834" spans="6:6" x14ac:dyDescent="0.2">
      <c r="F834" s="47"/>
    </row>
    <row r="835" spans="6:6" x14ac:dyDescent="0.2">
      <c r="F835" s="47"/>
    </row>
    <row r="836" spans="6:6" x14ac:dyDescent="0.2">
      <c r="F836" s="47"/>
    </row>
    <row r="837" spans="6:6" x14ac:dyDescent="0.2">
      <c r="F837" s="47"/>
    </row>
    <row r="838" spans="6:6" x14ac:dyDescent="0.2">
      <c r="F838" s="47"/>
    </row>
    <row r="839" spans="6:6" x14ac:dyDescent="0.2">
      <c r="F839" s="47"/>
    </row>
    <row r="840" spans="6:6" x14ac:dyDescent="0.2">
      <c r="F840" s="47"/>
    </row>
    <row r="841" spans="6:6" x14ac:dyDescent="0.2">
      <c r="F841" s="47"/>
    </row>
    <row r="842" spans="6:6" x14ac:dyDescent="0.2">
      <c r="F842" s="47"/>
    </row>
    <row r="843" spans="6:6" x14ac:dyDescent="0.2">
      <c r="F843" s="47"/>
    </row>
    <row r="844" spans="6:6" x14ac:dyDescent="0.2">
      <c r="F844" s="47"/>
    </row>
    <row r="845" spans="6:6" x14ac:dyDescent="0.2">
      <c r="F845" s="47"/>
    </row>
    <row r="846" spans="6:6" x14ac:dyDescent="0.2">
      <c r="F846" s="47"/>
    </row>
    <row r="847" spans="6:6" x14ac:dyDescent="0.2">
      <c r="F847" s="47"/>
    </row>
    <row r="848" spans="6:6" x14ac:dyDescent="0.2">
      <c r="F848" s="47"/>
    </row>
    <row r="849" spans="6:6" x14ac:dyDescent="0.2">
      <c r="F849" s="47"/>
    </row>
    <row r="850" spans="6:6" x14ac:dyDescent="0.2">
      <c r="F850" s="47"/>
    </row>
    <row r="851" spans="6:6" x14ac:dyDescent="0.2">
      <c r="F851" s="47"/>
    </row>
    <row r="852" spans="6:6" x14ac:dyDescent="0.2">
      <c r="F852" s="47"/>
    </row>
    <row r="853" spans="6:6" x14ac:dyDescent="0.2">
      <c r="F853" s="47"/>
    </row>
    <row r="854" spans="6:6" x14ac:dyDescent="0.2">
      <c r="F854" s="47"/>
    </row>
    <row r="855" spans="6:6" x14ac:dyDescent="0.2">
      <c r="F855" s="47"/>
    </row>
    <row r="856" spans="6:6" x14ac:dyDescent="0.2">
      <c r="F856" s="47"/>
    </row>
    <row r="857" spans="6:6" x14ac:dyDescent="0.2">
      <c r="F857" s="47"/>
    </row>
    <row r="858" spans="6:6" x14ac:dyDescent="0.2">
      <c r="F858" s="47"/>
    </row>
    <row r="859" spans="6:6" x14ac:dyDescent="0.2">
      <c r="F859" s="47"/>
    </row>
    <row r="860" spans="6:6" x14ac:dyDescent="0.2">
      <c r="F860" s="47"/>
    </row>
    <row r="861" spans="6:6" x14ac:dyDescent="0.2">
      <c r="F861" s="47"/>
    </row>
    <row r="862" spans="6:6" x14ac:dyDescent="0.2">
      <c r="F862" s="47"/>
    </row>
    <row r="863" spans="6:6" x14ac:dyDescent="0.2">
      <c r="F863" s="47"/>
    </row>
    <row r="864" spans="6:6" x14ac:dyDescent="0.2">
      <c r="F864" s="47"/>
    </row>
    <row r="865" spans="6:6" x14ac:dyDescent="0.2">
      <c r="F865" s="47"/>
    </row>
    <row r="866" spans="6:6" x14ac:dyDescent="0.2">
      <c r="F866" s="47"/>
    </row>
    <row r="867" spans="6:6" x14ac:dyDescent="0.2">
      <c r="F867" s="47"/>
    </row>
    <row r="868" spans="6:6" x14ac:dyDescent="0.2">
      <c r="F868" s="47"/>
    </row>
    <row r="869" spans="6:6" x14ac:dyDescent="0.2">
      <c r="F869" s="47"/>
    </row>
    <row r="870" spans="6:6" x14ac:dyDescent="0.2">
      <c r="F870" s="47"/>
    </row>
    <row r="871" spans="6:6" x14ac:dyDescent="0.2">
      <c r="F871" s="47"/>
    </row>
    <row r="872" spans="6:6" x14ac:dyDescent="0.2">
      <c r="F872" s="47"/>
    </row>
    <row r="873" spans="6:6" x14ac:dyDescent="0.2">
      <c r="F873" s="47"/>
    </row>
    <row r="874" spans="6:6" x14ac:dyDescent="0.2">
      <c r="F874" s="47"/>
    </row>
    <row r="875" spans="6:6" x14ac:dyDescent="0.2">
      <c r="F875" s="47"/>
    </row>
    <row r="876" spans="6:6" x14ac:dyDescent="0.2">
      <c r="F876" s="47"/>
    </row>
    <row r="877" spans="6:6" x14ac:dyDescent="0.2">
      <c r="F877" s="47"/>
    </row>
    <row r="878" spans="6:6" x14ac:dyDescent="0.2">
      <c r="F878" s="47"/>
    </row>
    <row r="879" spans="6:6" x14ac:dyDescent="0.2">
      <c r="F879" s="47"/>
    </row>
    <row r="880" spans="6:6" x14ac:dyDescent="0.2">
      <c r="F880" s="47"/>
    </row>
    <row r="881" spans="6:6" x14ac:dyDescent="0.2">
      <c r="F881" s="47"/>
    </row>
    <row r="882" spans="6:6" x14ac:dyDescent="0.2">
      <c r="F882" s="47"/>
    </row>
    <row r="883" spans="6:6" x14ac:dyDescent="0.2">
      <c r="F883" s="47"/>
    </row>
    <row r="884" spans="6:6" x14ac:dyDescent="0.2">
      <c r="F884" s="47"/>
    </row>
    <row r="885" spans="6:6" x14ac:dyDescent="0.2">
      <c r="F885" s="47"/>
    </row>
    <row r="886" spans="6:6" x14ac:dyDescent="0.2">
      <c r="F886" s="47"/>
    </row>
    <row r="887" spans="6:6" x14ac:dyDescent="0.2">
      <c r="F887" s="47"/>
    </row>
    <row r="888" spans="6:6" x14ac:dyDescent="0.2">
      <c r="F888" s="47"/>
    </row>
    <row r="889" spans="6:6" x14ac:dyDescent="0.2">
      <c r="F889" s="47"/>
    </row>
    <row r="890" spans="6:6" x14ac:dyDescent="0.2">
      <c r="F890" s="47"/>
    </row>
    <row r="891" spans="6:6" x14ac:dyDescent="0.2">
      <c r="F891" s="47"/>
    </row>
    <row r="892" spans="6:6" x14ac:dyDescent="0.2">
      <c r="F892" s="47"/>
    </row>
    <row r="893" spans="6:6" x14ac:dyDescent="0.2">
      <c r="F893" s="47"/>
    </row>
    <row r="894" spans="6:6" x14ac:dyDescent="0.2">
      <c r="F894" s="47"/>
    </row>
    <row r="895" spans="6:6" x14ac:dyDescent="0.2">
      <c r="F895" s="47"/>
    </row>
    <row r="896" spans="6:6" x14ac:dyDescent="0.2">
      <c r="F896" s="47"/>
    </row>
    <row r="897" spans="6:6" x14ac:dyDescent="0.2">
      <c r="F897" s="47"/>
    </row>
    <row r="898" spans="6:6" x14ac:dyDescent="0.2">
      <c r="F898" s="47"/>
    </row>
    <row r="899" spans="6:6" x14ac:dyDescent="0.2">
      <c r="F899" s="47"/>
    </row>
    <row r="900" spans="6:6" x14ac:dyDescent="0.2">
      <c r="F900" s="47"/>
    </row>
    <row r="901" spans="6:6" x14ac:dyDescent="0.2">
      <c r="F901" s="47"/>
    </row>
    <row r="902" spans="6:6" x14ac:dyDescent="0.2">
      <c r="F902" s="47"/>
    </row>
    <row r="903" spans="6:6" x14ac:dyDescent="0.2">
      <c r="F903" s="47"/>
    </row>
    <row r="904" spans="6:6" x14ac:dyDescent="0.2">
      <c r="F904" s="47"/>
    </row>
    <row r="905" spans="6:6" x14ac:dyDescent="0.2">
      <c r="F905" s="47"/>
    </row>
    <row r="906" spans="6:6" x14ac:dyDescent="0.2">
      <c r="F906" s="47"/>
    </row>
    <row r="907" spans="6:6" x14ac:dyDescent="0.2">
      <c r="F907" s="47"/>
    </row>
    <row r="908" spans="6:6" x14ac:dyDescent="0.2">
      <c r="F908" s="47"/>
    </row>
    <row r="909" spans="6:6" x14ac:dyDescent="0.2">
      <c r="F909" s="47"/>
    </row>
    <row r="910" spans="6:6" x14ac:dyDescent="0.2">
      <c r="F910" s="47"/>
    </row>
    <row r="911" spans="6:6" x14ac:dyDescent="0.2">
      <c r="F911" s="47"/>
    </row>
    <row r="912" spans="6:6" x14ac:dyDescent="0.2">
      <c r="F912" s="47"/>
    </row>
    <row r="913" spans="6:6" x14ac:dyDescent="0.2">
      <c r="F913" s="47"/>
    </row>
    <row r="914" spans="6:6" x14ac:dyDescent="0.2">
      <c r="F914" s="47"/>
    </row>
    <row r="915" spans="6:6" x14ac:dyDescent="0.2">
      <c r="F915" s="47"/>
    </row>
    <row r="916" spans="6:6" x14ac:dyDescent="0.2">
      <c r="F916" s="47"/>
    </row>
    <row r="917" spans="6:6" x14ac:dyDescent="0.2">
      <c r="F917" s="47"/>
    </row>
    <row r="918" spans="6:6" x14ac:dyDescent="0.2">
      <c r="F918" s="47"/>
    </row>
    <row r="919" spans="6:6" x14ac:dyDescent="0.2">
      <c r="F919" s="47"/>
    </row>
    <row r="920" spans="6:6" x14ac:dyDescent="0.2">
      <c r="F920" s="47"/>
    </row>
    <row r="921" spans="6:6" x14ac:dyDescent="0.2">
      <c r="F921" s="47"/>
    </row>
    <row r="922" spans="6:6" x14ac:dyDescent="0.2">
      <c r="F922" s="47"/>
    </row>
    <row r="923" spans="6:6" x14ac:dyDescent="0.2">
      <c r="F923" s="47"/>
    </row>
    <row r="924" spans="6:6" x14ac:dyDescent="0.2">
      <c r="F924" s="47"/>
    </row>
    <row r="925" spans="6:6" x14ac:dyDescent="0.2">
      <c r="F925" s="47"/>
    </row>
    <row r="926" spans="6:6" x14ac:dyDescent="0.2">
      <c r="F926" s="47"/>
    </row>
    <row r="927" spans="6:6" x14ac:dyDescent="0.2">
      <c r="F927" s="47"/>
    </row>
    <row r="928" spans="6:6" x14ac:dyDescent="0.2">
      <c r="F928" s="47"/>
    </row>
    <row r="929" spans="6:6" x14ac:dyDescent="0.2">
      <c r="F929" s="47"/>
    </row>
    <row r="930" spans="6:6" x14ac:dyDescent="0.2">
      <c r="F930" s="47"/>
    </row>
    <row r="931" spans="6:6" x14ac:dyDescent="0.2">
      <c r="F931" s="47"/>
    </row>
    <row r="932" spans="6:6" x14ac:dyDescent="0.2">
      <c r="F932" s="47"/>
    </row>
    <row r="933" spans="6:6" x14ac:dyDescent="0.2">
      <c r="F933" s="47"/>
    </row>
    <row r="934" spans="6:6" x14ac:dyDescent="0.2">
      <c r="F934" s="47"/>
    </row>
    <row r="935" spans="6:6" x14ac:dyDescent="0.2">
      <c r="F935" s="47"/>
    </row>
    <row r="936" spans="6:6" x14ac:dyDescent="0.2">
      <c r="F936" s="47"/>
    </row>
    <row r="937" spans="6:6" x14ac:dyDescent="0.2">
      <c r="F937" s="47"/>
    </row>
    <row r="938" spans="6:6" x14ac:dyDescent="0.2">
      <c r="F938" s="47"/>
    </row>
    <row r="939" spans="6:6" x14ac:dyDescent="0.2">
      <c r="F939" s="47"/>
    </row>
    <row r="940" spans="6:6" x14ac:dyDescent="0.2">
      <c r="F940" s="47"/>
    </row>
    <row r="941" spans="6:6" x14ac:dyDescent="0.2">
      <c r="F941" s="47"/>
    </row>
    <row r="942" spans="6:6" x14ac:dyDescent="0.2">
      <c r="F942" s="47"/>
    </row>
    <row r="943" spans="6:6" x14ac:dyDescent="0.2">
      <c r="F943" s="47"/>
    </row>
    <row r="944" spans="6:6" x14ac:dyDescent="0.2">
      <c r="F944" s="47"/>
    </row>
    <row r="945" spans="6:6" x14ac:dyDescent="0.2">
      <c r="F945" s="47"/>
    </row>
    <row r="946" spans="6:6" x14ac:dyDescent="0.2">
      <c r="F946" s="47"/>
    </row>
    <row r="947" spans="6:6" x14ac:dyDescent="0.2">
      <c r="F947" s="47"/>
    </row>
    <row r="948" spans="6:6" x14ac:dyDescent="0.2">
      <c r="F948" s="47"/>
    </row>
    <row r="949" spans="6:6" x14ac:dyDescent="0.2">
      <c r="F949" s="47"/>
    </row>
    <row r="950" spans="6:6" x14ac:dyDescent="0.2">
      <c r="F950" s="47"/>
    </row>
    <row r="951" spans="6:6" x14ac:dyDescent="0.2">
      <c r="F951" s="47"/>
    </row>
    <row r="952" spans="6:6" x14ac:dyDescent="0.2">
      <c r="F952" s="47"/>
    </row>
    <row r="953" spans="6:6" x14ac:dyDescent="0.2">
      <c r="F953" s="47"/>
    </row>
    <row r="954" spans="6:6" x14ac:dyDescent="0.2">
      <c r="F954" s="47"/>
    </row>
    <row r="955" spans="6:6" x14ac:dyDescent="0.2">
      <c r="F955" s="47"/>
    </row>
    <row r="956" spans="6:6" x14ac:dyDescent="0.2">
      <c r="F956" s="47"/>
    </row>
    <row r="957" spans="6:6" x14ac:dyDescent="0.2">
      <c r="F957" s="47"/>
    </row>
    <row r="958" spans="6:6" x14ac:dyDescent="0.2">
      <c r="F958" s="47"/>
    </row>
    <row r="959" spans="6:6" x14ac:dyDescent="0.2">
      <c r="F959" s="47"/>
    </row>
    <row r="960" spans="6:6" x14ac:dyDescent="0.2">
      <c r="F960" s="47"/>
    </row>
    <row r="961" spans="6:6" x14ac:dyDescent="0.2">
      <c r="F961" s="47"/>
    </row>
    <row r="962" spans="6:6" x14ac:dyDescent="0.2">
      <c r="F962" s="47"/>
    </row>
    <row r="963" spans="6:6" x14ac:dyDescent="0.2">
      <c r="F963" s="47"/>
    </row>
    <row r="964" spans="6:6" x14ac:dyDescent="0.2">
      <c r="F964" s="47"/>
    </row>
    <row r="965" spans="6:6" x14ac:dyDescent="0.2">
      <c r="F965" s="47"/>
    </row>
    <row r="966" spans="6:6" x14ac:dyDescent="0.2">
      <c r="F966" s="47"/>
    </row>
    <row r="967" spans="6:6" x14ac:dyDescent="0.2">
      <c r="F967" s="47"/>
    </row>
    <row r="968" spans="6:6" x14ac:dyDescent="0.2">
      <c r="F968" s="47"/>
    </row>
    <row r="969" spans="6:6" x14ac:dyDescent="0.2">
      <c r="F969" s="47"/>
    </row>
    <row r="970" spans="6:6" x14ac:dyDescent="0.2">
      <c r="F970" s="47"/>
    </row>
    <row r="971" spans="6:6" x14ac:dyDescent="0.2">
      <c r="F971" s="47"/>
    </row>
    <row r="972" spans="6:6" x14ac:dyDescent="0.2">
      <c r="F972" s="47"/>
    </row>
    <row r="973" spans="6:6" x14ac:dyDescent="0.2">
      <c r="F973" s="47"/>
    </row>
    <row r="974" spans="6:6" x14ac:dyDescent="0.2">
      <c r="F974" s="47"/>
    </row>
    <row r="975" spans="6:6" x14ac:dyDescent="0.2">
      <c r="F975" s="47"/>
    </row>
    <row r="976" spans="6:6" x14ac:dyDescent="0.2">
      <c r="F976" s="47"/>
    </row>
    <row r="977" spans="6:6" x14ac:dyDescent="0.2">
      <c r="F977" s="47"/>
    </row>
    <row r="978" spans="6:6" x14ac:dyDescent="0.2">
      <c r="F978" s="47"/>
    </row>
    <row r="979" spans="6:6" x14ac:dyDescent="0.2">
      <c r="F979" s="47"/>
    </row>
    <row r="980" spans="6:6" x14ac:dyDescent="0.2">
      <c r="F980" s="47"/>
    </row>
    <row r="981" spans="6:6" x14ac:dyDescent="0.2">
      <c r="F981" s="47"/>
    </row>
    <row r="982" spans="6:6" x14ac:dyDescent="0.2">
      <c r="F982" s="47"/>
    </row>
    <row r="983" spans="6:6" x14ac:dyDescent="0.2">
      <c r="F983" s="47"/>
    </row>
    <row r="984" spans="6:6" x14ac:dyDescent="0.2">
      <c r="F984" s="47"/>
    </row>
    <row r="985" spans="6:6" x14ac:dyDescent="0.2">
      <c r="F985" s="47"/>
    </row>
    <row r="986" spans="6:6" x14ac:dyDescent="0.2">
      <c r="F986" s="47"/>
    </row>
    <row r="987" spans="6:6" x14ac:dyDescent="0.2">
      <c r="F987" s="47"/>
    </row>
    <row r="988" spans="6:6" x14ac:dyDescent="0.2">
      <c r="F988" s="47"/>
    </row>
    <row r="989" spans="6:6" x14ac:dyDescent="0.2">
      <c r="F989" s="47"/>
    </row>
    <row r="990" spans="6:6" x14ac:dyDescent="0.2">
      <c r="F990" s="47"/>
    </row>
    <row r="991" spans="6:6" x14ac:dyDescent="0.2">
      <c r="F991" s="47"/>
    </row>
    <row r="992" spans="6:6" x14ac:dyDescent="0.2">
      <c r="F992" s="47"/>
    </row>
    <row r="993" spans="6:6" x14ac:dyDescent="0.2">
      <c r="F993" s="47"/>
    </row>
    <row r="994" spans="6:6" x14ac:dyDescent="0.2">
      <c r="F994" s="47"/>
    </row>
    <row r="995" spans="6:6" x14ac:dyDescent="0.2">
      <c r="F995" s="47"/>
    </row>
    <row r="996" spans="6:6" x14ac:dyDescent="0.2">
      <c r="F996" s="47"/>
    </row>
    <row r="997" spans="6:6" x14ac:dyDescent="0.2">
      <c r="F997" s="47"/>
    </row>
    <row r="998" spans="6:6" x14ac:dyDescent="0.2">
      <c r="F998" s="47"/>
    </row>
    <row r="999" spans="6:6" x14ac:dyDescent="0.2">
      <c r="F999" s="47"/>
    </row>
    <row r="1000" spans="6:6" x14ac:dyDescent="0.2">
      <c r="F1000" s="47"/>
    </row>
    <row r="1001" spans="6:6" x14ac:dyDescent="0.2">
      <c r="F1001" s="47"/>
    </row>
    <row r="1002" spans="6:6" x14ac:dyDescent="0.2">
      <c r="F1002" s="47"/>
    </row>
    <row r="1003" spans="6:6" x14ac:dyDescent="0.2">
      <c r="F1003" s="47"/>
    </row>
    <row r="1004" spans="6:6" x14ac:dyDescent="0.2">
      <c r="F1004" s="47"/>
    </row>
    <row r="1005" spans="6:6" x14ac:dyDescent="0.2">
      <c r="F1005" s="47"/>
    </row>
    <row r="1006" spans="6:6" x14ac:dyDescent="0.2">
      <c r="F1006" s="47"/>
    </row>
    <row r="1007" spans="6:6" x14ac:dyDescent="0.2">
      <c r="F1007" s="47"/>
    </row>
    <row r="1008" spans="6:6" x14ac:dyDescent="0.2">
      <c r="F1008" s="47"/>
    </row>
    <row r="1009" spans="6:6" x14ac:dyDescent="0.2">
      <c r="F1009" s="47"/>
    </row>
    <row r="1010" spans="6:6" x14ac:dyDescent="0.2">
      <c r="F1010" s="47"/>
    </row>
    <row r="1011" spans="6:6" x14ac:dyDescent="0.2">
      <c r="F1011" s="47"/>
    </row>
    <row r="1012" spans="6:6" x14ac:dyDescent="0.2">
      <c r="F1012" s="47"/>
    </row>
    <row r="1013" spans="6:6" x14ac:dyDescent="0.2">
      <c r="F1013" s="47"/>
    </row>
    <row r="1014" spans="6:6" x14ac:dyDescent="0.2">
      <c r="F1014" s="47"/>
    </row>
    <row r="1015" spans="6:6" x14ac:dyDescent="0.2">
      <c r="F1015" s="47"/>
    </row>
    <row r="1016" spans="6:6" x14ac:dyDescent="0.2">
      <c r="F1016" s="47"/>
    </row>
    <row r="1017" spans="6:6" x14ac:dyDescent="0.2">
      <c r="F1017" s="47"/>
    </row>
    <row r="1018" spans="6:6" x14ac:dyDescent="0.2">
      <c r="F1018" s="47"/>
    </row>
    <row r="1019" spans="6:6" x14ac:dyDescent="0.2">
      <c r="F1019" s="47"/>
    </row>
    <row r="1020" spans="6:6" x14ac:dyDescent="0.2">
      <c r="F1020" s="47"/>
    </row>
    <row r="1021" spans="6:6" x14ac:dyDescent="0.2">
      <c r="F1021" s="47"/>
    </row>
    <row r="1022" spans="6:6" x14ac:dyDescent="0.2">
      <c r="F1022" s="47"/>
    </row>
    <row r="1023" spans="6:6" x14ac:dyDescent="0.2">
      <c r="F1023" s="47"/>
    </row>
    <row r="1024" spans="6:6" x14ac:dyDescent="0.2">
      <c r="F1024" s="47"/>
    </row>
    <row r="1025" spans="6:6" x14ac:dyDescent="0.2">
      <c r="F1025" s="47"/>
    </row>
    <row r="1026" spans="6:6" x14ac:dyDescent="0.2">
      <c r="F1026" s="47"/>
    </row>
    <row r="1027" spans="6:6" x14ac:dyDescent="0.2">
      <c r="F1027" s="47"/>
    </row>
    <row r="1028" spans="6:6" x14ac:dyDescent="0.2">
      <c r="F1028" s="47"/>
    </row>
    <row r="1029" spans="6:6" x14ac:dyDescent="0.2">
      <c r="F1029" s="47"/>
    </row>
    <row r="1030" spans="6:6" x14ac:dyDescent="0.2">
      <c r="F1030" s="47"/>
    </row>
    <row r="1031" spans="6:6" x14ac:dyDescent="0.2">
      <c r="F1031" s="47"/>
    </row>
    <row r="1032" spans="6:6" x14ac:dyDescent="0.2">
      <c r="F1032" s="47"/>
    </row>
    <row r="1033" spans="6:6" x14ac:dyDescent="0.2">
      <c r="F1033" s="47"/>
    </row>
    <row r="1034" spans="6:6" x14ac:dyDescent="0.2">
      <c r="F1034" s="47"/>
    </row>
    <row r="1035" spans="6:6" x14ac:dyDescent="0.2">
      <c r="F1035" s="47"/>
    </row>
    <row r="1036" spans="6:6" x14ac:dyDescent="0.2">
      <c r="F1036" s="47"/>
    </row>
    <row r="1037" spans="6:6" x14ac:dyDescent="0.2">
      <c r="F1037" s="47"/>
    </row>
    <row r="1038" spans="6:6" x14ac:dyDescent="0.2">
      <c r="F1038" s="47"/>
    </row>
    <row r="1039" spans="6:6" x14ac:dyDescent="0.2">
      <c r="F1039" s="47"/>
    </row>
    <row r="1040" spans="6:6" x14ac:dyDescent="0.2">
      <c r="F1040" s="47"/>
    </row>
    <row r="1041" spans="6:6" x14ac:dyDescent="0.2">
      <c r="F1041" s="47"/>
    </row>
    <row r="1042" spans="6:6" x14ac:dyDescent="0.2">
      <c r="F1042" s="47"/>
    </row>
    <row r="1043" spans="6:6" x14ac:dyDescent="0.2">
      <c r="F1043" s="47"/>
    </row>
    <row r="1044" spans="6:6" x14ac:dyDescent="0.2">
      <c r="F1044" s="47"/>
    </row>
    <row r="1045" spans="6:6" x14ac:dyDescent="0.2">
      <c r="F1045" s="47"/>
    </row>
    <row r="1046" spans="6:6" x14ac:dyDescent="0.2">
      <c r="F1046" s="47"/>
    </row>
    <row r="1047" spans="6:6" x14ac:dyDescent="0.2">
      <c r="F1047" s="47"/>
    </row>
    <row r="1048" spans="6:6" x14ac:dyDescent="0.2">
      <c r="F1048" s="47"/>
    </row>
    <row r="1049" spans="6:6" x14ac:dyDescent="0.2">
      <c r="F1049" s="47"/>
    </row>
    <row r="1050" spans="6:6" x14ac:dyDescent="0.2">
      <c r="F1050" s="47"/>
    </row>
    <row r="1051" spans="6:6" x14ac:dyDescent="0.2">
      <c r="F1051" s="47"/>
    </row>
    <row r="1052" spans="6:6" x14ac:dyDescent="0.2">
      <c r="F1052" s="47"/>
    </row>
    <row r="1053" spans="6:6" x14ac:dyDescent="0.2">
      <c r="F1053" s="47"/>
    </row>
    <row r="1054" spans="6:6" x14ac:dyDescent="0.2">
      <c r="F1054" s="47"/>
    </row>
    <row r="1055" spans="6:6" x14ac:dyDescent="0.2">
      <c r="F1055" s="47"/>
    </row>
    <row r="1056" spans="6:6" x14ac:dyDescent="0.2">
      <c r="F1056" s="47"/>
    </row>
    <row r="1057" spans="6:6" x14ac:dyDescent="0.2">
      <c r="F1057" s="47"/>
    </row>
    <row r="1058" spans="6:6" x14ac:dyDescent="0.2">
      <c r="F1058" s="47"/>
    </row>
    <row r="1059" spans="6:6" x14ac:dyDescent="0.2">
      <c r="F1059" s="47"/>
    </row>
    <row r="1060" spans="6:6" x14ac:dyDescent="0.2">
      <c r="F1060" s="47"/>
    </row>
    <row r="1061" spans="6:6" x14ac:dyDescent="0.2">
      <c r="F1061" s="47"/>
    </row>
    <row r="1062" spans="6:6" x14ac:dyDescent="0.2">
      <c r="F1062" s="47"/>
    </row>
    <row r="1063" spans="6:6" x14ac:dyDescent="0.2">
      <c r="F1063" s="47"/>
    </row>
    <row r="1064" spans="6:6" x14ac:dyDescent="0.2">
      <c r="F1064" s="47"/>
    </row>
    <row r="1065" spans="6:6" x14ac:dyDescent="0.2">
      <c r="F1065" s="47"/>
    </row>
    <row r="1066" spans="6:6" x14ac:dyDescent="0.2">
      <c r="F1066" s="47"/>
    </row>
    <row r="1067" spans="6:6" x14ac:dyDescent="0.2">
      <c r="F1067" s="47"/>
    </row>
    <row r="1068" spans="6:6" x14ac:dyDescent="0.2">
      <c r="F1068" s="47"/>
    </row>
    <row r="1069" spans="6:6" x14ac:dyDescent="0.2">
      <c r="F1069" s="47"/>
    </row>
    <row r="1070" spans="6:6" x14ac:dyDescent="0.2">
      <c r="F1070" s="47"/>
    </row>
    <row r="1071" spans="6:6" x14ac:dyDescent="0.2">
      <c r="F1071" s="47"/>
    </row>
    <row r="1072" spans="6:6" x14ac:dyDescent="0.2">
      <c r="F1072" s="47"/>
    </row>
    <row r="1073" spans="6:6" x14ac:dyDescent="0.2">
      <c r="F1073" s="47"/>
    </row>
    <row r="1074" spans="6:6" x14ac:dyDescent="0.2">
      <c r="F1074" s="47"/>
    </row>
    <row r="1075" spans="6:6" x14ac:dyDescent="0.2">
      <c r="F1075" s="47"/>
    </row>
    <row r="1076" spans="6:6" x14ac:dyDescent="0.2">
      <c r="F1076" s="47"/>
    </row>
    <row r="1077" spans="6:6" x14ac:dyDescent="0.2">
      <c r="F1077" s="47"/>
    </row>
    <row r="1078" spans="6:6" x14ac:dyDescent="0.2">
      <c r="F1078" s="47"/>
    </row>
    <row r="1079" spans="6:6" x14ac:dyDescent="0.2">
      <c r="F1079" s="47"/>
    </row>
    <row r="1080" spans="6:6" x14ac:dyDescent="0.2">
      <c r="F1080" s="47"/>
    </row>
    <row r="1081" spans="6:6" x14ac:dyDescent="0.2">
      <c r="F1081" s="47"/>
    </row>
    <row r="1082" spans="6:6" x14ac:dyDescent="0.2">
      <c r="F1082" s="47"/>
    </row>
    <row r="1083" spans="6:6" x14ac:dyDescent="0.2">
      <c r="F1083" s="47"/>
    </row>
    <row r="1084" spans="6:6" x14ac:dyDescent="0.2">
      <c r="F1084" s="47"/>
    </row>
    <row r="1085" spans="6:6" x14ac:dyDescent="0.2">
      <c r="F1085" s="47"/>
    </row>
    <row r="1086" spans="6:6" x14ac:dyDescent="0.2">
      <c r="F1086" s="47"/>
    </row>
    <row r="1087" spans="6:6" x14ac:dyDescent="0.2">
      <c r="F1087" s="47"/>
    </row>
    <row r="1088" spans="6:6" x14ac:dyDescent="0.2">
      <c r="F1088" s="47"/>
    </row>
    <row r="1089" spans="6:6" x14ac:dyDescent="0.2">
      <c r="F1089" s="47"/>
    </row>
    <row r="1090" spans="6:6" x14ac:dyDescent="0.2">
      <c r="F1090" s="47"/>
    </row>
    <row r="1091" spans="6:6" x14ac:dyDescent="0.2">
      <c r="F1091" s="47"/>
    </row>
    <row r="1092" spans="6:6" x14ac:dyDescent="0.2">
      <c r="F1092" s="47"/>
    </row>
    <row r="1093" spans="6:6" x14ac:dyDescent="0.2">
      <c r="F1093" s="47"/>
    </row>
    <row r="1094" spans="6:6" x14ac:dyDescent="0.2">
      <c r="F1094" s="47"/>
    </row>
    <row r="1095" spans="6:6" x14ac:dyDescent="0.2">
      <c r="F1095" s="47"/>
    </row>
    <row r="1096" spans="6:6" x14ac:dyDescent="0.2">
      <c r="F1096" s="47"/>
    </row>
    <row r="1097" spans="6:6" x14ac:dyDescent="0.2">
      <c r="F1097" s="47"/>
    </row>
    <row r="1098" spans="6:6" x14ac:dyDescent="0.2">
      <c r="F1098" s="47"/>
    </row>
    <row r="1099" spans="6:6" x14ac:dyDescent="0.2">
      <c r="F1099" s="47"/>
    </row>
    <row r="1100" spans="6:6" x14ac:dyDescent="0.2">
      <c r="F1100" s="47"/>
    </row>
    <row r="1101" spans="6:6" x14ac:dyDescent="0.2">
      <c r="F1101" s="47"/>
    </row>
    <row r="1102" spans="6:6" x14ac:dyDescent="0.2">
      <c r="F1102" s="47"/>
    </row>
    <row r="1103" spans="6:6" x14ac:dyDescent="0.2">
      <c r="F1103" s="47"/>
    </row>
    <row r="1104" spans="6:6" x14ac:dyDescent="0.2">
      <c r="F1104" s="47"/>
    </row>
    <row r="1105" spans="6:6" x14ac:dyDescent="0.2">
      <c r="F1105" s="47"/>
    </row>
    <row r="1106" spans="6:6" x14ac:dyDescent="0.2">
      <c r="F1106" s="47"/>
    </row>
    <row r="1107" spans="6:6" x14ac:dyDescent="0.2">
      <c r="F1107" s="47"/>
    </row>
    <row r="1108" spans="6:6" x14ac:dyDescent="0.2">
      <c r="F1108" s="47"/>
    </row>
    <row r="1109" spans="6:6" x14ac:dyDescent="0.2">
      <c r="F1109" s="47"/>
    </row>
    <row r="1110" spans="6:6" x14ac:dyDescent="0.2">
      <c r="F1110" s="47"/>
    </row>
    <row r="1111" spans="6:6" x14ac:dyDescent="0.2">
      <c r="F1111" s="47"/>
    </row>
    <row r="1112" spans="6:6" x14ac:dyDescent="0.2">
      <c r="F1112" s="47"/>
    </row>
    <row r="1113" spans="6:6" x14ac:dyDescent="0.2">
      <c r="F1113" s="47"/>
    </row>
    <row r="1114" spans="6:6" x14ac:dyDescent="0.2">
      <c r="F1114" s="47"/>
    </row>
    <row r="1115" spans="6:6" x14ac:dyDescent="0.2">
      <c r="F1115" s="47"/>
    </row>
    <row r="1116" spans="6:6" x14ac:dyDescent="0.2">
      <c r="F1116" s="47"/>
    </row>
    <row r="1117" spans="6:6" x14ac:dyDescent="0.2">
      <c r="F1117" s="47"/>
    </row>
    <row r="1118" spans="6:6" x14ac:dyDescent="0.2">
      <c r="F1118" s="47"/>
    </row>
    <row r="1119" spans="6:6" x14ac:dyDescent="0.2">
      <c r="F1119" s="47"/>
    </row>
    <row r="1120" spans="6:6" x14ac:dyDescent="0.2">
      <c r="F1120" s="47"/>
    </row>
    <row r="1121" spans="6:6" x14ac:dyDescent="0.2">
      <c r="F1121" s="47"/>
    </row>
    <row r="1122" spans="6:6" x14ac:dyDescent="0.2">
      <c r="F1122" s="47"/>
    </row>
    <row r="1123" spans="6:6" x14ac:dyDescent="0.2">
      <c r="F1123" s="47"/>
    </row>
    <row r="1124" spans="6:6" x14ac:dyDescent="0.2">
      <c r="F1124" s="47"/>
    </row>
    <row r="1125" spans="6:6" x14ac:dyDescent="0.2">
      <c r="F1125" s="47"/>
    </row>
    <row r="1126" spans="6:6" x14ac:dyDescent="0.2">
      <c r="F1126" s="47"/>
    </row>
    <row r="1127" spans="6:6" x14ac:dyDescent="0.2">
      <c r="F1127" s="47"/>
    </row>
    <row r="1128" spans="6:6" x14ac:dyDescent="0.2">
      <c r="F1128" s="47"/>
    </row>
    <row r="1129" spans="6:6" x14ac:dyDescent="0.2">
      <c r="F1129" s="47"/>
    </row>
    <row r="1130" spans="6:6" x14ac:dyDescent="0.2">
      <c r="F1130" s="47"/>
    </row>
    <row r="1131" spans="6:6" x14ac:dyDescent="0.2">
      <c r="F1131" s="47"/>
    </row>
    <row r="1132" spans="6:6" x14ac:dyDescent="0.2">
      <c r="F1132" s="47"/>
    </row>
    <row r="1133" spans="6:6" x14ac:dyDescent="0.2">
      <c r="F1133" s="47"/>
    </row>
    <row r="1134" spans="6:6" x14ac:dyDescent="0.2">
      <c r="F1134" s="47"/>
    </row>
    <row r="1135" spans="6:6" x14ac:dyDescent="0.2">
      <c r="F1135" s="47"/>
    </row>
    <row r="1136" spans="6:6" x14ac:dyDescent="0.2">
      <c r="F1136" s="47"/>
    </row>
    <row r="1137" spans="6:6" x14ac:dyDescent="0.2">
      <c r="F1137" s="47"/>
    </row>
    <row r="1138" spans="6:6" x14ac:dyDescent="0.2">
      <c r="F1138" s="47"/>
    </row>
    <row r="1139" spans="6:6" x14ac:dyDescent="0.2">
      <c r="F1139" s="47"/>
    </row>
    <row r="1140" spans="6:6" x14ac:dyDescent="0.2">
      <c r="F1140" s="47"/>
    </row>
    <row r="1141" spans="6:6" x14ac:dyDescent="0.2">
      <c r="F1141" s="47"/>
    </row>
    <row r="1142" spans="6:6" x14ac:dyDescent="0.2">
      <c r="F1142" s="47"/>
    </row>
    <row r="1143" spans="6:6" x14ac:dyDescent="0.2">
      <c r="F1143" s="47"/>
    </row>
    <row r="1144" spans="6:6" x14ac:dyDescent="0.2">
      <c r="F1144" s="47"/>
    </row>
    <row r="1145" spans="6:6" x14ac:dyDescent="0.2">
      <c r="F1145" s="47"/>
    </row>
    <row r="1146" spans="6:6" x14ac:dyDescent="0.2">
      <c r="F1146" s="47"/>
    </row>
    <row r="1147" spans="6:6" x14ac:dyDescent="0.2">
      <c r="F1147" s="47"/>
    </row>
    <row r="1148" spans="6:6" x14ac:dyDescent="0.2">
      <c r="F1148" s="47"/>
    </row>
    <row r="1149" spans="6:6" x14ac:dyDescent="0.2">
      <c r="F1149" s="47"/>
    </row>
    <row r="1150" spans="6:6" x14ac:dyDescent="0.2">
      <c r="F1150" s="47"/>
    </row>
    <row r="1151" spans="6:6" x14ac:dyDescent="0.2">
      <c r="F1151" s="47"/>
    </row>
    <row r="1152" spans="6:6" x14ac:dyDescent="0.2">
      <c r="F1152" s="47"/>
    </row>
    <row r="1153" spans="6:6" x14ac:dyDescent="0.2">
      <c r="F1153" s="47"/>
    </row>
    <row r="1154" spans="6:6" x14ac:dyDescent="0.2">
      <c r="F1154" s="47"/>
    </row>
    <row r="1155" spans="6:6" x14ac:dyDescent="0.2">
      <c r="F1155" s="47"/>
    </row>
    <row r="1156" spans="6:6" x14ac:dyDescent="0.2">
      <c r="F1156" s="47"/>
    </row>
    <row r="1157" spans="6:6" x14ac:dyDescent="0.2">
      <c r="F1157" s="47"/>
    </row>
    <row r="1158" spans="6:6" x14ac:dyDescent="0.2">
      <c r="F1158" s="47"/>
    </row>
    <row r="1159" spans="6:6" x14ac:dyDescent="0.2">
      <c r="F1159" s="47"/>
    </row>
    <row r="1160" spans="6:6" x14ac:dyDescent="0.2">
      <c r="F1160" s="47"/>
    </row>
    <row r="1161" spans="6:6" x14ac:dyDescent="0.2">
      <c r="F1161" s="47"/>
    </row>
    <row r="1162" spans="6:6" x14ac:dyDescent="0.2">
      <c r="F1162" s="47"/>
    </row>
    <row r="1163" spans="6:6" x14ac:dyDescent="0.2">
      <c r="F1163" s="47"/>
    </row>
    <row r="1164" spans="6:6" x14ac:dyDescent="0.2">
      <c r="F1164" s="47"/>
    </row>
    <row r="1165" spans="6:6" x14ac:dyDescent="0.2">
      <c r="F1165" s="47"/>
    </row>
    <row r="1166" spans="6:6" x14ac:dyDescent="0.2">
      <c r="F1166" s="47"/>
    </row>
    <row r="1167" spans="6:6" x14ac:dyDescent="0.2">
      <c r="F1167" s="47"/>
    </row>
    <row r="1168" spans="6:6" x14ac:dyDescent="0.2">
      <c r="F1168" s="47"/>
    </row>
    <row r="1169" spans="6:6" x14ac:dyDescent="0.2">
      <c r="F1169" s="47"/>
    </row>
    <row r="1170" spans="6:6" x14ac:dyDescent="0.2">
      <c r="F1170" s="47"/>
    </row>
    <row r="1171" spans="6:6" x14ac:dyDescent="0.2">
      <c r="F1171" s="47"/>
    </row>
    <row r="1172" spans="6:6" x14ac:dyDescent="0.2">
      <c r="F1172" s="47"/>
    </row>
    <row r="1173" spans="6:6" x14ac:dyDescent="0.2">
      <c r="F1173" s="47"/>
    </row>
    <row r="1174" spans="6:6" x14ac:dyDescent="0.2">
      <c r="F1174" s="47"/>
    </row>
    <row r="1175" spans="6:6" x14ac:dyDescent="0.2">
      <c r="F1175" s="47"/>
    </row>
    <row r="1176" spans="6:6" x14ac:dyDescent="0.2">
      <c r="F1176" s="47"/>
    </row>
    <row r="1177" spans="6:6" x14ac:dyDescent="0.2">
      <c r="F1177" s="47"/>
    </row>
    <row r="1178" spans="6:6" x14ac:dyDescent="0.2">
      <c r="F1178" s="47"/>
    </row>
    <row r="1179" spans="6:6" x14ac:dyDescent="0.2">
      <c r="F1179" s="47"/>
    </row>
    <row r="1180" spans="6:6" x14ac:dyDescent="0.2">
      <c r="F1180" s="47"/>
    </row>
    <row r="1181" spans="6:6" x14ac:dyDescent="0.2">
      <c r="F1181" s="47"/>
    </row>
    <row r="1182" spans="6:6" x14ac:dyDescent="0.2">
      <c r="F1182" s="47"/>
    </row>
    <row r="1183" spans="6:6" x14ac:dyDescent="0.2">
      <c r="F1183" s="47"/>
    </row>
    <row r="1184" spans="6:6" x14ac:dyDescent="0.2">
      <c r="F1184" s="47"/>
    </row>
    <row r="1185" spans="6:6" x14ac:dyDescent="0.2">
      <c r="F1185" s="47"/>
    </row>
    <row r="1186" spans="6:6" x14ac:dyDescent="0.2">
      <c r="F1186" s="47"/>
    </row>
    <row r="1187" spans="6:6" x14ac:dyDescent="0.2">
      <c r="F1187" s="47"/>
    </row>
    <row r="1188" spans="6:6" x14ac:dyDescent="0.2">
      <c r="F1188" s="47"/>
    </row>
    <row r="1189" spans="6:6" x14ac:dyDescent="0.2">
      <c r="F1189" s="47"/>
    </row>
    <row r="1190" spans="6:6" x14ac:dyDescent="0.2">
      <c r="F1190" s="47"/>
    </row>
    <row r="1191" spans="6:6" x14ac:dyDescent="0.2">
      <c r="F1191" s="47"/>
    </row>
    <row r="1192" spans="6:6" x14ac:dyDescent="0.2">
      <c r="F1192" s="47"/>
    </row>
    <row r="1193" spans="6:6" x14ac:dyDescent="0.2">
      <c r="F1193" s="47"/>
    </row>
    <row r="1194" spans="6:6" x14ac:dyDescent="0.2">
      <c r="F1194" s="47"/>
    </row>
    <row r="1195" spans="6:6" x14ac:dyDescent="0.2">
      <c r="F1195" s="47"/>
    </row>
    <row r="1196" spans="6:6" x14ac:dyDescent="0.2">
      <c r="F1196" s="47"/>
    </row>
    <row r="1197" spans="6:6" x14ac:dyDescent="0.2">
      <c r="F1197" s="47"/>
    </row>
    <row r="1198" spans="6:6" x14ac:dyDescent="0.2">
      <c r="F1198" s="47"/>
    </row>
    <row r="1199" spans="6:6" x14ac:dyDescent="0.2">
      <c r="F1199" s="47"/>
    </row>
    <row r="1200" spans="6:6" x14ac:dyDescent="0.2">
      <c r="F1200" s="47"/>
    </row>
    <row r="1201" spans="6:6" x14ac:dyDescent="0.2">
      <c r="F1201" s="47"/>
    </row>
    <row r="1202" spans="6:6" x14ac:dyDescent="0.2">
      <c r="F1202" s="47"/>
    </row>
    <row r="1203" spans="6:6" x14ac:dyDescent="0.2">
      <c r="F1203" s="47"/>
    </row>
    <row r="1204" spans="6:6" x14ac:dyDescent="0.2">
      <c r="F1204" s="47"/>
    </row>
    <row r="1205" spans="6:6" x14ac:dyDescent="0.2">
      <c r="F1205" s="47"/>
    </row>
    <row r="1206" spans="6:6" x14ac:dyDescent="0.2">
      <c r="F1206" s="47"/>
    </row>
    <row r="1207" spans="6:6" x14ac:dyDescent="0.2">
      <c r="F1207" s="47"/>
    </row>
    <row r="1208" spans="6:6" x14ac:dyDescent="0.2">
      <c r="F1208" s="47"/>
    </row>
    <row r="1209" spans="6:6" x14ac:dyDescent="0.2">
      <c r="F1209" s="47"/>
    </row>
    <row r="1210" spans="6:6" x14ac:dyDescent="0.2">
      <c r="F1210" s="47"/>
    </row>
    <row r="1211" spans="6:6" x14ac:dyDescent="0.2">
      <c r="F1211" s="47"/>
    </row>
    <row r="1212" spans="6:6" x14ac:dyDescent="0.2">
      <c r="F1212" s="47"/>
    </row>
    <row r="1213" spans="6:6" x14ac:dyDescent="0.2">
      <c r="F1213" s="47"/>
    </row>
    <row r="1214" spans="6:6" x14ac:dyDescent="0.2">
      <c r="F1214" s="47"/>
    </row>
    <row r="1215" spans="6:6" x14ac:dyDescent="0.2">
      <c r="F1215" s="47"/>
    </row>
    <row r="1216" spans="6:6" x14ac:dyDescent="0.2">
      <c r="F1216" s="47"/>
    </row>
    <row r="1217" spans="6:6" x14ac:dyDescent="0.2">
      <c r="F1217" s="47"/>
    </row>
    <row r="1218" spans="6:6" x14ac:dyDescent="0.2">
      <c r="F1218" s="47"/>
    </row>
    <row r="1219" spans="6:6" x14ac:dyDescent="0.2">
      <c r="F1219" s="47"/>
    </row>
    <row r="1220" spans="6:6" x14ac:dyDescent="0.2">
      <c r="F1220" s="47"/>
    </row>
    <row r="1221" spans="6:6" x14ac:dyDescent="0.2">
      <c r="F1221" s="47"/>
    </row>
    <row r="1222" spans="6:6" x14ac:dyDescent="0.2">
      <c r="F1222" s="47"/>
    </row>
    <row r="1223" spans="6:6" x14ac:dyDescent="0.2">
      <c r="F1223" s="47"/>
    </row>
    <row r="1224" spans="6:6" x14ac:dyDescent="0.2">
      <c r="F1224" s="47"/>
    </row>
    <row r="1225" spans="6:6" x14ac:dyDescent="0.2">
      <c r="F1225" s="47"/>
    </row>
    <row r="1226" spans="6:6" x14ac:dyDescent="0.2">
      <c r="F1226" s="47"/>
    </row>
    <row r="1227" spans="6:6" x14ac:dyDescent="0.2">
      <c r="F1227" s="47"/>
    </row>
    <row r="1228" spans="6:6" x14ac:dyDescent="0.2">
      <c r="F1228" s="47"/>
    </row>
    <row r="1229" spans="6:6" x14ac:dyDescent="0.2">
      <c r="F1229" s="47"/>
    </row>
    <row r="1230" spans="6:6" x14ac:dyDescent="0.2">
      <c r="F1230" s="47"/>
    </row>
    <row r="1231" spans="6:6" x14ac:dyDescent="0.2">
      <c r="F1231" s="47"/>
    </row>
    <row r="1232" spans="6:6" x14ac:dyDescent="0.2">
      <c r="F1232" s="47"/>
    </row>
    <row r="1233" spans="6:6" x14ac:dyDescent="0.2">
      <c r="F1233" s="47"/>
    </row>
    <row r="1234" spans="6:6" x14ac:dyDescent="0.2">
      <c r="F1234" s="47"/>
    </row>
    <row r="1235" spans="6:6" x14ac:dyDescent="0.2">
      <c r="F1235" s="47"/>
    </row>
    <row r="1236" spans="6:6" x14ac:dyDescent="0.2">
      <c r="F1236" s="47"/>
    </row>
    <row r="1237" spans="6:6" x14ac:dyDescent="0.2">
      <c r="F1237" s="47"/>
    </row>
    <row r="1238" spans="6:6" x14ac:dyDescent="0.2">
      <c r="F1238" s="47"/>
    </row>
    <row r="1239" spans="6:6" x14ac:dyDescent="0.2">
      <c r="F1239" s="47"/>
    </row>
    <row r="1240" spans="6:6" x14ac:dyDescent="0.2">
      <c r="F1240" s="47"/>
    </row>
    <row r="1241" spans="6:6" x14ac:dyDescent="0.2">
      <c r="F1241" s="47"/>
    </row>
    <row r="1242" spans="6:6" x14ac:dyDescent="0.2">
      <c r="F1242" s="47"/>
    </row>
    <row r="1243" spans="6:6" x14ac:dyDescent="0.2">
      <c r="F1243" s="47"/>
    </row>
    <row r="1244" spans="6:6" x14ac:dyDescent="0.2">
      <c r="F1244" s="47"/>
    </row>
    <row r="1245" spans="6:6" x14ac:dyDescent="0.2">
      <c r="F1245" s="47"/>
    </row>
    <row r="1246" spans="6:6" x14ac:dyDescent="0.2">
      <c r="F1246" s="47"/>
    </row>
    <row r="1247" spans="6:6" x14ac:dyDescent="0.2">
      <c r="F1247" s="47"/>
    </row>
    <row r="1248" spans="6:6" x14ac:dyDescent="0.2">
      <c r="F1248" s="47"/>
    </row>
    <row r="1249" spans="6:6" x14ac:dyDescent="0.2">
      <c r="F1249" s="47"/>
    </row>
    <row r="1250" spans="6:6" x14ac:dyDescent="0.2">
      <c r="F1250" s="47"/>
    </row>
    <row r="1251" spans="6:6" x14ac:dyDescent="0.2">
      <c r="F1251" s="47"/>
    </row>
    <row r="1252" spans="6:6" x14ac:dyDescent="0.2">
      <c r="F1252" s="47"/>
    </row>
    <row r="1253" spans="6:6" x14ac:dyDescent="0.2">
      <c r="F1253" s="47"/>
    </row>
    <row r="1254" spans="6:6" x14ac:dyDescent="0.2">
      <c r="F1254" s="47"/>
    </row>
    <row r="1255" spans="6:6" x14ac:dyDescent="0.2">
      <c r="F1255" s="47"/>
    </row>
    <row r="1256" spans="6:6" x14ac:dyDescent="0.2">
      <c r="F1256" s="47"/>
    </row>
    <row r="1257" spans="6:6" x14ac:dyDescent="0.2">
      <c r="F1257" s="47"/>
    </row>
    <row r="1258" spans="6:6" x14ac:dyDescent="0.2">
      <c r="F1258" s="47"/>
    </row>
    <row r="1259" spans="6:6" x14ac:dyDescent="0.2">
      <c r="F1259" s="47"/>
    </row>
    <row r="1260" spans="6:6" x14ac:dyDescent="0.2">
      <c r="F1260" s="47"/>
    </row>
    <row r="1261" spans="6:6" x14ac:dyDescent="0.2">
      <c r="F1261" s="47"/>
    </row>
    <row r="1262" spans="6:6" x14ac:dyDescent="0.2">
      <c r="F1262" s="47"/>
    </row>
    <row r="1263" spans="6:6" x14ac:dyDescent="0.2">
      <c r="F1263" s="47"/>
    </row>
    <row r="1264" spans="6:6" x14ac:dyDescent="0.2">
      <c r="F1264" s="47"/>
    </row>
    <row r="1265" spans="6:6" x14ac:dyDescent="0.2">
      <c r="F1265" s="47"/>
    </row>
    <row r="1266" spans="6:6" x14ac:dyDescent="0.2">
      <c r="F1266" s="47"/>
    </row>
    <row r="1267" spans="6:6" x14ac:dyDescent="0.2">
      <c r="F1267" s="47"/>
    </row>
    <row r="1268" spans="6:6" x14ac:dyDescent="0.2">
      <c r="F1268" s="47"/>
    </row>
    <row r="1269" spans="6:6" x14ac:dyDescent="0.2">
      <c r="F1269" s="47"/>
    </row>
    <row r="1270" spans="6:6" x14ac:dyDescent="0.2">
      <c r="F1270" s="47"/>
    </row>
    <row r="1271" spans="6:6" x14ac:dyDescent="0.2">
      <c r="F1271" s="47"/>
    </row>
    <row r="1272" spans="6:6" x14ac:dyDescent="0.2">
      <c r="F1272" s="47"/>
    </row>
    <row r="1273" spans="6:6" x14ac:dyDescent="0.2">
      <c r="F1273" s="47"/>
    </row>
    <row r="1274" spans="6:6" x14ac:dyDescent="0.2">
      <c r="F1274" s="47"/>
    </row>
    <row r="1275" spans="6:6" x14ac:dyDescent="0.2">
      <c r="F1275" s="47"/>
    </row>
    <row r="1276" spans="6:6" x14ac:dyDescent="0.2">
      <c r="F1276" s="47"/>
    </row>
    <row r="1277" spans="6:6" x14ac:dyDescent="0.2">
      <c r="F1277" s="47"/>
    </row>
    <row r="1278" spans="6:6" x14ac:dyDescent="0.2">
      <c r="F1278" s="47"/>
    </row>
    <row r="1279" spans="6:6" x14ac:dyDescent="0.2">
      <c r="F1279" s="47"/>
    </row>
    <row r="1280" spans="6:6" x14ac:dyDescent="0.2">
      <c r="F1280" s="47"/>
    </row>
    <row r="1281" spans="6:6" x14ac:dyDescent="0.2">
      <c r="F1281" s="47"/>
    </row>
    <row r="1282" spans="6:6" x14ac:dyDescent="0.2">
      <c r="F1282" s="47"/>
    </row>
    <row r="1283" spans="6:6" x14ac:dyDescent="0.2">
      <c r="F1283" s="47"/>
    </row>
    <row r="1284" spans="6:6" x14ac:dyDescent="0.2">
      <c r="F1284" s="47"/>
    </row>
    <row r="1285" spans="6:6" x14ac:dyDescent="0.2">
      <c r="F1285" s="47"/>
    </row>
    <row r="1286" spans="6:6" x14ac:dyDescent="0.2">
      <c r="F1286" s="47"/>
    </row>
    <row r="1287" spans="6:6" x14ac:dyDescent="0.2">
      <c r="F1287" s="47"/>
    </row>
    <row r="1288" spans="6:6" x14ac:dyDescent="0.2">
      <c r="F1288" s="47"/>
    </row>
    <row r="1289" spans="6:6" x14ac:dyDescent="0.2">
      <c r="F1289" s="47"/>
    </row>
    <row r="1290" spans="6:6" x14ac:dyDescent="0.2">
      <c r="F1290" s="47"/>
    </row>
    <row r="1291" spans="6:6" x14ac:dyDescent="0.2">
      <c r="F1291" s="47"/>
    </row>
    <row r="1292" spans="6:6" x14ac:dyDescent="0.2">
      <c r="F1292" s="47"/>
    </row>
    <row r="1293" spans="6:6" x14ac:dyDescent="0.2">
      <c r="F1293" s="47"/>
    </row>
    <row r="1294" spans="6:6" x14ac:dyDescent="0.2">
      <c r="F1294" s="47"/>
    </row>
    <row r="1295" spans="6:6" x14ac:dyDescent="0.2">
      <c r="F1295" s="47"/>
    </row>
    <row r="1296" spans="6:6" x14ac:dyDescent="0.2">
      <c r="F1296" s="47"/>
    </row>
    <row r="1297" spans="6:6" x14ac:dyDescent="0.2">
      <c r="F1297" s="47"/>
    </row>
    <row r="1298" spans="6:6" x14ac:dyDescent="0.2">
      <c r="F1298" s="47"/>
    </row>
    <row r="1299" spans="6:6" x14ac:dyDescent="0.2">
      <c r="F1299" s="47"/>
    </row>
    <row r="1300" spans="6:6" x14ac:dyDescent="0.2">
      <c r="F1300" s="47"/>
    </row>
    <row r="1301" spans="6:6" x14ac:dyDescent="0.2">
      <c r="F1301" s="47"/>
    </row>
    <row r="1302" spans="6:6" x14ac:dyDescent="0.2">
      <c r="F1302" s="47"/>
    </row>
    <row r="1303" spans="6:6" x14ac:dyDescent="0.2">
      <c r="F1303" s="47"/>
    </row>
    <row r="1304" spans="6:6" x14ac:dyDescent="0.2">
      <c r="F1304" s="47"/>
    </row>
    <row r="1305" spans="6:6" x14ac:dyDescent="0.2">
      <c r="F1305" s="47"/>
    </row>
    <row r="1306" spans="6:6" x14ac:dyDescent="0.2">
      <c r="F1306" s="47"/>
    </row>
    <row r="1307" spans="6:6" x14ac:dyDescent="0.2">
      <c r="F1307" s="47"/>
    </row>
    <row r="1308" spans="6:6" x14ac:dyDescent="0.2">
      <c r="F1308" s="47"/>
    </row>
    <row r="1309" spans="6:6" x14ac:dyDescent="0.2">
      <c r="F1309" s="47"/>
    </row>
    <row r="1310" spans="6:6" x14ac:dyDescent="0.2">
      <c r="F1310" s="47"/>
    </row>
    <row r="1311" spans="6:6" x14ac:dyDescent="0.2">
      <c r="F1311" s="47"/>
    </row>
    <row r="1312" spans="6:6" x14ac:dyDescent="0.2">
      <c r="F1312" s="47"/>
    </row>
    <row r="1313" spans="6:6" x14ac:dyDescent="0.2">
      <c r="F1313" s="47"/>
    </row>
    <row r="1314" spans="6:6" x14ac:dyDescent="0.2">
      <c r="F1314" s="47"/>
    </row>
    <row r="1315" spans="6:6" x14ac:dyDescent="0.2">
      <c r="F1315" s="47"/>
    </row>
    <row r="1316" spans="6:6" x14ac:dyDescent="0.2">
      <c r="F1316" s="47"/>
    </row>
    <row r="1317" spans="6:6" x14ac:dyDescent="0.2">
      <c r="F1317" s="47"/>
    </row>
    <row r="1318" spans="6:6" x14ac:dyDescent="0.2">
      <c r="F1318" s="47"/>
    </row>
    <row r="1319" spans="6:6" x14ac:dyDescent="0.2">
      <c r="F1319" s="47"/>
    </row>
    <row r="1320" spans="6:6" x14ac:dyDescent="0.2">
      <c r="F1320" s="47"/>
    </row>
    <row r="1321" spans="6:6" x14ac:dyDescent="0.2">
      <c r="F1321" s="47"/>
    </row>
    <row r="1322" spans="6:6" x14ac:dyDescent="0.2">
      <c r="F1322" s="47"/>
    </row>
    <row r="1323" spans="6:6" x14ac:dyDescent="0.2">
      <c r="F1323" s="47"/>
    </row>
    <row r="1324" spans="6:6" x14ac:dyDescent="0.2">
      <c r="F1324" s="47"/>
    </row>
    <row r="1325" spans="6:6" x14ac:dyDescent="0.2">
      <c r="F1325" s="47"/>
    </row>
    <row r="1326" spans="6:6" x14ac:dyDescent="0.2">
      <c r="F1326" s="47"/>
    </row>
    <row r="1327" spans="6:6" x14ac:dyDescent="0.2">
      <c r="F1327" s="47"/>
    </row>
    <row r="1328" spans="6:6" x14ac:dyDescent="0.2">
      <c r="F1328" s="47"/>
    </row>
    <row r="1329" spans="6:6" x14ac:dyDescent="0.2">
      <c r="F1329" s="47"/>
    </row>
    <row r="1330" spans="6:6" x14ac:dyDescent="0.2">
      <c r="F1330" s="47"/>
    </row>
    <row r="1331" spans="6:6" x14ac:dyDescent="0.2">
      <c r="F1331" s="47"/>
    </row>
    <row r="1332" spans="6:6" x14ac:dyDescent="0.2">
      <c r="F1332" s="47"/>
    </row>
    <row r="1333" spans="6:6" x14ac:dyDescent="0.2">
      <c r="F1333" s="47"/>
    </row>
    <row r="1334" spans="6:6" x14ac:dyDescent="0.2">
      <c r="F1334" s="47"/>
    </row>
    <row r="1335" spans="6:6" x14ac:dyDescent="0.2">
      <c r="F1335" s="47"/>
    </row>
    <row r="1336" spans="6:6" x14ac:dyDescent="0.2">
      <c r="F1336" s="47"/>
    </row>
    <row r="1337" spans="6:6" x14ac:dyDescent="0.2">
      <c r="F1337" s="47"/>
    </row>
    <row r="1338" spans="6:6" x14ac:dyDescent="0.2">
      <c r="F1338" s="47"/>
    </row>
    <row r="1339" spans="6:6" x14ac:dyDescent="0.2">
      <c r="F1339" s="47"/>
    </row>
    <row r="1340" spans="6:6" x14ac:dyDescent="0.2">
      <c r="F1340" s="47"/>
    </row>
    <row r="1341" spans="6:6" x14ac:dyDescent="0.2">
      <c r="F1341" s="47"/>
    </row>
    <row r="1342" spans="6:6" x14ac:dyDescent="0.2">
      <c r="F1342" s="47"/>
    </row>
    <row r="1343" spans="6:6" x14ac:dyDescent="0.2">
      <c r="F1343" s="47"/>
    </row>
    <row r="1344" spans="6:6" x14ac:dyDescent="0.2">
      <c r="F1344" s="47"/>
    </row>
    <row r="1345" spans="6:6" x14ac:dyDescent="0.2">
      <c r="F1345" s="47"/>
    </row>
    <row r="1346" spans="6:6" x14ac:dyDescent="0.2">
      <c r="F1346" s="47"/>
    </row>
    <row r="1347" spans="6:6" x14ac:dyDescent="0.2">
      <c r="F1347" s="47"/>
    </row>
    <row r="1348" spans="6:6" x14ac:dyDescent="0.2">
      <c r="F1348" s="47"/>
    </row>
    <row r="1349" spans="6:6" x14ac:dyDescent="0.2">
      <c r="F1349" s="47"/>
    </row>
    <row r="1350" spans="6:6" x14ac:dyDescent="0.2">
      <c r="F1350" s="47"/>
    </row>
    <row r="1351" spans="6:6" x14ac:dyDescent="0.2">
      <c r="F1351" s="47"/>
    </row>
    <row r="1352" spans="6:6" x14ac:dyDescent="0.2">
      <c r="F1352" s="47"/>
    </row>
    <row r="1353" spans="6:6" x14ac:dyDescent="0.2">
      <c r="F1353" s="47"/>
    </row>
    <row r="1354" spans="6:6" x14ac:dyDescent="0.2">
      <c r="F1354" s="47"/>
    </row>
    <row r="1355" spans="6:6" x14ac:dyDescent="0.2">
      <c r="F1355" s="47"/>
    </row>
    <row r="1356" spans="6:6" x14ac:dyDescent="0.2">
      <c r="F1356" s="47"/>
    </row>
    <row r="1357" spans="6:6" x14ac:dyDescent="0.2">
      <c r="F1357" s="47"/>
    </row>
    <row r="1358" spans="6:6" x14ac:dyDescent="0.2">
      <c r="F1358" s="47"/>
    </row>
    <row r="1359" spans="6:6" x14ac:dyDescent="0.2">
      <c r="F1359" s="47"/>
    </row>
    <row r="1360" spans="6:6" x14ac:dyDescent="0.2">
      <c r="F1360" s="47"/>
    </row>
    <row r="1361" spans="6:6" x14ac:dyDescent="0.2">
      <c r="F1361" s="47"/>
    </row>
    <row r="1362" spans="6:6" x14ac:dyDescent="0.2">
      <c r="F1362" s="47"/>
    </row>
    <row r="1363" spans="6:6" x14ac:dyDescent="0.2">
      <c r="F1363" s="47"/>
    </row>
    <row r="1364" spans="6:6" x14ac:dyDescent="0.2">
      <c r="F1364" s="47"/>
    </row>
    <row r="1365" spans="6:6" x14ac:dyDescent="0.2">
      <c r="F1365" s="47"/>
    </row>
    <row r="1366" spans="6:6" x14ac:dyDescent="0.2">
      <c r="F1366" s="47"/>
    </row>
    <row r="1367" spans="6:6" x14ac:dyDescent="0.2">
      <c r="F1367" s="47"/>
    </row>
    <row r="1368" spans="6:6" x14ac:dyDescent="0.2">
      <c r="F1368" s="47"/>
    </row>
    <row r="1369" spans="6:6" x14ac:dyDescent="0.2">
      <c r="F1369" s="47"/>
    </row>
    <row r="1370" spans="6:6" x14ac:dyDescent="0.2">
      <c r="F1370" s="47"/>
    </row>
    <row r="1371" spans="6:6" x14ac:dyDescent="0.2">
      <c r="F1371" s="47"/>
    </row>
    <row r="1372" spans="6:6" x14ac:dyDescent="0.2">
      <c r="F1372" s="47"/>
    </row>
    <row r="1373" spans="6:6" x14ac:dyDescent="0.2">
      <c r="F1373" s="47"/>
    </row>
    <row r="1374" spans="6:6" x14ac:dyDescent="0.2">
      <c r="F1374" s="47"/>
    </row>
    <row r="1375" spans="6:6" x14ac:dyDescent="0.2">
      <c r="F1375" s="47"/>
    </row>
    <row r="1376" spans="6:6" x14ac:dyDescent="0.2">
      <c r="F1376" s="47"/>
    </row>
    <row r="1377" spans="6:6" x14ac:dyDescent="0.2">
      <c r="F1377" s="47"/>
    </row>
    <row r="1378" spans="6:6" x14ac:dyDescent="0.2">
      <c r="F1378" s="47"/>
    </row>
    <row r="1379" spans="6:6" x14ac:dyDescent="0.2">
      <c r="F1379" s="47"/>
    </row>
    <row r="1380" spans="6:6" x14ac:dyDescent="0.2">
      <c r="F1380" s="47"/>
    </row>
    <row r="1381" spans="6:6" x14ac:dyDescent="0.2">
      <c r="F1381" s="47"/>
    </row>
    <row r="1382" spans="6:6" x14ac:dyDescent="0.2">
      <c r="F1382" s="47"/>
    </row>
    <row r="1383" spans="6:6" x14ac:dyDescent="0.2">
      <c r="F1383" s="47"/>
    </row>
    <row r="1384" spans="6:6" x14ac:dyDescent="0.2">
      <c r="F1384" s="47"/>
    </row>
    <row r="1385" spans="6:6" x14ac:dyDescent="0.2">
      <c r="F1385" s="47"/>
    </row>
    <row r="1386" spans="6:6" x14ac:dyDescent="0.2">
      <c r="F1386" s="47"/>
    </row>
    <row r="1387" spans="6:6" x14ac:dyDescent="0.2">
      <c r="F1387" s="47"/>
    </row>
    <row r="1388" spans="6:6" x14ac:dyDescent="0.2">
      <c r="F1388" s="47"/>
    </row>
    <row r="1389" spans="6:6" x14ac:dyDescent="0.2">
      <c r="F1389" s="47"/>
    </row>
    <row r="1390" spans="6:6" x14ac:dyDescent="0.2">
      <c r="F1390" s="47"/>
    </row>
    <row r="1391" spans="6:6" x14ac:dyDescent="0.2">
      <c r="F1391" s="47"/>
    </row>
    <row r="1392" spans="6:6" x14ac:dyDescent="0.2">
      <c r="F1392" s="47"/>
    </row>
    <row r="1393" spans="6:6" x14ac:dyDescent="0.2">
      <c r="F1393" s="47"/>
    </row>
    <row r="1394" spans="6:6" x14ac:dyDescent="0.2">
      <c r="F1394" s="47"/>
    </row>
    <row r="1395" spans="6:6" x14ac:dyDescent="0.2">
      <c r="F1395" s="47"/>
    </row>
    <row r="1396" spans="6:6" x14ac:dyDescent="0.2">
      <c r="F1396" s="47"/>
    </row>
    <row r="1397" spans="6:6" x14ac:dyDescent="0.2">
      <c r="F1397" s="47"/>
    </row>
    <row r="1398" spans="6:6" x14ac:dyDescent="0.2">
      <c r="F1398" s="47"/>
    </row>
    <row r="1399" spans="6:6" x14ac:dyDescent="0.2">
      <c r="F1399" s="47"/>
    </row>
    <row r="1400" spans="6:6" x14ac:dyDescent="0.2">
      <c r="F1400" s="47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1" bestFit="1" customWidth="1"/>
    <col min="2" max="2" width="19.140625" bestFit="1" customWidth="1"/>
    <col min="3" max="3" width="9.140625" style="43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62" t="s">
        <v>487</v>
      </c>
      <c r="B1" s="41" t="s">
        <v>488</v>
      </c>
      <c r="C1" s="42" t="s">
        <v>18</v>
      </c>
      <c r="D1" s="41" t="s">
        <v>489</v>
      </c>
      <c r="E1" s="41" t="s">
        <v>490</v>
      </c>
      <c r="F1" s="41" t="s">
        <v>491</v>
      </c>
      <c r="G1" s="41" t="s">
        <v>492</v>
      </c>
      <c r="H1" s="41" t="s">
        <v>493</v>
      </c>
      <c r="I1" s="41" t="s">
        <v>494</v>
      </c>
      <c r="L1" s="41"/>
    </row>
    <row r="2" spans="1:12" x14ac:dyDescent="0.2">
      <c r="A2" s="63" t="str">
        <f t="shared" ref="A2:A31" si="0">IF(D2="","",CONCATENATE("E",RIGHT(D2,3),"0",$K$5,$K$4,RIGHT(YEAR($K$2),2)))</f>
        <v>E020052312</v>
      </c>
      <c r="B2" t="str">
        <f>IF(D2="","","Rcd LMS Exp Reimb")</f>
        <v>Rcd LMS Exp Reimb</v>
      </c>
      <c r="C2" s="43" t="str">
        <f t="shared" ref="C2:C31" si="1">IF(D2="","",$K$2)</f>
        <v>5/23/2012</v>
      </c>
      <c r="D2" t="str">
        <f t="array" ref="D2">IF(ISERROR(INDEX(expense,SMALL(IF(_xlnm.Criteria="Yes",ROW(_xlnm.Criteria)),ROW(1:1)),3)),"",INDEX(expense,SMALL(IF(_xlnm.Criteria="Yes",ROW(_xlnm.Criteria)),ROW(1:1)),3))</f>
        <v>0020</v>
      </c>
      <c r="E2">
        <f t="array" ref="E2">IF(ISERROR(INDEX(expense,SMALL(IF(_xlnm.Criteria="Yes",ROW(_xlnm.Criteria)),ROW(1:1)),10)),"",INDEX(expense,SMALL(IF(_xlnm.Criteria="Yes",ROW(_xlnm.Criteria)),ROW(1:1)),10))</f>
        <v>8560</v>
      </c>
      <c r="G2" t="str">
        <f t="array" ref="G2">IF(ISERROR(INDEX(expense,SMALL(IF(_xlnm.Criteria="Yes",ROW(_xlnm.Criteria)),ROW(1:1)),3)),"","D")</f>
        <v>D</v>
      </c>
      <c r="H2" s="46">
        <f t="array" ref="H2">IF(ISERROR(INDEX(expense,SMALL(IF(_xlnm.Criteria="Yes",ROW(_xlnm.Criteria)),ROW(1:1)),8)),"",INDEX(expense,SMALL(IF(_xlnm.Criteria="Yes",ROW(_xlnm.Criteria)),ROW(1:1)),8))</f>
        <v>25</v>
      </c>
      <c r="I2" t="str">
        <f t="array" ref="I2">IF(ISERROR(INDEX(expense,SMALL(IF(_xlnm.Criteria="Yes",ROW(_xlnm.Criteria)),ROW(1:1)),4)),"",INDEX(expense,SMALL(IF(_xlnm.Criteria="Yes",ROW(_xlnm.Criteria)),ROW(1:1)),4))</f>
        <v>Cell Phone Reimbursement</v>
      </c>
      <c r="K2" s="41" t="str">
        <f>IF(DAY('Entry Form'!E4)&lt;23,MONTH('Entry Form'!E4)&amp;"/23/"&amp;YEAR('Entry Form'!E4),MONTH('Entry Form'!E4)+1&amp;"/23/"&amp;YEAR('Entry Form'!E4))</f>
        <v>5/23/2012</v>
      </c>
      <c r="L2" s="43">
        <v>40283</v>
      </c>
    </row>
    <row r="3" spans="1:12" x14ac:dyDescent="0.2">
      <c r="A3" s="63" t="str">
        <f t="shared" si="0"/>
        <v>E020052312</v>
      </c>
      <c r="B3" t="str">
        <f t="shared" ref="B3:B31" si="2">IF(D3="","","Rcd LMS Exp Reimb")</f>
        <v>Rcd LMS Exp Reimb</v>
      </c>
      <c r="C3" s="43" t="str">
        <f t="shared" si="1"/>
        <v>5/23/2012</v>
      </c>
      <c r="D3" t="str">
        <f t="array" ref="D3">IF(ISERROR(INDEX(expense,SMALL(IF(_xlnm.Criteria="Yes",ROW(_xlnm.Criteria)),ROW(2:2)),3)),"",INDEX(expense,SMALL(IF(_xlnm.Criteria="Yes",ROW(_xlnm.Criteria)),ROW(2:2)),3))</f>
        <v>0020</v>
      </c>
      <c r="E3">
        <f t="array" ref="E3">IF(ISERROR(INDEX(expense,SMALL(IF(_xlnm.Criteria="Yes",ROW(_xlnm.Criteria)),ROW(2:2)),10)),"",INDEX(expense,SMALL(IF(_xlnm.Criteria="Yes",ROW(_xlnm.Criteria)),ROW(2:2)),10))</f>
        <v>8560</v>
      </c>
      <c r="G3" t="str">
        <f t="array" ref="G3">IF(ISERROR(INDEX(expense,SMALL(IF(_xlnm.Criteria="Yes",ROW(_xlnm.Criteria)),ROW(2:2)),3)),"","D")</f>
        <v>D</v>
      </c>
      <c r="H3" s="46">
        <f t="array" ref="H3">IF(ISERROR(INDEX(expense,SMALL(IF(_xlnm.Criteria="Yes",ROW(_xlnm.Criteria)),ROW(2:2)),8)),"",INDEX(expense,SMALL(IF(_xlnm.Criteria="Yes",ROW(_xlnm.Criteria)),ROW(2:2)),8))</f>
        <v>25</v>
      </c>
      <c r="I3" t="str">
        <f t="array" ref="I3">IF(ISERROR(INDEX(expense,SMALL(IF(_xlnm.Criteria="Yes",ROW(_xlnm.Criteria)),ROW(2:2)),4)),"",INDEX(expense,SMALL(IF(_xlnm.Criteria="Yes",ROW(_xlnm.Criteria)),ROW(2:2)),4))</f>
        <v>Cell Phone Reimbursement</v>
      </c>
    </row>
    <row r="4" spans="1:12" x14ac:dyDescent="0.2">
      <c r="A4" s="63" t="str">
        <f t="shared" si="0"/>
        <v/>
      </c>
      <c r="B4" t="str">
        <f t="shared" si="2"/>
        <v/>
      </c>
      <c r="C4" s="43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46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>DAY(K2)</f>
        <v>23</v>
      </c>
      <c r="L4">
        <f>DAY(L2)</f>
        <v>15</v>
      </c>
    </row>
    <row r="5" spans="1:12" x14ac:dyDescent="0.2">
      <c r="A5" s="63" t="str">
        <f t="shared" si="0"/>
        <v/>
      </c>
      <c r="B5" t="str">
        <f t="shared" si="2"/>
        <v/>
      </c>
      <c r="C5" s="43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46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>MONTH(K2)</f>
        <v>5</v>
      </c>
      <c r="L5">
        <f>MONTH(L2)</f>
        <v>4</v>
      </c>
    </row>
    <row r="6" spans="1:12" x14ac:dyDescent="0.2">
      <c r="A6" s="63" t="str">
        <f t="shared" si="0"/>
        <v/>
      </c>
      <c r="B6" t="str">
        <f t="shared" si="2"/>
        <v/>
      </c>
      <c r="C6" s="43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46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63" t="str">
        <f t="shared" si="0"/>
        <v/>
      </c>
      <c r="B7" t="str">
        <f t="shared" si="2"/>
        <v/>
      </c>
      <c r="C7" s="43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46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63" t="str">
        <f t="shared" si="0"/>
        <v/>
      </c>
      <c r="B8" t="str">
        <f t="shared" si="2"/>
        <v/>
      </c>
      <c r="C8" s="43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46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63" t="str">
        <f t="shared" si="0"/>
        <v/>
      </c>
      <c r="B9" t="str">
        <f t="shared" si="2"/>
        <v/>
      </c>
      <c r="C9" s="43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46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63" t="str">
        <f t="shared" si="0"/>
        <v/>
      </c>
      <c r="B10" t="str">
        <f t="shared" si="2"/>
        <v/>
      </c>
      <c r="C10" s="43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46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63" t="str">
        <f t="shared" si="0"/>
        <v/>
      </c>
      <c r="B11" t="str">
        <f t="shared" si="2"/>
        <v/>
      </c>
      <c r="C11" s="43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46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63" t="str">
        <f t="shared" si="0"/>
        <v/>
      </c>
      <c r="B12" t="str">
        <f t="shared" si="2"/>
        <v/>
      </c>
      <c r="C12" s="43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46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63" t="str">
        <f t="shared" si="0"/>
        <v/>
      </c>
      <c r="B13" t="str">
        <f t="shared" si="2"/>
        <v/>
      </c>
      <c r="C13" s="43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46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63" t="str">
        <f t="shared" si="0"/>
        <v/>
      </c>
      <c r="B14" t="str">
        <f t="shared" si="2"/>
        <v/>
      </c>
      <c r="C14" s="43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46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63" t="str">
        <f t="shared" si="0"/>
        <v/>
      </c>
      <c r="B15" t="str">
        <f t="shared" si="2"/>
        <v/>
      </c>
      <c r="C15" s="43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46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63" t="str">
        <f t="shared" si="0"/>
        <v/>
      </c>
      <c r="B16" t="str">
        <f t="shared" si="2"/>
        <v/>
      </c>
      <c r="C16" s="43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46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63" t="str">
        <f t="shared" si="0"/>
        <v/>
      </c>
      <c r="B17" t="str">
        <f t="shared" si="2"/>
        <v/>
      </c>
      <c r="C17" s="43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46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63" t="str">
        <f t="shared" si="0"/>
        <v/>
      </c>
      <c r="B18" t="str">
        <f t="shared" si="2"/>
        <v/>
      </c>
      <c r="C18" s="43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46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63" t="str">
        <f t="shared" si="0"/>
        <v/>
      </c>
      <c r="B19" t="str">
        <f t="shared" si="2"/>
        <v/>
      </c>
      <c r="C19" s="43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46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63" t="str">
        <f t="shared" si="0"/>
        <v/>
      </c>
      <c r="B20" t="str">
        <f t="shared" si="2"/>
        <v/>
      </c>
      <c r="C20" s="43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46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63" t="str">
        <f t="shared" si="0"/>
        <v/>
      </c>
      <c r="B21" t="str">
        <f t="shared" si="2"/>
        <v/>
      </c>
      <c r="C21" s="43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46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63" t="str">
        <f t="shared" si="0"/>
        <v/>
      </c>
      <c r="B22" t="str">
        <f t="shared" si="2"/>
        <v/>
      </c>
      <c r="C22" s="43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63" t="str">
        <f t="shared" si="0"/>
        <v/>
      </c>
      <c r="B23" t="str">
        <f t="shared" si="2"/>
        <v/>
      </c>
      <c r="C23" s="43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63" t="str">
        <f t="shared" si="0"/>
        <v/>
      </c>
      <c r="B24" t="str">
        <f t="shared" si="2"/>
        <v/>
      </c>
      <c r="C24" s="43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63" t="str">
        <f t="shared" si="0"/>
        <v/>
      </c>
      <c r="B25" t="str">
        <f t="shared" si="2"/>
        <v/>
      </c>
      <c r="C25" s="43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63" t="str">
        <f t="shared" si="0"/>
        <v/>
      </c>
      <c r="B26" t="str">
        <f t="shared" si="2"/>
        <v/>
      </c>
      <c r="C26" s="43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63" t="str">
        <f t="shared" si="0"/>
        <v/>
      </c>
      <c r="B27" t="str">
        <f t="shared" si="2"/>
        <v/>
      </c>
      <c r="C27" s="43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63" t="str">
        <f t="shared" si="0"/>
        <v/>
      </c>
      <c r="B28" t="str">
        <f t="shared" si="2"/>
        <v/>
      </c>
      <c r="C28" s="43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63" t="str">
        <f t="shared" si="0"/>
        <v/>
      </c>
      <c r="B29" t="str">
        <f t="shared" si="2"/>
        <v/>
      </c>
      <c r="C29" s="43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63" t="str">
        <f t="shared" si="0"/>
        <v/>
      </c>
      <c r="B30" t="str">
        <f t="shared" si="2"/>
        <v/>
      </c>
      <c r="C30" s="43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63" t="str">
        <f t="shared" si="0"/>
        <v/>
      </c>
      <c r="B31" t="str">
        <f t="shared" si="2"/>
        <v/>
      </c>
      <c r="C31" s="43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28" t="str">
        <f>'Entry Form'!A6</f>
        <v>Date</v>
      </c>
      <c r="B1" s="28" t="str">
        <f>'Entry Form'!B6</f>
        <v>Select Prop/Corp For Bill-Back</v>
      </c>
      <c r="C1" s="28" t="str">
        <f>'Entry Form'!C6</f>
        <v>Entity #</v>
      </c>
      <c r="D1" s="28" t="str">
        <f>'Entry Form'!D6</f>
        <v>Participants  /  Description</v>
      </c>
      <c r="E1" s="28" t="str">
        <f>'Entry Form'!E6</f>
        <v>Expense Type</v>
      </c>
      <c r="F1" s="28" t="str">
        <f>'Entry Form'!F6</f>
        <v>LMS GL Account</v>
      </c>
      <c r="G1" s="28" t="str">
        <f>'Entry Form'!G6</f>
        <v>Expense Amount/Mileage Amount</v>
      </c>
      <c r="H1" s="28" t="str">
        <f>'Entry Form'!H6</f>
        <v>Total Amount</v>
      </c>
      <c r="I1" s="28" t="str">
        <f>'Entry Form'!I6</f>
        <v>Bill Back to Property</v>
      </c>
      <c r="J1" s="28" t="str">
        <f>'Entry Form'!J6</f>
        <v>Property GL Account</v>
      </c>
    </row>
    <row r="2" spans="1:10" x14ac:dyDescent="0.2">
      <c r="A2" s="24">
        <f>IF('Entry Form'!A7="","",'Entry Form'!A7)</f>
        <v>41009</v>
      </c>
      <c r="B2" s="14" t="str">
        <f>IF('Entry Form'!B7="","",'Entry Form'!B7)</f>
        <v>Pheasant Creek Mstr</v>
      </c>
      <c r="C2" s="48" t="str">
        <f>IF('Entry Form'!C7="","",'Entry Form'!C7)</f>
        <v>0020</v>
      </c>
      <c r="D2" s="29" t="str">
        <f>IF('Entry Form'!D7="","",'Entry Form'!D7)</f>
        <v>Cell Phone Reimbursement</v>
      </c>
      <c r="E2" s="38" t="str">
        <f>IF('Entry Form'!E7="","",'Entry Form'!E7)</f>
        <v>Cell Phone</v>
      </c>
      <c r="F2" s="29" t="str">
        <f>IF('Entry Form'!F7="","",'Entry Form'!F7)</f>
        <v>L9386</v>
      </c>
      <c r="G2" s="25">
        <f>IF('Entry Form'!G7="","",'Entry Form'!G7)</f>
        <v>25</v>
      </c>
      <c r="H2" s="15">
        <f>IF('Entry Form'!H7="","",'Entry Form'!H7)</f>
        <v>25</v>
      </c>
      <c r="I2" s="27" t="str">
        <f>IF('Entry Form'!I7="","",'Entry Form'!I7)</f>
        <v>Yes</v>
      </c>
      <c r="J2" s="27">
        <f>IF('Entry Form'!J7="","",'Entry Form'!J7)</f>
        <v>8560</v>
      </c>
    </row>
    <row r="3" spans="1:10" s="56" customFormat="1" x14ac:dyDescent="0.2">
      <c r="A3" s="44">
        <f>IF('Entry Form'!A8="","",'Entry Form'!A8)</f>
        <v>41039</v>
      </c>
      <c r="B3" s="49" t="str">
        <f>IF('Entry Form'!B8="","",'Entry Form'!B8)</f>
        <v>Pheasant Creek Mstr</v>
      </c>
      <c r="C3" s="50" t="str">
        <f>IF('Entry Form'!C8="","",'Entry Form'!C8)</f>
        <v>0020</v>
      </c>
      <c r="D3" s="51" t="str">
        <f>IF('Entry Form'!D8="","",'Entry Form'!D8)</f>
        <v>Cell Phone Reimbursement</v>
      </c>
      <c r="E3" s="52" t="str">
        <f>IF('Entry Form'!E8="","",'Entry Form'!E8)</f>
        <v>Cell Phone</v>
      </c>
      <c r="F3" s="51" t="str">
        <f>IF('Entry Form'!F8="","",'Entry Form'!F8)</f>
        <v>L9386</v>
      </c>
      <c r="G3" s="53">
        <f>IF('Entry Form'!G8="","",'Entry Form'!G8)</f>
        <v>25</v>
      </c>
      <c r="H3" s="54">
        <f>IF('Entry Form'!H8="","",'Entry Form'!H8)</f>
        <v>25</v>
      </c>
      <c r="I3" s="55" t="str">
        <f>IF('Entry Form'!I8="","",'Entry Form'!I8)</f>
        <v>Yes</v>
      </c>
      <c r="J3" s="55">
        <f>IF('Entry Form'!J8="","",'Entry Form'!J8)</f>
        <v>8560</v>
      </c>
    </row>
    <row r="4" spans="1:10" x14ac:dyDescent="0.2">
      <c r="A4" s="24" t="str">
        <f>IF('Entry Form'!A9="","",'Entry Form'!A9)</f>
        <v/>
      </c>
      <c r="B4" s="14" t="str">
        <f>IF('Entry Form'!B9="","",'Entry Form'!B9)</f>
        <v/>
      </c>
      <c r="C4" s="48" t="str">
        <f>IF('Entry Form'!C9="","",'Entry Form'!C9)</f>
        <v/>
      </c>
      <c r="D4" s="29" t="str">
        <f>IF('Entry Form'!D9="","",'Entry Form'!D9)</f>
        <v/>
      </c>
      <c r="E4" s="38" t="str">
        <f>IF('Entry Form'!E9="","",'Entry Form'!E9)</f>
        <v/>
      </c>
      <c r="F4" s="29" t="str">
        <f>IF('Entry Form'!F9="","",'Entry Form'!F9)</f>
        <v/>
      </c>
      <c r="G4" s="25" t="str">
        <f>IF('Entry Form'!G9="","",'Entry Form'!G9)</f>
        <v/>
      </c>
      <c r="H4" s="15">
        <f>IF('Entry Form'!H9="","",'Entry Form'!H9)</f>
        <v>0</v>
      </c>
      <c r="I4" s="27" t="str">
        <f>IF('Entry Form'!I9="","",'Entry Form'!I9)</f>
        <v/>
      </c>
      <c r="J4" s="27" t="str">
        <f>IF('Entry Form'!J9="","",'Entry Form'!J9)</f>
        <v/>
      </c>
    </row>
    <row r="5" spans="1:10" x14ac:dyDescent="0.2">
      <c r="A5" s="44" t="str">
        <f>IF('Entry Form'!A10="","",'Entry Form'!A10)</f>
        <v/>
      </c>
      <c r="B5" s="49" t="str">
        <f>IF('Entry Form'!B10="","",'Entry Form'!B10)</f>
        <v/>
      </c>
      <c r="C5" s="50" t="str">
        <f>IF('Entry Form'!C10="","",'Entry Form'!C10)</f>
        <v/>
      </c>
      <c r="D5" s="51" t="str">
        <f>IF('Entry Form'!D10="","",'Entry Form'!D10)</f>
        <v/>
      </c>
      <c r="E5" s="52" t="str">
        <f>IF('Entry Form'!E10="","",'Entry Form'!E10)</f>
        <v/>
      </c>
      <c r="F5" s="51" t="str">
        <f>IF('Entry Form'!F10="","",'Entry Form'!F10)</f>
        <v/>
      </c>
      <c r="G5" s="53" t="str">
        <f>IF('Entry Form'!G10="","",'Entry Form'!G10)</f>
        <v/>
      </c>
      <c r="H5" s="54">
        <f>IF('Entry Form'!H10="","",'Entry Form'!H10)</f>
        <v>0</v>
      </c>
      <c r="I5" s="55" t="str">
        <f>IF('Entry Form'!I10="","",'Entry Form'!I10)</f>
        <v/>
      </c>
      <c r="J5" s="55" t="str">
        <f>IF('Entry Form'!J10="","",'Entry Form'!J10)</f>
        <v/>
      </c>
    </row>
    <row r="6" spans="1:10" x14ac:dyDescent="0.2">
      <c r="A6" s="24" t="e">
        <f>IF('Entry Form'!#REF!="","",'Entry Form'!#REF!)</f>
        <v>#REF!</v>
      </c>
      <c r="B6" s="14" t="str">
        <f>IF('Entry Form'!B11="","",'Entry Form'!B11)</f>
        <v/>
      </c>
      <c r="C6" s="48" t="str">
        <f>IF('Entry Form'!C11="","",'Entry Form'!C11)</f>
        <v/>
      </c>
      <c r="D6" s="29" t="str">
        <f>IF('Entry Form'!D11="","",'Entry Form'!D11)</f>
        <v/>
      </c>
      <c r="E6" s="38" t="str">
        <f>IF('Entry Form'!E11="","",'Entry Form'!E11)</f>
        <v/>
      </c>
      <c r="F6" s="29" t="str">
        <f>IF('Entry Form'!F11="","",'Entry Form'!F11)</f>
        <v/>
      </c>
      <c r="G6" s="25" t="str">
        <f>IF('Entry Form'!G11="","",'Entry Form'!G11)</f>
        <v/>
      </c>
      <c r="H6" s="15">
        <f>IF('Entry Form'!H11="","",'Entry Form'!H11)</f>
        <v>0</v>
      </c>
      <c r="I6" s="27" t="str">
        <f>IF('Entry Form'!I11="","",'Entry Form'!I11)</f>
        <v/>
      </c>
      <c r="J6" s="27" t="str">
        <f>IF('Entry Form'!J11="","",'Entry Form'!J11)</f>
        <v/>
      </c>
    </row>
    <row r="7" spans="1:10" x14ac:dyDescent="0.2">
      <c r="A7" s="44" t="e">
        <f>IF('Entry Form'!#REF!="","",'Entry Form'!#REF!)</f>
        <v>#REF!</v>
      </c>
      <c r="B7" s="49" t="str">
        <f>IF('Entry Form'!B12="","",'Entry Form'!B12)</f>
        <v/>
      </c>
      <c r="C7" s="50" t="str">
        <f>IF('Entry Form'!C12="","",'Entry Form'!C12)</f>
        <v/>
      </c>
      <c r="D7" s="51" t="str">
        <f>IF('Entry Form'!D12="","",'Entry Form'!D12)</f>
        <v/>
      </c>
      <c r="E7" s="52" t="str">
        <f>IF('Entry Form'!E12="","",'Entry Form'!E12)</f>
        <v/>
      </c>
      <c r="F7" s="51" t="str">
        <f>IF('Entry Form'!F12="","",'Entry Form'!F12)</f>
        <v/>
      </c>
      <c r="G7" s="53" t="str">
        <f>IF('Entry Form'!G12="","",'Entry Form'!G12)</f>
        <v/>
      </c>
      <c r="H7" s="54">
        <f>IF('Entry Form'!H12="","",'Entry Form'!H12)</f>
        <v>0</v>
      </c>
      <c r="I7" s="55" t="str">
        <f>IF('Entry Form'!I12="","",'Entry Form'!I12)</f>
        <v/>
      </c>
      <c r="J7" s="55" t="str">
        <f>IF('Entry Form'!J12="","",'Entry Form'!J12)</f>
        <v/>
      </c>
    </row>
    <row r="8" spans="1:10" x14ac:dyDescent="0.2">
      <c r="A8" s="24" t="str">
        <f>IF('Entry Form'!A11="","",'Entry Form'!A11)</f>
        <v/>
      </c>
      <c r="B8" s="14" t="str">
        <f>IF('Entry Form'!B13="","",'Entry Form'!B13)</f>
        <v/>
      </c>
      <c r="C8" s="48" t="str">
        <f>IF('Entry Form'!C13="","",'Entry Form'!C13)</f>
        <v/>
      </c>
      <c r="D8" s="29" t="str">
        <f>IF('Entry Form'!D13="","",'Entry Form'!D13)</f>
        <v/>
      </c>
      <c r="E8" s="38" t="str">
        <f>IF('Entry Form'!E13="","",'Entry Form'!E13)</f>
        <v/>
      </c>
      <c r="F8" s="29" t="str">
        <f>IF('Entry Form'!F13="","",'Entry Form'!F13)</f>
        <v/>
      </c>
      <c r="G8" s="25" t="str">
        <f>IF('Entry Form'!G13="","",'Entry Form'!G13)</f>
        <v/>
      </c>
      <c r="H8" s="15">
        <f>IF('Entry Form'!H13="","",'Entry Form'!H13)</f>
        <v>0</v>
      </c>
      <c r="I8" s="27" t="str">
        <f>IF('Entry Form'!I13="","",'Entry Form'!I13)</f>
        <v/>
      </c>
      <c r="J8" s="27" t="str">
        <f>IF('Entry Form'!J13="","",'Entry Form'!J13)</f>
        <v/>
      </c>
    </row>
    <row r="9" spans="1:10" x14ac:dyDescent="0.2">
      <c r="A9" s="44" t="str">
        <f>IF('Entry Form'!A12="","",'Entry Form'!A12)</f>
        <v/>
      </c>
      <c r="B9" s="49" t="str">
        <f>IF('Entry Form'!B14="","",'Entry Form'!B14)</f>
        <v/>
      </c>
      <c r="C9" s="50" t="str">
        <f>IF('Entry Form'!C14="","",'Entry Form'!C14)</f>
        <v/>
      </c>
      <c r="D9" s="51" t="str">
        <f>IF('Entry Form'!D14="","",'Entry Form'!D14)</f>
        <v/>
      </c>
      <c r="E9" s="52" t="str">
        <f>IF('Entry Form'!E14="","",'Entry Form'!E14)</f>
        <v/>
      </c>
      <c r="F9" s="51" t="str">
        <f>IF('Entry Form'!F14="","",'Entry Form'!F14)</f>
        <v/>
      </c>
      <c r="G9" s="53" t="str">
        <f>IF('Entry Form'!G14="","",'Entry Form'!G14)</f>
        <v/>
      </c>
      <c r="H9" s="54">
        <f>IF('Entry Form'!H14="","",'Entry Form'!H14)</f>
        <v>0</v>
      </c>
      <c r="I9" s="55" t="str">
        <f>IF('Entry Form'!I14="","",'Entry Form'!I14)</f>
        <v/>
      </c>
      <c r="J9" s="55" t="str">
        <f>IF('Entry Form'!J14="","",'Entry Form'!J14)</f>
        <v/>
      </c>
    </row>
    <row r="10" spans="1:10" x14ac:dyDescent="0.2">
      <c r="A10" s="24" t="str">
        <f>IF('Entry Form'!A13="","",'Entry Form'!A13)</f>
        <v/>
      </c>
      <c r="B10" s="14" t="str">
        <f>IF('Entry Form'!B15="","",'Entry Form'!B15)</f>
        <v/>
      </c>
      <c r="C10" s="48" t="str">
        <f>IF('Entry Form'!C15="","",'Entry Form'!C15)</f>
        <v/>
      </c>
      <c r="D10" s="29" t="str">
        <f>IF('Entry Form'!D15="","",'Entry Form'!D15)</f>
        <v/>
      </c>
      <c r="E10" s="38" t="str">
        <f>IF('Entry Form'!E15="","",'Entry Form'!E15)</f>
        <v/>
      </c>
      <c r="F10" s="29" t="str">
        <f>IF('Entry Form'!F15="","",'Entry Form'!F15)</f>
        <v/>
      </c>
      <c r="G10" s="25" t="str">
        <f>IF('Entry Form'!G15="","",'Entry Form'!G15)</f>
        <v/>
      </c>
      <c r="H10" s="15">
        <f>IF('Entry Form'!H15="","",'Entry Form'!H15)</f>
        <v>0</v>
      </c>
      <c r="I10" s="27" t="str">
        <f>IF('Entry Form'!I15="","",'Entry Form'!I15)</f>
        <v/>
      </c>
      <c r="J10" s="27" t="str">
        <f>IF('Entry Form'!J15="","",'Entry Form'!J15)</f>
        <v/>
      </c>
    </row>
    <row r="11" spans="1:10" x14ac:dyDescent="0.2">
      <c r="A11" s="44" t="str">
        <f>IF('Entry Form'!A14="","",'Entry Form'!A14)</f>
        <v/>
      </c>
      <c r="B11" s="49" t="str">
        <f>IF('Entry Form'!B16="","",'Entry Form'!B16)</f>
        <v/>
      </c>
      <c r="C11" s="50" t="str">
        <f>IF('Entry Form'!C16="","",'Entry Form'!C16)</f>
        <v/>
      </c>
      <c r="D11" s="51" t="str">
        <f>IF('Entry Form'!D16="","",'Entry Form'!D16)</f>
        <v/>
      </c>
      <c r="E11" s="52" t="str">
        <f>IF('Entry Form'!E16="","",'Entry Form'!E16)</f>
        <v/>
      </c>
      <c r="F11" s="51" t="str">
        <f>IF('Entry Form'!F16="","",'Entry Form'!F16)</f>
        <v/>
      </c>
      <c r="G11" s="53" t="str">
        <f>IF('Entry Form'!G16="","",'Entry Form'!G16)</f>
        <v/>
      </c>
      <c r="H11" s="54">
        <f>IF('Entry Form'!H16="","",'Entry Form'!H16)</f>
        <v>0</v>
      </c>
      <c r="I11" s="55" t="str">
        <f>IF('Entry Form'!I16="","",'Entry Form'!I16)</f>
        <v/>
      </c>
      <c r="J11" s="55" t="str">
        <f>IF('Entry Form'!J16="","",'Entry Form'!J16)</f>
        <v/>
      </c>
    </row>
    <row r="12" spans="1:10" x14ac:dyDescent="0.2">
      <c r="A12" s="24" t="str">
        <f>IF('Entry Form'!A15="","",'Entry Form'!A15)</f>
        <v/>
      </c>
      <c r="B12" s="14" t="str">
        <f>IF('Entry Form'!B17="","",'Entry Form'!B17)</f>
        <v/>
      </c>
      <c r="C12" s="48" t="str">
        <f>IF('Entry Form'!C17="","",'Entry Form'!C17)</f>
        <v/>
      </c>
      <c r="D12" s="29" t="str">
        <f>IF('Entry Form'!D17="","",'Entry Form'!D17)</f>
        <v/>
      </c>
      <c r="E12" s="38" t="str">
        <f>IF('Entry Form'!E17="","",'Entry Form'!E17)</f>
        <v/>
      </c>
      <c r="F12" s="29" t="str">
        <f>IF('Entry Form'!F17="","",'Entry Form'!F17)</f>
        <v/>
      </c>
      <c r="G12" s="25" t="str">
        <f>IF('Entry Form'!G17="","",'Entry Form'!G17)</f>
        <v/>
      </c>
      <c r="H12" s="15">
        <f>IF('Entry Form'!H17="","",'Entry Form'!H17)</f>
        <v>0</v>
      </c>
      <c r="I12" s="27" t="str">
        <f>IF('Entry Form'!I17="","",'Entry Form'!I17)</f>
        <v/>
      </c>
      <c r="J12" s="27" t="str">
        <f>IF('Entry Form'!J17="","",'Entry Form'!J17)</f>
        <v/>
      </c>
    </row>
    <row r="13" spans="1:10" x14ac:dyDescent="0.2">
      <c r="A13" s="44" t="str">
        <f>IF('Entry Form'!A18="","",'Entry Form'!A18)</f>
        <v/>
      </c>
      <c r="B13" s="49" t="str">
        <f>IF('Entry Form'!B18="","",'Entry Form'!B18)</f>
        <v/>
      </c>
      <c r="C13" s="50" t="str">
        <f>IF('Entry Form'!C18="","",'Entry Form'!C18)</f>
        <v/>
      </c>
      <c r="D13" s="51" t="str">
        <f>IF('Entry Form'!D18="","",'Entry Form'!D18)</f>
        <v/>
      </c>
      <c r="E13" s="52" t="str">
        <f>IF('Entry Form'!E18="","",'Entry Form'!E18)</f>
        <v/>
      </c>
      <c r="F13" s="51" t="str">
        <f>IF('Entry Form'!F18="","",'Entry Form'!F18)</f>
        <v/>
      </c>
      <c r="G13" s="53" t="str">
        <f>IF('Entry Form'!G18="","",'Entry Form'!G18)</f>
        <v/>
      </c>
      <c r="H13" s="54">
        <f>IF('Entry Form'!H18="","",'Entry Form'!H18)</f>
        <v>0</v>
      </c>
      <c r="I13" s="55" t="str">
        <f>IF('Entry Form'!I18="","",'Entry Form'!I18)</f>
        <v/>
      </c>
      <c r="J13" s="55" t="str">
        <f>IF('Entry Form'!J18="","",'Entry Form'!J18)</f>
        <v/>
      </c>
    </row>
    <row r="14" spans="1:10" x14ac:dyDescent="0.2">
      <c r="A14" s="24" t="str">
        <f>IF('Entry Form'!A19="","",'Entry Form'!A19)</f>
        <v/>
      </c>
      <c r="B14" s="14" t="str">
        <f>IF('Entry Form'!B19="","",'Entry Form'!B19)</f>
        <v/>
      </c>
      <c r="C14" s="48" t="str">
        <f>IF('Entry Form'!C19="","",'Entry Form'!C19)</f>
        <v/>
      </c>
      <c r="D14" s="29" t="str">
        <f>IF('Entry Form'!D19="","",'Entry Form'!D19)</f>
        <v/>
      </c>
      <c r="E14" s="38" t="str">
        <f>IF('Entry Form'!E19="","",'Entry Form'!E19)</f>
        <v/>
      </c>
      <c r="F14" s="29" t="str">
        <f>IF('Entry Form'!F19="","",'Entry Form'!F19)</f>
        <v/>
      </c>
      <c r="G14" s="25" t="str">
        <f>IF('Entry Form'!G19="","",'Entry Form'!G19)</f>
        <v/>
      </c>
      <c r="H14" s="15">
        <f>IF('Entry Form'!H19="","",'Entry Form'!H19)</f>
        <v>0</v>
      </c>
      <c r="I14" s="27" t="str">
        <f>IF('Entry Form'!I19="","",'Entry Form'!I19)</f>
        <v/>
      </c>
      <c r="J14" s="27" t="str">
        <f>IF('Entry Form'!J19="","",'Entry Form'!J19)</f>
        <v/>
      </c>
    </row>
    <row r="15" spans="1:10" x14ac:dyDescent="0.2">
      <c r="A15" s="44" t="str">
        <f>IF('Entry Form'!A20="","",'Entry Form'!A20)</f>
        <v/>
      </c>
      <c r="B15" s="49" t="str">
        <f>IF('Entry Form'!B20="","",'Entry Form'!B20)</f>
        <v/>
      </c>
      <c r="C15" s="50" t="str">
        <f>IF('Entry Form'!C20="","",'Entry Form'!C20)</f>
        <v/>
      </c>
      <c r="D15" s="51" t="str">
        <f>IF('Entry Form'!D20="","",'Entry Form'!D20)</f>
        <v/>
      </c>
      <c r="E15" s="52" t="str">
        <f>IF('Entry Form'!E20="","",'Entry Form'!E20)</f>
        <v/>
      </c>
      <c r="F15" s="51" t="str">
        <f>IF('Entry Form'!F20="","",'Entry Form'!F20)</f>
        <v/>
      </c>
      <c r="G15" s="53" t="str">
        <f>IF('Entry Form'!G20="","",'Entry Form'!G20)</f>
        <v/>
      </c>
      <c r="H15" s="54">
        <f>IF('Entry Form'!H20="","",'Entry Form'!H20)</f>
        <v>0</v>
      </c>
      <c r="I15" s="55" t="str">
        <f>IF('Entry Form'!I20="","",'Entry Form'!I20)</f>
        <v/>
      </c>
      <c r="J15" s="55" t="str">
        <f>IF('Entry Form'!J20="","",'Entry Form'!J20)</f>
        <v/>
      </c>
    </row>
    <row r="16" spans="1:10" x14ac:dyDescent="0.2">
      <c r="A16" s="24" t="str">
        <f>IF('Entry Form'!A21="","",'Entry Form'!A21)</f>
        <v/>
      </c>
      <c r="B16" s="14" t="str">
        <f>IF('Entry Form'!B21="","",'Entry Form'!B21)</f>
        <v/>
      </c>
      <c r="C16" s="48" t="str">
        <f>IF('Entry Form'!C21="","",'Entry Form'!C21)</f>
        <v/>
      </c>
      <c r="D16" s="29" t="str">
        <f>IF('Entry Form'!D21="","",'Entry Form'!D21)</f>
        <v/>
      </c>
      <c r="E16" s="38" t="str">
        <f>IF('Entry Form'!E21="","",'Entry Form'!E21)</f>
        <v/>
      </c>
      <c r="F16" s="29" t="str">
        <f>IF('Entry Form'!F21="","",'Entry Form'!F21)</f>
        <v/>
      </c>
      <c r="G16" s="25" t="str">
        <f>IF('Entry Form'!G21="","",'Entry Form'!G21)</f>
        <v/>
      </c>
      <c r="H16" s="15">
        <f>IF('Entry Form'!H21="","",'Entry Form'!H21)</f>
        <v>0</v>
      </c>
      <c r="I16" s="27" t="str">
        <f>IF('Entry Form'!I21="","",'Entry Form'!I21)</f>
        <v/>
      </c>
      <c r="J16" s="27" t="str">
        <f>IF('Entry Form'!J21="","",'Entry Form'!J21)</f>
        <v/>
      </c>
    </row>
    <row r="17" spans="1:10" x14ac:dyDescent="0.2">
      <c r="A17" s="44" t="str">
        <f>IF('Entry Form'!A22="","",'Entry Form'!A22)</f>
        <v/>
      </c>
      <c r="B17" s="49" t="str">
        <f>IF('Entry Form'!B22="","",'Entry Form'!B22)</f>
        <v/>
      </c>
      <c r="C17" s="50" t="str">
        <f>IF('Entry Form'!C22="","",'Entry Form'!C22)</f>
        <v/>
      </c>
      <c r="D17" s="51" t="str">
        <f>IF('Entry Form'!D22="","",'Entry Form'!D22)</f>
        <v/>
      </c>
      <c r="E17" s="52" t="str">
        <f>IF('Entry Form'!E22="","",'Entry Form'!E22)</f>
        <v/>
      </c>
      <c r="F17" s="51" t="str">
        <f>IF('Entry Form'!F22="","",'Entry Form'!F22)</f>
        <v/>
      </c>
      <c r="G17" s="53" t="str">
        <f>IF('Entry Form'!G22="","",'Entry Form'!G22)</f>
        <v/>
      </c>
      <c r="H17" s="54">
        <f>IF('Entry Form'!H22="","",'Entry Form'!H22)</f>
        <v>0</v>
      </c>
      <c r="I17" s="55" t="str">
        <f>IF('Entry Form'!I22="","",'Entry Form'!I22)</f>
        <v/>
      </c>
      <c r="J17" s="55" t="str">
        <f>IF('Entry Form'!J22="","",'Entry Form'!J22)</f>
        <v/>
      </c>
    </row>
    <row r="18" spans="1:10" x14ac:dyDescent="0.2">
      <c r="A18" s="24" t="str">
        <f>IF('Entry Form'!A23="","",'Entry Form'!A23)</f>
        <v/>
      </c>
      <c r="B18" s="14" t="str">
        <f>IF('Entry Form'!B23="","",'Entry Form'!B23)</f>
        <v/>
      </c>
      <c r="C18" s="48" t="str">
        <f>IF('Entry Form'!C23="","",'Entry Form'!C23)</f>
        <v/>
      </c>
      <c r="D18" s="29" t="str">
        <f>IF('Entry Form'!D23="","",'Entry Form'!D23)</f>
        <v/>
      </c>
      <c r="E18" s="38" t="str">
        <f>IF('Entry Form'!E23="","",'Entry Form'!E23)</f>
        <v/>
      </c>
      <c r="F18" s="29" t="str">
        <f>IF('Entry Form'!F23="","",'Entry Form'!F23)</f>
        <v/>
      </c>
      <c r="G18" s="25" t="str">
        <f>IF('Entry Form'!G23="","",'Entry Form'!G23)</f>
        <v/>
      </c>
      <c r="H18" s="15">
        <f>IF('Entry Form'!H23="","",'Entry Form'!H23)</f>
        <v>0</v>
      </c>
      <c r="I18" s="27" t="str">
        <f>IF('Entry Form'!I23="","",'Entry Form'!I23)</f>
        <v/>
      </c>
      <c r="J18" s="27" t="str">
        <f>IF('Entry Form'!J23="","",'Entry Form'!J23)</f>
        <v/>
      </c>
    </row>
    <row r="19" spans="1:10" x14ac:dyDescent="0.2">
      <c r="A19" s="44" t="str">
        <f>IF('Entry Form'!A24="","",'Entry Form'!A24)</f>
        <v/>
      </c>
      <c r="B19" s="49" t="str">
        <f>IF('Entry Form'!B24="","",'Entry Form'!B24)</f>
        <v/>
      </c>
      <c r="C19" s="50" t="str">
        <f>IF('Entry Form'!C24="","",'Entry Form'!C24)</f>
        <v/>
      </c>
      <c r="D19" s="51" t="str">
        <f>IF('Entry Form'!D24="","",'Entry Form'!D24)</f>
        <v/>
      </c>
      <c r="E19" s="52" t="str">
        <f>IF('Entry Form'!E24="","",'Entry Form'!E24)</f>
        <v/>
      </c>
      <c r="F19" s="51" t="str">
        <f>IF('Entry Form'!F24="","",'Entry Form'!F24)</f>
        <v/>
      </c>
      <c r="G19" s="53" t="str">
        <f>IF('Entry Form'!G24="","",'Entry Form'!G24)</f>
        <v/>
      </c>
      <c r="H19" s="54">
        <f>IF('Entry Form'!H24="","",'Entry Form'!H24)</f>
        <v>0</v>
      </c>
      <c r="I19" s="55" t="str">
        <f>IF('Entry Form'!I24="","",'Entry Form'!I24)</f>
        <v/>
      </c>
      <c r="J19" s="55" t="str">
        <f>IF('Entry Form'!J24="","",'Entry Form'!J24)</f>
        <v/>
      </c>
    </row>
    <row r="20" spans="1:10" x14ac:dyDescent="0.2">
      <c r="A20" s="24" t="str">
        <f>IF('Entry Form'!A25="","",'Entry Form'!A25)</f>
        <v/>
      </c>
      <c r="B20" s="14" t="str">
        <f>IF('Entry Form'!B25="","",'Entry Form'!B25)</f>
        <v/>
      </c>
      <c r="C20" s="48" t="str">
        <f>IF('Entry Form'!C25="","",'Entry Form'!C25)</f>
        <v/>
      </c>
      <c r="D20" s="29" t="str">
        <f>IF('Entry Form'!D25="","",'Entry Form'!D25)</f>
        <v/>
      </c>
      <c r="E20" s="38" t="str">
        <f>IF('Entry Form'!E25="","",'Entry Form'!E25)</f>
        <v/>
      </c>
      <c r="F20" s="29" t="str">
        <f>IF('Entry Form'!F25="","",'Entry Form'!F25)</f>
        <v/>
      </c>
      <c r="G20" s="25" t="str">
        <f>IF('Entry Form'!G25="","",'Entry Form'!G25)</f>
        <v/>
      </c>
      <c r="H20" s="15">
        <f>IF('Entry Form'!H25="","",'Entry Form'!H25)</f>
        <v>0</v>
      </c>
      <c r="I20" s="27" t="str">
        <f>IF('Entry Form'!I25="","",'Entry Form'!I25)</f>
        <v/>
      </c>
      <c r="J20" s="27" t="str">
        <f>IF('Entry Form'!J25="","",'Entry Form'!J25)</f>
        <v/>
      </c>
    </row>
    <row r="21" spans="1:10" x14ac:dyDescent="0.2">
      <c r="A21" s="44" t="str">
        <f>IF('Entry Form'!A26="","",'Entry Form'!A26)</f>
        <v/>
      </c>
      <c r="B21" s="49" t="str">
        <f>IF('Entry Form'!B26="","",'Entry Form'!B26)</f>
        <v/>
      </c>
      <c r="C21" s="50" t="str">
        <f>IF('Entry Form'!C26="","",'Entry Form'!C26)</f>
        <v/>
      </c>
      <c r="D21" s="51" t="str">
        <f>IF('Entry Form'!D26="","",'Entry Form'!D26)</f>
        <v/>
      </c>
      <c r="E21" s="52" t="str">
        <f>IF('Entry Form'!E26="","",'Entry Form'!E26)</f>
        <v/>
      </c>
      <c r="F21" s="51" t="str">
        <f>IF('Entry Form'!F26="","",'Entry Form'!F26)</f>
        <v/>
      </c>
      <c r="G21" s="53" t="str">
        <f>IF('Entry Form'!G26="","",'Entry Form'!G26)</f>
        <v/>
      </c>
      <c r="H21" s="54">
        <f>IF('Entry Form'!H26="","",'Entry Form'!H26)</f>
        <v>0</v>
      </c>
      <c r="I21" s="55" t="str">
        <f>IF('Entry Form'!I26="","",'Entry Form'!I26)</f>
        <v/>
      </c>
      <c r="J21" s="55" t="str">
        <f>IF('Entry Form'!J26="","",'Entry Form'!J26)</f>
        <v/>
      </c>
    </row>
    <row r="22" spans="1:10" x14ac:dyDescent="0.2">
      <c r="A22" s="24" t="str">
        <f>IF('Entry Form'!A27="","",'Entry Form'!A27)</f>
        <v/>
      </c>
      <c r="B22" s="14" t="str">
        <f>IF('Entry Form'!B27="","",'Entry Form'!B27)</f>
        <v/>
      </c>
      <c r="C22" s="48" t="str">
        <f>IF('Entry Form'!C27="","",'Entry Form'!C27)</f>
        <v/>
      </c>
      <c r="D22" s="29" t="str">
        <f>IF('Entry Form'!D27="","",'Entry Form'!D27)</f>
        <v/>
      </c>
      <c r="E22" s="38" t="str">
        <f>IF('Entry Form'!E27="","",'Entry Form'!E27)</f>
        <v/>
      </c>
      <c r="F22" s="29" t="str">
        <f>IF('Entry Form'!F27="","",'Entry Form'!F27)</f>
        <v/>
      </c>
      <c r="G22" s="25" t="str">
        <f>IF('Entry Form'!G27="","",'Entry Form'!G27)</f>
        <v/>
      </c>
      <c r="H22" s="15">
        <f>IF('Entry Form'!H27="","",'Entry Form'!H27)</f>
        <v>0</v>
      </c>
      <c r="I22" s="27" t="str">
        <f>IF('Entry Form'!I27="","",'Entry Form'!I27)</f>
        <v/>
      </c>
      <c r="J22" s="27" t="str">
        <f>IF('Entry Form'!J27="","",'Entry Form'!J27)</f>
        <v/>
      </c>
    </row>
    <row r="23" spans="1:10" x14ac:dyDescent="0.2">
      <c r="A23" s="44" t="str">
        <f>IF('Entry Form'!A28="","",'Entry Form'!A28)</f>
        <v/>
      </c>
      <c r="B23" s="49" t="str">
        <f>IF('Entry Form'!B28="","",'Entry Form'!B28)</f>
        <v/>
      </c>
      <c r="C23" s="50" t="str">
        <f>IF('Entry Form'!C28="","",'Entry Form'!C28)</f>
        <v/>
      </c>
      <c r="D23" s="51" t="str">
        <f>IF('Entry Form'!D28="","",'Entry Form'!D28)</f>
        <v/>
      </c>
      <c r="E23" s="52" t="str">
        <f>IF('Entry Form'!E28="","",'Entry Form'!E28)</f>
        <v/>
      </c>
      <c r="F23" s="51" t="str">
        <f>IF('Entry Form'!F28="","",'Entry Form'!F28)</f>
        <v/>
      </c>
      <c r="G23" s="53" t="str">
        <f>IF('Entry Form'!G28="","",'Entry Form'!G28)</f>
        <v/>
      </c>
      <c r="H23" s="54">
        <f>IF('Entry Form'!H28="","",'Entry Form'!H28)</f>
        <v>0</v>
      </c>
      <c r="I23" s="55" t="str">
        <f>IF('Entry Form'!I28="","",'Entry Form'!I28)</f>
        <v/>
      </c>
      <c r="J23" s="55" t="str">
        <f>IF('Entry Form'!J28="","",'Entry Form'!J28)</f>
        <v/>
      </c>
    </row>
    <row r="24" spans="1:10" x14ac:dyDescent="0.2">
      <c r="A24" s="24" t="str">
        <f>IF('Entry Form'!A29="","",'Entry Form'!A29)</f>
        <v/>
      </c>
      <c r="B24" s="14" t="str">
        <f>IF('Entry Form'!B29="","",'Entry Form'!B29)</f>
        <v/>
      </c>
      <c r="C24" s="48" t="str">
        <f>IF('Entry Form'!C29="","",'Entry Form'!C29)</f>
        <v/>
      </c>
      <c r="D24" s="29" t="str">
        <f>IF('Entry Form'!D29="","",'Entry Form'!D29)</f>
        <v/>
      </c>
      <c r="E24" s="38" t="str">
        <f>IF('Entry Form'!E29="","",'Entry Form'!E29)</f>
        <v/>
      </c>
      <c r="F24" s="29" t="str">
        <f>IF('Entry Form'!F29="","",'Entry Form'!F29)</f>
        <v/>
      </c>
      <c r="G24" s="25" t="str">
        <f>IF('Entry Form'!G29="","",'Entry Form'!G29)</f>
        <v/>
      </c>
      <c r="H24" s="15">
        <f>IF('Entry Form'!H29="","",'Entry Form'!H29)</f>
        <v>0</v>
      </c>
      <c r="I24" s="27" t="str">
        <f>IF('Entry Form'!I29="","",'Entry Form'!I29)</f>
        <v/>
      </c>
      <c r="J24" s="27" t="str">
        <f>IF('Entry Form'!J29="","",'Entry Form'!J29)</f>
        <v/>
      </c>
    </row>
    <row r="25" spans="1:10" x14ac:dyDescent="0.2">
      <c r="A25" s="44" t="str">
        <f>IF('Entry Form'!A30="","",'Entry Form'!A30)</f>
        <v/>
      </c>
      <c r="B25" s="49" t="str">
        <f>IF('Entry Form'!B30="","",'Entry Form'!B30)</f>
        <v/>
      </c>
      <c r="C25" s="50" t="str">
        <f>IF('Entry Form'!C30="","",'Entry Form'!C30)</f>
        <v/>
      </c>
      <c r="D25" s="51" t="str">
        <f>IF('Entry Form'!D30="","",'Entry Form'!D30)</f>
        <v/>
      </c>
      <c r="E25" s="52" t="str">
        <f>IF('Entry Form'!E30="","",'Entry Form'!E30)</f>
        <v/>
      </c>
      <c r="F25" s="51" t="str">
        <f>IF('Entry Form'!F30="","",'Entry Form'!F30)</f>
        <v/>
      </c>
      <c r="G25" s="53" t="str">
        <f>IF('Entry Form'!G30="","",'Entry Form'!G30)</f>
        <v/>
      </c>
      <c r="H25" s="54">
        <f>IF('Entry Form'!H30="","",'Entry Form'!H30)</f>
        <v>0</v>
      </c>
      <c r="I25" s="55" t="str">
        <f>IF('Entry Form'!I30="","",'Entry Form'!I30)</f>
        <v/>
      </c>
      <c r="J25" s="55" t="str">
        <f>IF('Entry Form'!J30="","",'Entry Form'!J30)</f>
        <v/>
      </c>
    </row>
    <row r="26" spans="1:10" x14ac:dyDescent="0.2">
      <c r="A26" s="24" t="str">
        <f>IF('Entry Form'!A31="","",'Entry Form'!A31)</f>
        <v/>
      </c>
      <c r="B26" s="14" t="str">
        <f>IF('Entry Form'!B31="","",'Entry Form'!B31)</f>
        <v/>
      </c>
      <c r="C26" s="48" t="str">
        <f>IF('Entry Form'!C31="","",'Entry Form'!C31)</f>
        <v/>
      </c>
      <c r="D26" s="29" t="str">
        <f>IF('Entry Form'!D31="","",'Entry Form'!D31)</f>
        <v/>
      </c>
      <c r="E26" s="38" t="str">
        <f>IF('Entry Form'!E31="","",'Entry Form'!E31)</f>
        <v/>
      </c>
      <c r="F26" s="29" t="str">
        <f>IF('Entry Form'!F31="","",'Entry Form'!F31)</f>
        <v/>
      </c>
      <c r="G26" s="25" t="str">
        <f>IF('Entry Form'!G31="","",'Entry Form'!G31)</f>
        <v/>
      </c>
      <c r="H26" s="15">
        <f>IF('Entry Form'!H31="","",'Entry Form'!H31)</f>
        <v>0</v>
      </c>
      <c r="I26" s="27" t="str">
        <f>IF('Entry Form'!I31="","",'Entry Form'!I31)</f>
        <v/>
      </c>
      <c r="J26" s="27" t="str">
        <f>IF('Entry Form'!J31="","",'Entry Form'!J31)</f>
        <v/>
      </c>
    </row>
    <row r="27" spans="1:10" x14ac:dyDescent="0.2">
      <c r="A27" s="44" t="str">
        <f>IF('Entry Form'!A32="","",'Entry Form'!A32)</f>
        <v/>
      </c>
      <c r="B27" s="49" t="str">
        <f>IF('Entry Form'!B32="","",'Entry Form'!B32)</f>
        <v/>
      </c>
      <c r="C27" s="50" t="str">
        <f>IF('Entry Form'!C32="","",'Entry Form'!C32)</f>
        <v/>
      </c>
      <c r="D27" s="51" t="str">
        <f>IF('Entry Form'!D32="","",'Entry Form'!D32)</f>
        <v/>
      </c>
      <c r="E27" s="52" t="str">
        <f>IF('Entry Form'!E32="","",'Entry Form'!E32)</f>
        <v/>
      </c>
      <c r="F27" s="51" t="str">
        <f>IF('Entry Form'!F32="","",'Entry Form'!F32)</f>
        <v/>
      </c>
      <c r="G27" s="53" t="str">
        <f>IF('Entry Form'!G32="","",'Entry Form'!G32)</f>
        <v/>
      </c>
      <c r="H27" s="54">
        <f>IF('Entry Form'!H32="","",'Entry Form'!H32)</f>
        <v>0</v>
      </c>
      <c r="I27" s="55" t="str">
        <f>IF('Entry Form'!I32="","",'Entry Form'!I32)</f>
        <v/>
      </c>
      <c r="J27" s="55" t="str">
        <f>IF('Entry Form'!J32="","",'Entry Form'!J32)</f>
        <v/>
      </c>
    </row>
    <row r="28" spans="1:10" x14ac:dyDescent="0.2">
      <c r="A28" s="24" t="str">
        <f>IF('Entry Form'!A33="","",'Entry Form'!A33)</f>
        <v/>
      </c>
      <c r="B28" s="14" t="str">
        <f>IF('Entry Form'!B33="","",'Entry Form'!B33)</f>
        <v/>
      </c>
      <c r="C28" s="48" t="str">
        <f>IF('Entry Form'!C33="","",'Entry Form'!C33)</f>
        <v/>
      </c>
      <c r="D28" s="29" t="str">
        <f>IF('Entry Form'!D33="","",'Entry Form'!D33)</f>
        <v/>
      </c>
      <c r="E28" s="38" t="str">
        <f>IF('Entry Form'!E33="","",'Entry Form'!E33)</f>
        <v/>
      </c>
      <c r="F28" s="29" t="str">
        <f>IF('Entry Form'!F33="","",'Entry Form'!F33)</f>
        <v/>
      </c>
      <c r="G28" s="25" t="str">
        <f>IF('Entry Form'!G33="","",'Entry Form'!G33)</f>
        <v/>
      </c>
      <c r="H28" s="15">
        <f>IF('Entry Form'!H33="","",'Entry Form'!H33)</f>
        <v>0</v>
      </c>
      <c r="I28" s="27" t="str">
        <f>IF('Entry Form'!I33="","",'Entry Form'!I33)</f>
        <v/>
      </c>
      <c r="J28" s="27" t="str">
        <f>IF('Entry Form'!J33="","",'Entry Form'!J33)</f>
        <v/>
      </c>
    </row>
    <row r="29" spans="1:10" x14ac:dyDescent="0.2">
      <c r="A29" s="44" t="str">
        <f>IF('Entry Form'!A34="","",'Entry Form'!A34)</f>
        <v/>
      </c>
      <c r="B29" s="49" t="str">
        <f>IF('Entry Form'!B34="","",'Entry Form'!B34)</f>
        <v/>
      </c>
      <c r="C29" s="50" t="str">
        <f>IF('Entry Form'!C34="","",'Entry Form'!C34)</f>
        <v/>
      </c>
      <c r="D29" s="51" t="str">
        <f>IF('Entry Form'!D34="","",'Entry Form'!D34)</f>
        <v/>
      </c>
      <c r="E29" s="52" t="str">
        <f>IF('Entry Form'!E34="","",'Entry Form'!E34)</f>
        <v/>
      </c>
      <c r="F29" s="51" t="str">
        <f>IF('Entry Form'!F34="","",'Entry Form'!F34)</f>
        <v/>
      </c>
      <c r="G29" s="53" t="str">
        <f>IF('Entry Form'!G34="","",'Entry Form'!G34)</f>
        <v/>
      </c>
      <c r="H29" s="54">
        <f>IF('Entry Form'!H34="","",'Entry Form'!H34)</f>
        <v>0</v>
      </c>
      <c r="I29" s="55" t="str">
        <f>IF('Entry Form'!I34="","",'Entry Form'!I34)</f>
        <v/>
      </c>
      <c r="J29" s="55" t="str">
        <f>IF('Entry Form'!J34="","",'Entry Form'!J34)</f>
        <v/>
      </c>
    </row>
    <row r="30" spans="1:10" x14ac:dyDescent="0.2">
      <c r="A30" s="24" t="str">
        <f>IF('Entry Form'!A35="","",'Entry Form'!A35)</f>
        <v/>
      </c>
      <c r="B30" s="14" t="str">
        <f>IF('Entry Form'!B35="","",'Entry Form'!B35)</f>
        <v/>
      </c>
      <c r="C30" s="48" t="str">
        <f>IF('Entry Form'!C35="","",'Entry Form'!C35)</f>
        <v/>
      </c>
      <c r="D30" s="29" t="str">
        <f>IF('Entry Form'!D35="","",'Entry Form'!D35)</f>
        <v/>
      </c>
      <c r="E30" s="38" t="str">
        <f>IF('Entry Form'!E35="","",'Entry Form'!E35)</f>
        <v/>
      </c>
      <c r="F30" s="29" t="str">
        <f>IF('Entry Form'!F35="","",'Entry Form'!F35)</f>
        <v/>
      </c>
      <c r="G30" s="25" t="str">
        <f>IF('Entry Form'!G35="","",'Entry Form'!G35)</f>
        <v/>
      </c>
      <c r="H30" s="15">
        <f>IF('Entry Form'!H35="","",'Entry Form'!H35)</f>
        <v>0</v>
      </c>
      <c r="I30" s="27" t="str">
        <f>IF('Entry Form'!I35="","",'Entry Form'!I35)</f>
        <v/>
      </c>
      <c r="J30" s="27" t="str">
        <f>IF('Entry Form'!J35="","",'Entry Form'!J35)</f>
        <v/>
      </c>
    </row>
    <row r="31" spans="1:10" x14ac:dyDescent="0.2">
      <c r="A31" s="44" t="str">
        <f>IF('Entry Form'!A41="","",'Entry Form'!A41)</f>
        <v/>
      </c>
      <c r="B31" s="49" t="str">
        <f>IF('Entry Form'!B41="","",'Entry Form'!B41)</f>
        <v/>
      </c>
      <c r="C31" s="50" t="str">
        <f>IF('Entry Form'!C41="","",'Entry Form'!C41)</f>
        <v/>
      </c>
      <c r="D31" s="51" t="str">
        <f>IF('Entry Form'!D41="","",'Entry Form'!D41)</f>
        <v/>
      </c>
      <c r="E31" s="52" t="str">
        <f>IF('Entry Form'!E41="","",'Entry Form'!E41)</f>
        <v/>
      </c>
      <c r="F31" s="51" t="str">
        <f>IF('Entry Form'!F41="","",'Entry Form'!F41)</f>
        <v/>
      </c>
      <c r="G31" s="53" t="str">
        <f>IF('Entry Form'!G41="","",'Entry Form'!G41)</f>
        <v/>
      </c>
      <c r="H31" s="54">
        <f>IF('Entry Form'!H41="","",'Entry Form'!H41)</f>
        <v>0</v>
      </c>
      <c r="I31" s="55" t="str">
        <f>IF('Entry Form'!I41="","",'Entry Form'!I41)</f>
        <v/>
      </c>
      <c r="J31" s="55" t="str">
        <f>IF('Entry Form'!J41="","",'Entry Form'!J41)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66" t="str">
        <f>'Prop JE - Reclass Expense'!A4</f>
        <v/>
      </c>
      <c r="B2" s="66" t="str">
        <f>'Prop JE - Reclass Expense'!B4</f>
        <v/>
      </c>
      <c r="C2" s="66" t="str">
        <f>'Prop JE - Reclass Expense'!C4</f>
        <v/>
      </c>
      <c r="D2" s="66" t="str">
        <f>'Prop JE - Reclass Expense'!D4</f>
        <v/>
      </c>
      <c r="E2" s="66" t="str">
        <f>'Prop JE - Reclass Expense'!E4</f>
        <v/>
      </c>
      <c r="F2" s="66">
        <f>'Prop JE - Reclass Expense'!F4</f>
        <v>0</v>
      </c>
      <c r="G2" s="66" t="str">
        <f>'Prop JE - Reclass Expense'!G4</f>
        <v/>
      </c>
      <c r="H2" s="66" t="str">
        <f>'Prop JE - Reclass Expense'!H4</f>
        <v/>
      </c>
      <c r="I2" s="66" t="str">
        <f>'Prop JE - Reclass Expense'!I4</f>
        <v/>
      </c>
    </row>
    <row r="3" spans="1:9" x14ac:dyDescent="0.2">
      <c r="A3" s="66" t="str">
        <f>'Prop JE - Reclass Expense'!A2</f>
        <v>E020052312</v>
      </c>
      <c r="B3" s="66" t="str">
        <f>'Prop JE - Reclass Expense'!B2</f>
        <v>Rcd LMS Exp Reimb</v>
      </c>
      <c r="C3" s="66" t="str">
        <f>'Prop JE - Reclass Expense'!C2</f>
        <v>5/23/2012</v>
      </c>
      <c r="D3" s="66" t="str">
        <f>'Prop JE - Reclass Expense'!D2</f>
        <v>0020</v>
      </c>
      <c r="E3" s="66">
        <f>'Prop JE - Reclass Expense'!E2</f>
        <v>8560</v>
      </c>
      <c r="F3" s="66">
        <f>'Prop JE - Reclass Expense'!F2</f>
        <v>0</v>
      </c>
      <c r="G3" s="66" t="str">
        <f>'Prop JE - Reclass Expense'!G2</f>
        <v>D</v>
      </c>
      <c r="H3" s="66">
        <f>'Prop JE - Reclass Expense'!H2</f>
        <v>25</v>
      </c>
      <c r="I3" s="66" t="str">
        <f>'Prop JE - Reclass Expense'!I2</f>
        <v>Cell Phone Reimbursement</v>
      </c>
    </row>
    <row r="4" spans="1:9" x14ac:dyDescent="0.2">
      <c r="A4" s="66" t="str">
        <f>'Prop JE - Reclass Expense'!A11</f>
        <v/>
      </c>
      <c r="B4" s="66" t="str">
        <f>'Prop JE - Reclass Expense'!B11</f>
        <v/>
      </c>
      <c r="C4" s="66" t="str">
        <f>'Prop JE - Reclass Expense'!C11</f>
        <v/>
      </c>
      <c r="D4" s="66" t="str">
        <f>'Prop JE - Reclass Expense'!D11</f>
        <v/>
      </c>
      <c r="E4" s="66" t="str">
        <f>'Prop JE - Reclass Expense'!E11</f>
        <v/>
      </c>
      <c r="F4" s="66">
        <f>'Prop JE - Reclass Expense'!F11</f>
        <v>0</v>
      </c>
      <c r="G4" s="66" t="str">
        <f>'Prop JE - Reclass Expense'!G11</f>
        <v/>
      </c>
      <c r="H4" s="66" t="str">
        <f>'Prop JE - Reclass Expense'!H11</f>
        <v/>
      </c>
      <c r="I4" s="66" t="str">
        <f>'Prop JE - Reclass Expense'!I11</f>
        <v/>
      </c>
    </row>
    <row r="5" spans="1:9" x14ac:dyDescent="0.2">
      <c r="A5" s="66" t="str">
        <f>'Prop JE - Reclass Expense'!A10</f>
        <v/>
      </c>
      <c r="B5" s="66" t="str">
        <f>'Prop JE - Reclass Expense'!B10</f>
        <v/>
      </c>
      <c r="C5" s="66" t="str">
        <f>'Prop JE - Reclass Expense'!C10</f>
        <v/>
      </c>
      <c r="D5" s="66" t="str">
        <f>'Prop JE - Reclass Expense'!D10</f>
        <v/>
      </c>
      <c r="E5" s="66" t="str">
        <f>'Prop JE - Reclass Expense'!E10</f>
        <v/>
      </c>
      <c r="F5" s="66">
        <f>'Prop JE - Reclass Expense'!F10</f>
        <v>0</v>
      </c>
      <c r="G5" s="66" t="str">
        <f>'Prop JE - Reclass Expense'!G10</f>
        <v/>
      </c>
      <c r="H5" s="66" t="str">
        <f>'Prop JE - Reclass Expense'!H10</f>
        <v/>
      </c>
      <c r="I5" s="66" t="str">
        <f>'Prop JE - Reclass Expense'!I10</f>
        <v/>
      </c>
    </row>
    <row r="6" spans="1:9" x14ac:dyDescent="0.2">
      <c r="A6" s="66" t="str">
        <f>'Prop JE - Reclass Expense'!A7</f>
        <v/>
      </c>
      <c r="B6" s="66" t="str">
        <f>'Prop JE - Reclass Expense'!B7</f>
        <v/>
      </c>
      <c r="C6" s="66" t="str">
        <f>'Prop JE - Reclass Expense'!C7</f>
        <v/>
      </c>
      <c r="D6" s="66" t="str">
        <f>'Prop JE - Reclass Expense'!D7</f>
        <v/>
      </c>
      <c r="E6" s="66" t="str">
        <f>'Prop JE - Reclass Expense'!E7</f>
        <v/>
      </c>
      <c r="F6" s="66">
        <f>'Prop JE - Reclass Expense'!F7</f>
        <v>0</v>
      </c>
      <c r="G6" s="66" t="str">
        <f>'Prop JE - Reclass Expense'!G7</f>
        <v/>
      </c>
      <c r="H6" s="66" t="str">
        <f>'Prop JE - Reclass Expense'!H7</f>
        <v/>
      </c>
      <c r="I6" s="66" t="str">
        <f>'Prop JE - Reclass Expense'!I7</f>
        <v/>
      </c>
    </row>
    <row r="7" spans="1:9" x14ac:dyDescent="0.2">
      <c r="A7" s="66" t="str">
        <f>'Prop JE - Reclass Expense'!A9</f>
        <v/>
      </c>
      <c r="B7" s="66" t="str">
        <f>'Prop JE - Reclass Expense'!B9</f>
        <v/>
      </c>
      <c r="C7" s="66" t="str">
        <f>'Prop JE - Reclass Expense'!C9</f>
        <v/>
      </c>
      <c r="D7" s="66" t="str">
        <f>'Prop JE - Reclass Expense'!D9</f>
        <v/>
      </c>
      <c r="E7" s="66" t="str">
        <f>'Prop JE - Reclass Expense'!E9</f>
        <v/>
      </c>
      <c r="F7" s="66">
        <f>'Prop JE - Reclass Expense'!F9</f>
        <v>0</v>
      </c>
      <c r="G7" s="66" t="str">
        <f>'Prop JE - Reclass Expense'!G9</f>
        <v/>
      </c>
      <c r="H7" s="66" t="str">
        <f>'Prop JE - Reclass Expense'!H9</f>
        <v/>
      </c>
      <c r="I7" s="66" t="str">
        <f>'Prop JE - Reclass Expense'!I9</f>
        <v/>
      </c>
    </row>
    <row r="8" spans="1:9" x14ac:dyDescent="0.2">
      <c r="A8" s="66" t="str">
        <f>'Prop JE - Reclass Expense'!A5</f>
        <v/>
      </c>
      <c r="B8" s="66" t="str">
        <f>'Prop JE - Reclass Expense'!B5</f>
        <v/>
      </c>
      <c r="C8" s="66" t="str">
        <f>'Prop JE - Reclass Expense'!C5</f>
        <v/>
      </c>
      <c r="D8" s="66" t="str">
        <f>'Prop JE - Reclass Expense'!D5</f>
        <v/>
      </c>
      <c r="E8" s="66" t="str">
        <f>'Prop JE - Reclass Expense'!E5</f>
        <v/>
      </c>
      <c r="F8" s="66">
        <f>'Prop JE - Reclass Expense'!F5</f>
        <v>0</v>
      </c>
      <c r="G8" s="66" t="str">
        <f>'Prop JE - Reclass Expense'!G5</f>
        <v/>
      </c>
      <c r="H8" s="66" t="str">
        <f>'Prop JE - Reclass Expense'!H5</f>
        <v/>
      </c>
      <c r="I8" s="66" t="str">
        <f>'Prop JE - Reclass Expense'!I5</f>
        <v/>
      </c>
    </row>
    <row r="9" spans="1:9" x14ac:dyDescent="0.2">
      <c r="A9" s="66" t="str">
        <f>'Prop JE - Reclass Expense'!A6</f>
        <v/>
      </c>
      <c r="B9" s="66" t="str">
        <f>'Prop JE - Reclass Expense'!B6</f>
        <v/>
      </c>
      <c r="C9" s="66" t="str">
        <f>'Prop JE - Reclass Expense'!C6</f>
        <v/>
      </c>
      <c r="D9" s="66" t="str">
        <f>'Prop JE - Reclass Expense'!D6</f>
        <v/>
      </c>
      <c r="E9" s="66" t="str">
        <f>'Prop JE - Reclass Expense'!E6</f>
        <v/>
      </c>
      <c r="F9" s="66">
        <f>'Prop JE - Reclass Expense'!F6</f>
        <v>0</v>
      </c>
      <c r="G9" s="66" t="str">
        <f>'Prop JE - Reclass Expense'!G6</f>
        <v/>
      </c>
      <c r="H9" s="66" t="str">
        <f>'Prop JE - Reclass Expense'!H6</f>
        <v/>
      </c>
      <c r="I9" s="66" t="str">
        <f>'Prop JE - Reclass Expense'!I6</f>
        <v/>
      </c>
    </row>
    <row r="10" spans="1:9" x14ac:dyDescent="0.2">
      <c r="A10" s="66" t="str">
        <f>'Prop JE - Reclass Expense'!A8</f>
        <v/>
      </c>
      <c r="B10" s="66" t="str">
        <f>'Prop JE - Reclass Expense'!B8</f>
        <v/>
      </c>
      <c r="C10" s="66" t="str">
        <f>'Prop JE - Reclass Expense'!C8</f>
        <v/>
      </c>
      <c r="D10" s="66" t="str">
        <f>'Prop JE - Reclass Expense'!D8</f>
        <v/>
      </c>
      <c r="E10" s="66" t="str">
        <f>'Prop JE - Reclass Expense'!E8</f>
        <v/>
      </c>
      <c r="F10" s="66">
        <f>'Prop JE - Reclass Expense'!F8</f>
        <v>0</v>
      </c>
      <c r="G10" s="66" t="str">
        <f>'Prop JE - Reclass Expense'!G8</f>
        <v/>
      </c>
      <c r="H10" s="66" t="str">
        <f>'Prop JE - Reclass Expense'!H8</f>
        <v/>
      </c>
      <c r="I10" s="66" t="str">
        <f>'Prop JE - Reclass Expense'!I8</f>
        <v/>
      </c>
    </row>
    <row r="11" spans="1:9" x14ac:dyDescent="0.2">
      <c r="A11" s="66" t="str">
        <f>'Prop JE - Reclass Expense'!A3</f>
        <v>E020052312</v>
      </c>
      <c r="B11" s="66" t="str">
        <f>'Prop JE - Reclass Expense'!B3</f>
        <v>Rcd LMS Exp Reimb</v>
      </c>
      <c r="C11" s="66" t="str">
        <f>'Prop JE - Reclass Expense'!C3</f>
        <v>5/23/2012</v>
      </c>
      <c r="D11" s="66" t="str">
        <f>'Prop JE - Reclass Expense'!D3</f>
        <v>0020</v>
      </c>
      <c r="E11" s="66">
        <f>'Prop JE - Reclass Expense'!E3</f>
        <v>8560</v>
      </c>
      <c r="F11" s="66">
        <f>'Prop JE - Reclass Expense'!F3</f>
        <v>0</v>
      </c>
      <c r="G11" s="66" t="str">
        <f>'Prop JE - Reclass Expense'!G3</f>
        <v>D</v>
      </c>
      <c r="H11" s="66">
        <f>'Prop JE - Reclass Expense'!H3</f>
        <v>25</v>
      </c>
      <c r="I11" s="66" t="str">
        <f>'Prop JE - Reclass Expense'!I3</f>
        <v>Cell Phone Reimbursement</v>
      </c>
    </row>
    <row r="12" spans="1:9" x14ac:dyDescent="0.2">
      <c r="A12" s="66" t="str">
        <f>'Prop JE - Reclass Expense'!A17</f>
        <v/>
      </c>
      <c r="B12" s="66" t="str">
        <f>'Prop JE - Reclass Expense'!B17</f>
        <v/>
      </c>
      <c r="C12" s="66" t="str">
        <f>'Prop JE - Reclass Expense'!C17</f>
        <v/>
      </c>
      <c r="D12" s="66" t="str">
        <f>'Prop JE - Reclass Expense'!D17</f>
        <v/>
      </c>
      <c r="E12" s="66" t="str">
        <f>'Prop JE - Reclass Expense'!E17</f>
        <v/>
      </c>
      <c r="F12" s="66">
        <f>'Prop JE - Reclass Expense'!F17</f>
        <v>0</v>
      </c>
      <c r="G12" s="66" t="str">
        <f>'Prop JE - Reclass Expense'!G17</f>
        <v/>
      </c>
      <c r="H12" s="66" t="str">
        <f>'Prop JE - Reclass Expense'!H17</f>
        <v/>
      </c>
      <c r="I12" s="66" t="str">
        <f>'Prop JE - Reclass Expense'!I17</f>
        <v/>
      </c>
    </row>
    <row r="13" spans="1:9" x14ac:dyDescent="0.2">
      <c r="A13" s="66" t="str">
        <f>'Prop JE - Reclass Expense'!A18</f>
        <v/>
      </c>
      <c r="B13" s="66" t="str">
        <f>'Prop JE - Reclass Expense'!B18</f>
        <v/>
      </c>
      <c r="C13" s="66" t="str">
        <f>'Prop JE - Reclass Expense'!C18</f>
        <v/>
      </c>
      <c r="D13" s="66" t="str">
        <f>'Prop JE - Reclass Expense'!D18</f>
        <v/>
      </c>
      <c r="E13" s="66" t="str">
        <f>'Prop JE - Reclass Expense'!E18</f>
        <v/>
      </c>
      <c r="F13" s="66">
        <f>'Prop JE - Reclass Expense'!F18</f>
        <v>0</v>
      </c>
      <c r="G13" s="66" t="str">
        <f>'Prop JE - Reclass Expense'!G18</f>
        <v/>
      </c>
      <c r="H13" s="66" t="str">
        <f>'Prop JE - Reclass Expense'!H18</f>
        <v/>
      </c>
      <c r="I13" s="66" t="str">
        <f>'Prop JE - Reclass Expense'!I18</f>
        <v/>
      </c>
    </row>
    <row r="14" spans="1:9" x14ac:dyDescent="0.2">
      <c r="A14" s="66" t="str">
        <f>'Prop JE - Reclass Expense'!A20</f>
        <v/>
      </c>
      <c r="B14" s="66" t="str">
        <f>'Prop JE - Reclass Expense'!B20</f>
        <v/>
      </c>
      <c r="C14" s="66" t="str">
        <f>'Prop JE - Reclass Expense'!C20</f>
        <v/>
      </c>
      <c r="D14" s="66" t="str">
        <f>'Prop JE - Reclass Expense'!D20</f>
        <v/>
      </c>
      <c r="E14" s="66" t="str">
        <f>'Prop JE - Reclass Expense'!E20</f>
        <v/>
      </c>
      <c r="F14" s="66">
        <f>'Prop JE - Reclass Expense'!F20</f>
        <v>0</v>
      </c>
      <c r="G14" s="66" t="str">
        <f>'Prop JE - Reclass Expense'!G20</f>
        <v/>
      </c>
      <c r="H14" s="66" t="str">
        <f>'Prop JE - Reclass Expense'!H20</f>
        <v/>
      </c>
      <c r="I14" s="66" t="str">
        <f>'Prop JE - Reclass Expense'!I20</f>
        <v/>
      </c>
    </row>
    <row r="15" spans="1:9" x14ac:dyDescent="0.2">
      <c r="A15" s="66" t="str">
        <f>'Prop JE - Reclass Expense'!A14</f>
        <v/>
      </c>
      <c r="B15" s="66" t="str">
        <f>'Prop JE - Reclass Expense'!B14</f>
        <v/>
      </c>
      <c r="C15" s="66" t="str">
        <f>'Prop JE - Reclass Expense'!C14</f>
        <v/>
      </c>
      <c r="D15" s="66" t="str">
        <f>'Prop JE - Reclass Expense'!D14</f>
        <v/>
      </c>
      <c r="E15" s="66" t="str">
        <f>'Prop JE - Reclass Expense'!E14</f>
        <v/>
      </c>
      <c r="F15" s="66">
        <f>'Prop JE - Reclass Expense'!F14</f>
        <v>0</v>
      </c>
      <c r="G15" s="66" t="str">
        <f>'Prop JE - Reclass Expense'!G14</f>
        <v/>
      </c>
      <c r="H15" s="66" t="str">
        <f>'Prop JE - Reclass Expense'!H14</f>
        <v/>
      </c>
      <c r="I15" s="66" t="str">
        <f>'Prop JE - Reclass Expense'!I14</f>
        <v/>
      </c>
    </row>
    <row r="16" spans="1:9" x14ac:dyDescent="0.2">
      <c r="A16" s="66" t="str">
        <f>'Prop JE - Reclass Expense'!A12</f>
        <v/>
      </c>
      <c r="B16" s="66" t="str">
        <f>'Prop JE - Reclass Expense'!B12</f>
        <v/>
      </c>
      <c r="C16" s="66" t="str">
        <f>'Prop JE - Reclass Expense'!C12</f>
        <v/>
      </c>
      <c r="D16" s="66" t="str">
        <f>'Prop JE - Reclass Expense'!D12</f>
        <v/>
      </c>
      <c r="E16" s="66" t="str">
        <f>'Prop JE - Reclass Expense'!E12</f>
        <v/>
      </c>
      <c r="F16" s="66">
        <f>'Prop JE - Reclass Expense'!F12</f>
        <v>0</v>
      </c>
      <c r="G16" s="66" t="str">
        <f>'Prop JE - Reclass Expense'!G12</f>
        <v/>
      </c>
      <c r="H16" s="66" t="str">
        <f>'Prop JE - Reclass Expense'!H12</f>
        <v/>
      </c>
      <c r="I16" s="66" t="str">
        <f>'Prop JE - Reclass Expense'!I12</f>
        <v/>
      </c>
    </row>
    <row r="17" spans="1:9" x14ac:dyDescent="0.2">
      <c r="A17" s="66" t="str">
        <f>'Prop JE - Reclass Expense'!A13</f>
        <v/>
      </c>
      <c r="B17" s="66" t="str">
        <f>'Prop JE - Reclass Expense'!B13</f>
        <v/>
      </c>
      <c r="C17" s="66" t="str">
        <f>'Prop JE - Reclass Expense'!C13</f>
        <v/>
      </c>
      <c r="D17" s="66" t="str">
        <f>'Prop JE - Reclass Expense'!D13</f>
        <v/>
      </c>
      <c r="E17" s="66" t="str">
        <f>'Prop JE - Reclass Expense'!E13</f>
        <v/>
      </c>
      <c r="F17" s="66">
        <f>'Prop JE - Reclass Expense'!F13</f>
        <v>0</v>
      </c>
      <c r="G17" s="66" t="str">
        <f>'Prop JE - Reclass Expense'!G13</f>
        <v/>
      </c>
      <c r="H17" s="66" t="str">
        <f>'Prop JE - Reclass Expense'!H13</f>
        <v/>
      </c>
      <c r="I17" s="66" t="str">
        <f>'Prop JE - Reclass Expense'!I13</f>
        <v/>
      </c>
    </row>
    <row r="18" spans="1:9" x14ac:dyDescent="0.2">
      <c r="A18" s="66" t="str">
        <f>'Prop JE - Reclass Expense'!A16</f>
        <v/>
      </c>
      <c r="B18" s="66" t="str">
        <f>'Prop JE - Reclass Expense'!B16</f>
        <v/>
      </c>
      <c r="C18" s="66" t="str">
        <f>'Prop JE - Reclass Expense'!C16</f>
        <v/>
      </c>
      <c r="D18" s="66" t="str">
        <f>'Prop JE - Reclass Expense'!D16</f>
        <v/>
      </c>
      <c r="E18" s="66" t="str">
        <f>'Prop JE - Reclass Expense'!E16</f>
        <v/>
      </c>
      <c r="F18" s="66">
        <f>'Prop JE - Reclass Expense'!F16</f>
        <v>0</v>
      </c>
      <c r="G18" s="66" t="str">
        <f>'Prop JE - Reclass Expense'!G16</f>
        <v/>
      </c>
      <c r="H18" s="66" t="str">
        <f>'Prop JE - Reclass Expense'!H16</f>
        <v/>
      </c>
      <c r="I18" s="66" t="str">
        <f>'Prop JE - Reclass Expense'!I16</f>
        <v/>
      </c>
    </row>
    <row r="19" spans="1:9" x14ac:dyDescent="0.2">
      <c r="A19" s="66" t="str">
        <f>'Prop JE - Reclass Expense'!A19</f>
        <v/>
      </c>
      <c r="B19" s="66" t="str">
        <f>'Prop JE - Reclass Expense'!B19</f>
        <v/>
      </c>
      <c r="C19" s="66" t="str">
        <f>'Prop JE - Reclass Expense'!C19</f>
        <v/>
      </c>
      <c r="D19" s="66" t="str">
        <f>'Prop JE - Reclass Expense'!D19</f>
        <v/>
      </c>
      <c r="E19" s="66" t="str">
        <f>'Prop JE - Reclass Expense'!E19</f>
        <v/>
      </c>
      <c r="F19" s="66">
        <f>'Prop JE - Reclass Expense'!F19</f>
        <v>0</v>
      </c>
      <c r="G19" s="66" t="str">
        <f>'Prop JE - Reclass Expense'!G19</f>
        <v/>
      </c>
      <c r="H19" s="66" t="str">
        <f>'Prop JE - Reclass Expense'!H19</f>
        <v/>
      </c>
      <c r="I19" s="66" t="str">
        <f>'Prop JE - Reclass Expense'!I19</f>
        <v/>
      </c>
    </row>
    <row r="20" spans="1:9" x14ac:dyDescent="0.2">
      <c r="A20" s="66" t="str">
        <f>'Prop JE - Reclass Expense'!A21</f>
        <v/>
      </c>
      <c r="B20" s="66" t="str">
        <f>'Prop JE - Reclass Expense'!B21</f>
        <v/>
      </c>
      <c r="C20" s="66" t="str">
        <f>'Prop JE - Reclass Expense'!C21</f>
        <v/>
      </c>
      <c r="D20" s="66" t="str">
        <f>'Prop JE - Reclass Expense'!D21</f>
        <v/>
      </c>
      <c r="E20" s="66" t="str">
        <f>'Prop JE - Reclass Expense'!E21</f>
        <v/>
      </c>
      <c r="F20" s="66">
        <f>'Prop JE - Reclass Expense'!F21</f>
        <v>0</v>
      </c>
      <c r="G20" s="66" t="str">
        <f>'Prop JE - Reclass Expense'!G21</f>
        <v/>
      </c>
      <c r="H20" s="66" t="str">
        <f>'Prop JE - Reclass Expense'!H21</f>
        <v/>
      </c>
      <c r="I20" s="66" t="str">
        <f>'Prop JE - Reclass Expense'!I21</f>
        <v/>
      </c>
    </row>
    <row r="21" spans="1:9" x14ac:dyDescent="0.2">
      <c r="A21" s="66" t="str">
        <f>'Prop JE - Reclass Expense'!A15</f>
        <v/>
      </c>
      <c r="B21" s="66" t="str">
        <f>'Prop JE - Reclass Expense'!B15</f>
        <v/>
      </c>
      <c r="C21" s="66" t="str">
        <f>'Prop JE - Reclass Expense'!C15</f>
        <v/>
      </c>
      <c r="D21" s="66" t="str">
        <f>'Prop JE - Reclass Expense'!D15</f>
        <v/>
      </c>
      <c r="E21" s="66" t="str">
        <f>'Prop JE - Reclass Expense'!E15</f>
        <v/>
      </c>
      <c r="F21" s="66">
        <f>'Prop JE - Reclass Expense'!F15</f>
        <v>0</v>
      </c>
      <c r="G21" s="66" t="str">
        <f>'Prop JE - Reclass Expense'!G15</f>
        <v/>
      </c>
      <c r="H21" s="66" t="str">
        <f>'Prop JE - Reclass Expense'!H15</f>
        <v/>
      </c>
      <c r="I21" s="66" t="str">
        <f>'Prop JE - Reclass Expense'!I15</f>
        <v/>
      </c>
    </row>
    <row r="22" spans="1:9" x14ac:dyDescent="0.2">
      <c r="A22" s="66" t="str">
        <f>'Prop JE - Reclass Expense'!A22</f>
        <v/>
      </c>
      <c r="B22" s="66" t="str">
        <f>'Prop JE - Reclass Expense'!B22</f>
        <v/>
      </c>
      <c r="C22" s="66" t="str">
        <f>'Prop JE - Reclass Expense'!C22</f>
        <v/>
      </c>
      <c r="D22" s="66" t="str">
        <f>'Prop JE - Reclass Expense'!D22</f>
        <v/>
      </c>
      <c r="E22" s="66" t="str">
        <f>'Prop JE - Reclass Expense'!E22</f>
        <v/>
      </c>
      <c r="F22" s="66">
        <f>'Prop JE - Reclass Expense'!F22</f>
        <v>0</v>
      </c>
      <c r="G22" s="66" t="str">
        <f>'Prop JE - Reclass Expense'!G22</f>
        <v/>
      </c>
      <c r="H22" s="66" t="str">
        <f>'Prop JE - Reclass Expense'!H22</f>
        <v/>
      </c>
      <c r="I22" s="66" t="str">
        <f>'Prop JE - Reclass Expense'!I22</f>
        <v/>
      </c>
    </row>
    <row r="23" spans="1:9" x14ac:dyDescent="0.2">
      <c r="A23" s="66" t="str">
        <f>'Prop JE - Reclass Expense'!A23</f>
        <v/>
      </c>
      <c r="B23" s="66" t="str">
        <f>'Prop JE - Reclass Expense'!B23</f>
        <v/>
      </c>
      <c r="C23" s="66" t="str">
        <f>'Prop JE - Reclass Expense'!C23</f>
        <v/>
      </c>
      <c r="D23" s="66" t="str">
        <f>'Prop JE - Reclass Expense'!D23</f>
        <v/>
      </c>
      <c r="E23" s="66" t="str">
        <f>'Prop JE - Reclass Expense'!E23</f>
        <v/>
      </c>
      <c r="F23" s="66">
        <f>'Prop JE - Reclass Expense'!F23</f>
        <v>0</v>
      </c>
      <c r="G23" s="66" t="str">
        <f>'Prop JE - Reclass Expense'!G23</f>
        <v/>
      </c>
      <c r="H23" s="66" t="str">
        <f>'Prop JE - Reclass Expense'!H23</f>
        <v/>
      </c>
      <c r="I23" s="66" t="str">
        <f>'Prop JE - Reclass Expense'!I23</f>
        <v/>
      </c>
    </row>
    <row r="24" spans="1:9" x14ac:dyDescent="0.2">
      <c r="A24" s="66" t="str">
        <f>'Prop JE - Reclass Expense'!A24</f>
        <v/>
      </c>
      <c r="B24" s="66" t="str">
        <f>'Prop JE - Reclass Expense'!B24</f>
        <v/>
      </c>
      <c r="C24" s="66" t="str">
        <f>'Prop JE - Reclass Expense'!C24</f>
        <v/>
      </c>
      <c r="D24" s="66" t="str">
        <f>'Prop JE - Reclass Expense'!D24</f>
        <v/>
      </c>
      <c r="E24" s="66" t="str">
        <f>'Prop JE - Reclass Expense'!E24</f>
        <v/>
      </c>
      <c r="F24" s="66">
        <f>'Prop JE - Reclass Expense'!F24</f>
        <v>0</v>
      </c>
      <c r="G24" s="66" t="str">
        <f>'Prop JE - Reclass Expense'!G24</f>
        <v/>
      </c>
      <c r="H24" s="66" t="str">
        <f>'Prop JE - Reclass Expense'!H24</f>
        <v/>
      </c>
      <c r="I24" s="66" t="str">
        <f>'Prop JE - Reclass Expense'!I24</f>
        <v/>
      </c>
    </row>
    <row r="25" spans="1:9" x14ac:dyDescent="0.2">
      <c r="A25" s="66" t="str">
        <f>'Prop JE - Reclass Expense'!A25</f>
        <v/>
      </c>
      <c r="B25" s="66" t="str">
        <f>'Prop JE - Reclass Expense'!B25</f>
        <v/>
      </c>
      <c r="C25" s="66" t="str">
        <f>'Prop JE - Reclass Expense'!C25</f>
        <v/>
      </c>
      <c r="D25" s="66" t="str">
        <f>'Prop JE - Reclass Expense'!D25</f>
        <v/>
      </c>
      <c r="E25" s="66" t="str">
        <f>'Prop JE - Reclass Expense'!E25</f>
        <v/>
      </c>
      <c r="F25" s="66">
        <f>'Prop JE - Reclass Expense'!F25</f>
        <v>0</v>
      </c>
      <c r="G25" s="66" t="str">
        <f>'Prop JE - Reclass Expense'!G25</f>
        <v/>
      </c>
      <c r="H25" s="66" t="str">
        <f>'Prop JE - Reclass Expense'!H25</f>
        <v/>
      </c>
      <c r="I25" s="66" t="str">
        <f>'Prop JE - Reclass Expense'!I25</f>
        <v/>
      </c>
    </row>
    <row r="26" spans="1:9" x14ac:dyDescent="0.2">
      <c r="A26" s="66" t="str">
        <f>'Prop JE - Reclass Expense'!A26</f>
        <v/>
      </c>
      <c r="B26" s="66" t="str">
        <f>'Prop JE - Reclass Expense'!B26</f>
        <v/>
      </c>
      <c r="C26" s="66" t="str">
        <f>'Prop JE - Reclass Expense'!C26</f>
        <v/>
      </c>
      <c r="D26" s="66" t="str">
        <f>'Prop JE - Reclass Expense'!D26</f>
        <v/>
      </c>
      <c r="E26" s="66" t="str">
        <f>'Prop JE - Reclass Expense'!E26</f>
        <v/>
      </c>
      <c r="F26" s="66">
        <f>'Prop JE - Reclass Expense'!F26</f>
        <v>0</v>
      </c>
      <c r="G26" s="66" t="str">
        <f>'Prop JE - Reclass Expense'!G26</f>
        <v/>
      </c>
      <c r="H26" s="66" t="str">
        <f>'Prop JE - Reclass Expense'!H26</f>
        <v/>
      </c>
      <c r="I26" s="66" t="str">
        <f>'Prop JE - Reclass Expense'!I26</f>
        <v/>
      </c>
    </row>
    <row r="27" spans="1:9" x14ac:dyDescent="0.2">
      <c r="A27" s="66" t="str">
        <f>'Prop JE - Reclass Expense'!A27</f>
        <v/>
      </c>
      <c r="B27" s="66" t="str">
        <f>'Prop JE - Reclass Expense'!B27</f>
        <v/>
      </c>
      <c r="C27" s="66" t="str">
        <f>'Prop JE - Reclass Expense'!C27</f>
        <v/>
      </c>
      <c r="D27" s="66" t="str">
        <f>'Prop JE - Reclass Expense'!D27</f>
        <v/>
      </c>
      <c r="E27" s="66" t="str">
        <f>'Prop JE - Reclass Expense'!E27</f>
        <v/>
      </c>
      <c r="F27" s="66">
        <f>'Prop JE - Reclass Expense'!F27</f>
        <v>0</v>
      </c>
      <c r="G27" s="66" t="str">
        <f>'Prop JE - Reclass Expense'!G27</f>
        <v/>
      </c>
      <c r="H27" s="66" t="str">
        <f>'Prop JE - Reclass Expense'!H27</f>
        <v/>
      </c>
      <c r="I27" s="66" t="str">
        <f>'Prop JE - Reclass Expense'!I27</f>
        <v/>
      </c>
    </row>
    <row r="28" spans="1:9" x14ac:dyDescent="0.2">
      <c r="A28" s="66" t="str">
        <f>'Prop JE - Reclass Expense'!A28</f>
        <v/>
      </c>
      <c r="B28" s="66" t="str">
        <f>'Prop JE - Reclass Expense'!B28</f>
        <v/>
      </c>
      <c r="C28" s="66" t="str">
        <f>'Prop JE - Reclass Expense'!C28</f>
        <v/>
      </c>
      <c r="D28" s="66" t="str">
        <f>'Prop JE - Reclass Expense'!D28</f>
        <v/>
      </c>
      <c r="E28" s="66" t="str">
        <f>'Prop JE - Reclass Expense'!E28</f>
        <v/>
      </c>
      <c r="F28" s="66">
        <f>'Prop JE - Reclass Expense'!F28</f>
        <v>0</v>
      </c>
      <c r="G28" s="66" t="str">
        <f>'Prop JE - Reclass Expense'!G28</f>
        <v/>
      </c>
      <c r="H28" s="66" t="str">
        <f>'Prop JE - Reclass Expense'!H28</f>
        <v/>
      </c>
      <c r="I28" s="66" t="str">
        <f>'Prop JE - Reclass Expense'!I28</f>
        <v/>
      </c>
    </row>
    <row r="29" spans="1:9" x14ac:dyDescent="0.2">
      <c r="A29" s="66" t="str">
        <f>'Prop JE - Reclass Expense'!A29</f>
        <v/>
      </c>
      <c r="B29" s="66" t="str">
        <f>'Prop JE - Reclass Expense'!B29</f>
        <v/>
      </c>
      <c r="C29" s="66" t="str">
        <f>'Prop JE - Reclass Expense'!C29</f>
        <v/>
      </c>
      <c r="D29" s="66" t="str">
        <f>'Prop JE - Reclass Expense'!D29</f>
        <v/>
      </c>
      <c r="E29" s="66" t="str">
        <f>'Prop JE - Reclass Expense'!E29</f>
        <v/>
      </c>
      <c r="F29" s="66">
        <f>'Prop JE - Reclass Expense'!F29</f>
        <v>0</v>
      </c>
      <c r="G29" s="66" t="str">
        <f>'Prop JE - Reclass Expense'!G29</f>
        <v/>
      </c>
      <c r="H29" s="66" t="str">
        <f>'Prop JE - Reclass Expense'!H29</f>
        <v/>
      </c>
      <c r="I29" s="66" t="str">
        <f>'Prop JE - Reclass Expense'!I29</f>
        <v/>
      </c>
    </row>
    <row r="30" spans="1:9" x14ac:dyDescent="0.2">
      <c r="A30" s="66" t="str">
        <f>'Prop JE - Reclass Expense'!A30</f>
        <v/>
      </c>
      <c r="B30" s="66" t="str">
        <f>'Prop JE - Reclass Expense'!B30</f>
        <v/>
      </c>
      <c r="C30" s="66" t="str">
        <f>'Prop JE - Reclass Expense'!C30</f>
        <v/>
      </c>
      <c r="D30" s="66" t="str">
        <f>'Prop JE - Reclass Expense'!D30</f>
        <v/>
      </c>
      <c r="E30" s="66" t="str">
        <f>'Prop JE - Reclass Expense'!E30</f>
        <v/>
      </c>
      <c r="F30" s="66">
        <f>'Prop JE - Reclass Expense'!F30</f>
        <v>0</v>
      </c>
      <c r="G30" s="66" t="str">
        <f>'Prop JE - Reclass Expense'!G30</f>
        <v/>
      </c>
      <c r="H30" s="66" t="str">
        <f>'Prop JE - Reclass Expense'!H30</f>
        <v/>
      </c>
      <c r="I30" s="66" t="str">
        <f>'Prop JE - Reclass Expense'!I30</f>
        <v/>
      </c>
    </row>
    <row r="31" spans="1:9" x14ac:dyDescent="0.2">
      <c r="A31" s="66" t="str">
        <f>'Prop JE - Reclass Expense'!A31</f>
        <v/>
      </c>
      <c r="B31" s="66" t="str">
        <f>'Prop JE - Reclass Expense'!B31</f>
        <v/>
      </c>
      <c r="C31" s="66" t="str">
        <f>'Prop JE - Reclass Expense'!C31</f>
        <v/>
      </c>
      <c r="D31" s="66" t="str">
        <f>'Prop JE - Reclass Expense'!D31</f>
        <v/>
      </c>
      <c r="E31" s="66" t="str">
        <f>'Prop JE - Reclass Expense'!E31</f>
        <v/>
      </c>
      <c r="F31" s="66">
        <f>'Prop JE - Reclass Expense'!F31</f>
        <v>0</v>
      </c>
      <c r="G31" s="66" t="str">
        <f>'Prop JE - Reclass Expense'!G31</f>
        <v/>
      </c>
      <c r="H31" s="66" t="str">
        <f>'Prop JE - Reclass Expense'!H31</f>
        <v/>
      </c>
      <c r="I31" s="66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250"/>
  <sheetViews>
    <sheetView showGridLines="0" tabSelected="1" zoomScaleNormal="100" workbookViewId="0">
      <selection activeCell="E5" sqref="E5:G5"/>
    </sheetView>
  </sheetViews>
  <sheetFormatPr defaultColWidth="10.7109375" defaultRowHeight="12.75" x14ac:dyDescent="0.2"/>
  <cols>
    <col min="1" max="1" width="14.28515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9" width="15.28515625" style="1" customWidth="1"/>
    <col min="10" max="10" width="15.57031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31" width="10.7109375" style="1" customWidth="1"/>
    <col min="32" max="32" width="19.42578125" style="1" customWidth="1"/>
    <col min="33" max="58" width="10.7109375" style="1" customWidth="1"/>
    <col min="59" max="16384" width="10.7109375" style="1"/>
  </cols>
  <sheetData>
    <row r="1" spans="1:32" ht="12.75" customHeight="1" thickBot="1" x14ac:dyDescent="0.25">
      <c r="A1" s="190" t="s">
        <v>644</v>
      </c>
      <c r="B1" s="190"/>
      <c r="C1" s="190"/>
      <c r="D1" s="190"/>
      <c r="E1" s="190"/>
      <c r="F1" s="190"/>
      <c r="G1" s="190"/>
      <c r="H1" s="190"/>
      <c r="I1" s="190"/>
      <c r="J1" s="190"/>
      <c r="K1" s="13"/>
      <c r="L1" s="7"/>
      <c r="N1" s="91" t="s">
        <v>0</v>
      </c>
      <c r="O1" s="91" t="s">
        <v>416</v>
      </c>
      <c r="P1" s="91" t="s">
        <v>417</v>
      </c>
      <c r="R1" s="118" t="s">
        <v>426</v>
      </c>
      <c r="S1" s="37"/>
      <c r="T1" s="91" t="s">
        <v>464</v>
      </c>
      <c r="U1" s="37"/>
      <c r="V1" s="91" t="s">
        <v>443</v>
      </c>
      <c r="W1" s="91" t="s">
        <v>520</v>
      </c>
      <c r="Y1" s="128" t="s">
        <v>432</v>
      </c>
      <c r="Z1" s="118" t="s">
        <v>426</v>
      </c>
      <c r="AA1" s="91" t="s">
        <v>434</v>
      </c>
      <c r="AB1" s="128" t="s">
        <v>433</v>
      </c>
    </row>
    <row r="2" spans="1:32" ht="12.75" customHeight="1" x14ac:dyDescent="0.2">
      <c r="A2" s="190"/>
      <c r="B2" s="190"/>
      <c r="C2" s="190"/>
      <c r="D2" s="190"/>
      <c r="E2" s="190"/>
      <c r="F2" s="190"/>
      <c r="G2" s="190"/>
      <c r="H2" s="190"/>
      <c r="I2" s="190"/>
      <c r="J2" s="190"/>
      <c r="K2" s="7"/>
      <c r="L2" s="7"/>
      <c r="N2" s="159" t="s">
        <v>589</v>
      </c>
      <c r="O2" s="162" t="s">
        <v>590</v>
      </c>
      <c r="P2" s="164" t="s">
        <v>418</v>
      </c>
      <c r="R2" s="119" t="s">
        <v>448</v>
      </c>
      <c r="S2" s="2"/>
      <c r="T2" s="116" t="s">
        <v>465</v>
      </c>
      <c r="U2" s="5"/>
      <c r="V2" s="124" t="s">
        <v>444</v>
      </c>
      <c r="W2" s="125" t="s">
        <v>40</v>
      </c>
      <c r="Y2" s="129" t="s">
        <v>418</v>
      </c>
      <c r="Z2" s="130" t="s">
        <v>448</v>
      </c>
      <c r="AA2" s="92" t="str">
        <f>Y2 &amp;Z2</f>
        <v>ChicagoBOD Flowers/Gifts</v>
      </c>
      <c r="AB2" s="93" t="s">
        <v>459</v>
      </c>
    </row>
    <row r="3" spans="1:32" ht="12.75" customHeight="1" x14ac:dyDescent="0.2">
      <c r="A3" s="191"/>
      <c r="B3" s="191"/>
      <c r="C3" s="191"/>
      <c r="D3" s="191"/>
      <c r="E3" s="191"/>
      <c r="F3" s="191"/>
      <c r="G3" s="191"/>
      <c r="H3" s="191"/>
      <c r="I3" s="191"/>
      <c r="J3" s="191"/>
      <c r="K3" s="7"/>
      <c r="L3" s="7"/>
      <c r="N3" s="146" t="s">
        <v>287</v>
      </c>
      <c r="O3" s="147" t="s">
        <v>1</v>
      </c>
      <c r="P3" s="145" t="s">
        <v>418</v>
      </c>
      <c r="R3" s="120" t="s">
        <v>449</v>
      </c>
      <c r="S3" s="2"/>
      <c r="T3" s="117"/>
      <c r="U3" s="2"/>
      <c r="V3" s="126" t="s">
        <v>447</v>
      </c>
      <c r="W3" s="127" t="s">
        <v>517</v>
      </c>
      <c r="Y3" s="131" t="s">
        <v>415</v>
      </c>
      <c r="Z3" s="132" t="s">
        <v>448</v>
      </c>
      <c r="AA3" s="133" t="str">
        <f t="shared" ref="AA3:AA43" si="0">Y3&amp;Z3</f>
        <v>SuburbanBOD Flowers/Gifts</v>
      </c>
      <c r="AB3" s="104" t="s">
        <v>459</v>
      </c>
    </row>
    <row r="4" spans="1:32" ht="19.5" customHeight="1" x14ac:dyDescent="0.2">
      <c r="A4" s="175" t="s">
        <v>627</v>
      </c>
      <c r="B4" s="189" t="s">
        <v>646</v>
      </c>
      <c r="C4" s="189"/>
      <c r="D4" s="175" t="s">
        <v>626</v>
      </c>
      <c r="E4" s="211">
        <v>41039</v>
      </c>
      <c r="F4" s="189"/>
      <c r="G4" s="189"/>
      <c r="H4" s="180"/>
      <c r="I4" s="177"/>
      <c r="J4" s="178"/>
      <c r="K4" s="12"/>
      <c r="L4" s="8"/>
      <c r="N4" s="160" t="s">
        <v>537</v>
      </c>
      <c r="O4" s="163" t="s">
        <v>538</v>
      </c>
      <c r="P4" s="152" t="s">
        <v>415</v>
      </c>
      <c r="R4" s="120" t="s">
        <v>20</v>
      </c>
      <c r="S4" s="2"/>
      <c r="T4" s="2"/>
      <c r="U4" s="2"/>
      <c r="V4" s="126" t="s">
        <v>482</v>
      </c>
      <c r="W4" s="127" t="s">
        <v>37</v>
      </c>
      <c r="Y4" s="131" t="s">
        <v>418</v>
      </c>
      <c r="Z4" s="132" t="s">
        <v>449</v>
      </c>
      <c r="AA4" s="133" t="str">
        <f t="shared" si="0"/>
        <v>ChicagoCab</v>
      </c>
      <c r="AB4" s="134" t="s">
        <v>14</v>
      </c>
    </row>
    <row r="5" spans="1:32" ht="18.75" customHeight="1" thickBot="1" x14ac:dyDescent="0.3">
      <c r="A5" s="176" t="s">
        <v>628</v>
      </c>
      <c r="B5" s="198" t="s">
        <v>622</v>
      </c>
      <c r="C5" s="198"/>
      <c r="D5" s="175" t="s">
        <v>467</v>
      </c>
      <c r="E5" s="189"/>
      <c r="F5" s="189"/>
      <c r="G5" s="189"/>
      <c r="H5" s="181">
        <f>SUM(H7:H41)</f>
        <v>50</v>
      </c>
      <c r="I5" s="182" t="s">
        <v>466</v>
      </c>
      <c r="J5" s="183"/>
      <c r="K5" s="179"/>
      <c r="L5" s="8"/>
      <c r="N5" s="150" t="s">
        <v>2</v>
      </c>
      <c r="O5" s="151" t="s">
        <v>3</v>
      </c>
      <c r="P5" s="152" t="s">
        <v>418</v>
      </c>
      <c r="R5" s="120" t="s">
        <v>452</v>
      </c>
      <c r="S5" s="2"/>
      <c r="T5" s="2"/>
      <c r="U5" s="5"/>
      <c r="V5" s="126" t="s">
        <v>483</v>
      </c>
      <c r="W5" s="127" t="s">
        <v>171</v>
      </c>
      <c r="Y5" s="135" t="s">
        <v>415</v>
      </c>
      <c r="Z5" s="132" t="s">
        <v>449</v>
      </c>
      <c r="AA5" s="133" t="str">
        <f t="shared" si="0"/>
        <v>SuburbanCab</v>
      </c>
      <c r="AB5" s="134" t="s">
        <v>13</v>
      </c>
    </row>
    <row r="6" spans="1:32" ht="44.25" customHeight="1" thickBot="1" x14ac:dyDescent="0.3">
      <c r="A6" s="28" t="s">
        <v>18</v>
      </c>
      <c r="B6" s="28" t="s">
        <v>629</v>
      </c>
      <c r="C6" s="171" t="s">
        <v>414</v>
      </c>
      <c r="D6" s="28" t="s">
        <v>19</v>
      </c>
      <c r="E6" s="28" t="s">
        <v>284</v>
      </c>
      <c r="F6" s="171" t="s">
        <v>431</v>
      </c>
      <c r="G6" s="28" t="s">
        <v>469</v>
      </c>
      <c r="H6" s="172" t="s">
        <v>435</v>
      </c>
      <c r="I6" s="31" t="s">
        <v>285</v>
      </c>
      <c r="J6" s="31" t="s">
        <v>286</v>
      </c>
      <c r="K6" s="88" t="s">
        <v>521</v>
      </c>
      <c r="L6" s="88" t="s">
        <v>522</v>
      </c>
      <c r="N6" s="161" t="s">
        <v>4</v>
      </c>
      <c r="O6" s="147" t="s">
        <v>5</v>
      </c>
      <c r="P6" s="165" t="s">
        <v>418</v>
      </c>
      <c r="R6" s="120" t="s">
        <v>453</v>
      </c>
      <c r="S6" s="2"/>
      <c r="T6" s="2"/>
      <c r="V6" s="126" t="s">
        <v>445</v>
      </c>
      <c r="W6" s="127" t="s">
        <v>39</v>
      </c>
      <c r="Y6" s="131" t="s">
        <v>418</v>
      </c>
      <c r="Z6" s="132" t="s">
        <v>20</v>
      </c>
      <c r="AA6" s="98" t="str">
        <f t="shared" si="0"/>
        <v>ChicagoCell Phone</v>
      </c>
      <c r="AB6" s="96" t="s">
        <v>579</v>
      </c>
      <c r="AD6" s="88" t="s">
        <v>523</v>
      </c>
      <c r="AF6" s="173" t="s">
        <v>624</v>
      </c>
    </row>
    <row r="7" spans="1:32" ht="14.25" x14ac:dyDescent="0.2">
      <c r="A7" s="72">
        <v>41009</v>
      </c>
      <c r="B7" s="73" t="s">
        <v>211</v>
      </c>
      <c r="C7" s="74" t="str">
        <f t="shared" ref="C7:C41" si="1">IF(ISERROR(VLOOKUP(B7,$N$1:$O$252,2,0)),"",VLOOKUP(B7,$N$1:$O$252,2,0))</f>
        <v>0020</v>
      </c>
      <c r="D7" s="73" t="s">
        <v>645</v>
      </c>
      <c r="E7" s="75" t="s">
        <v>20</v>
      </c>
      <c r="F7" s="76" t="str">
        <f t="shared" ref="F7:F41" si="2">IF(ISERROR(IF(I7="YES","L9386",IF(M7=1,VLOOKUP("Chicago"&amp;E7,AA:AB,2,0),VLOOKUP(VLOOKUP(B7,N:P,3,0)&amp;E7,AA:AB,2,0)))),"",IF(I7="YES","L9386",IF(M7=1,VLOOKUP("Chicago"&amp;E7,AA:AB,2,0),VLOOKUP(VLOOKUP(B7,N:P,3,0)&amp;E7,AA:AB,2,0))))</f>
        <v>L9386</v>
      </c>
      <c r="G7" s="77">
        <v>25</v>
      </c>
      <c r="H7" s="78">
        <f>ROUND((IF(E7="Mileage",G7*$H$42,G7)),2)</f>
        <v>25</v>
      </c>
      <c r="I7" s="77" t="s">
        <v>465</v>
      </c>
      <c r="J7" s="79">
        <v>8560</v>
      </c>
      <c r="K7" s="1" t="str">
        <f>E7&amp;I7</f>
        <v>Cell PhoneYes</v>
      </c>
      <c r="L7" s="1">
        <f>IF(I7="Yes",IF(J7="",1,0),0)</f>
        <v>0</v>
      </c>
      <c r="M7" s="1">
        <f>IF(B7="LMS Corporate",IF(RIGHT($B$5,7)="Chicago",1,0),0)</f>
        <v>0</v>
      </c>
      <c r="N7" s="99" t="s">
        <v>476</v>
      </c>
      <c r="O7" s="100" t="s">
        <v>470</v>
      </c>
      <c r="P7" s="148" t="s">
        <v>418</v>
      </c>
      <c r="R7" s="120" t="s">
        <v>468</v>
      </c>
      <c r="S7" s="2"/>
      <c r="T7" s="2"/>
      <c r="V7" s="126" t="s">
        <v>481</v>
      </c>
      <c r="W7" s="127" t="s">
        <v>42</v>
      </c>
      <c r="Y7" s="97" t="s">
        <v>415</v>
      </c>
      <c r="Z7" s="98" t="s">
        <v>20</v>
      </c>
      <c r="AA7" s="98" t="str">
        <f t="shared" si="0"/>
        <v>SuburbanCell Phone</v>
      </c>
      <c r="AB7" s="96" t="s">
        <v>580</v>
      </c>
      <c r="AF7" s="208" t="s">
        <v>625</v>
      </c>
    </row>
    <row r="8" spans="1:32" s="19" customFormat="1" ht="14.25" x14ac:dyDescent="0.2">
      <c r="A8" s="44">
        <v>41039</v>
      </c>
      <c r="B8" s="89" t="s">
        <v>211</v>
      </c>
      <c r="C8" s="16" t="str">
        <f t="shared" si="1"/>
        <v>0020</v>
      </c>
      <c r="D8" s="71" t="s">
        <v>645</v>
      </c>
      <c r="E8" s="90" t="s">
        <v>20</v>
      </c>
      <c r="F8" s="70" t="str">
        <f t="shared" si="2"/>
        <v>L9386</v>
      </c>
      <c r="G8" s="69">
        <v>25</v>
      </c>
      <c r="H8" s="67">
        <f t="shared" ref="H8:H41" si="3">ROUND((IF(E8="Mileage",G8*$H$42,G8)),2)</f>
        <v>25</v>
      </c>
      <c r="I8" s="69" t="s">
        <v>465</v>
      </c>
      <c r="J8" s="30">
        <v>8560</v>
      </c>
      <c r="K8" s="1" t="str">
        <f t="shared" ref="K8:K41" si="4">E8&amp;I8</f>
        <v>Cell PhoneYes</v>
      </c>
      <c r="L8" s="1">
        <f t="shared" ref="L8:L25" si="5">IF(I8="Yes",IF(J8="",1,0),0)</f>
        <v>0</v>
      </c>
      <c r="M8" s="1">
        <f t="shared" ref="M8:M41" si="6">IF(B8="LMS Corporate",IF(RIGHT($B$5,7)="Chicago",1,0),0)</f>
        <v>0</v>
      </c>
      <c r="N8" s="94" t="s">
        <v>531</v>
      </c>
      <c r="O8" s="149" t="s">
        <v>532</v>
      </c>
      <c r="P8" s="96" t="s">
        <v>415</v>
      </c>
      <c r="Q8" s="21"/>
      <c r="R8" s="120" t="s">
        <v>428</v>
      </c>
      <c r="S8" s="20"/>
      <c r="T8" s="20"/>
      <c r="U8" s="21"/>
      <c r="V8" s="126" t="s">
        <v>622</v>
      </c>
      <c r="W8" s="127" t="s">
        <v>41</v>
      </c>
      <c r="Y8" s="131" t="s">
        <v>418</v>
      </c>
      <c r="Z8" s="132" t="s">
        <v>453</v>
      </c>
      <c r="AA8" s="98" t="str">
        <f>Y8&amp;Z8</f>
        <v>ChicagoLicense/Permits</v>
      </c>
      <c r="AB8" s="96" t="s">
        <v>462</v>
      </c>
      <c r="AF8" s="209"/>
    </row>
    <row r="9" spans="1:32" ht="15" thickBot="1" x14ac:dyDescent="0.25">
      <c r="A9" s="72"/>
      <c r="B9" s="73"/>
      <c r="C9" s="74" t="str">
        <f t="shared" si="1"/>
        <v/>
      </c>
      <c r="D9" s="73" t="str">
        <f t="shared" ref="D7:D41" si="7">IF(E9="","","ENTER DESCRIPTION HERE")</f>
        <v/>
      </c>
      <c r="E9" s="75"/>
      <c r="F9" s="76" t="str">
        <f t="shared" si="2"/>
        <v/>
      </c>
      <c r="G9" s="77"/>
      <c r="H9" s="78">
        <f t="shared" si="3"/>
        <v>0</v>
      </c>
      <c r="I9" s="77"/>
      <c r="J9" s="79"/>
      <c r="K9" s="1" t="str">
        <f t="shared" si="4"/>
        <v/>
      </c>
      <c r="L9" s="1">
        <f t="shared" si="5"/>
        <v>0</v>
      </c>
      <c r="M9" s="1">
        <f t="shared" si="6"/>
        <v>0</v>
      </c>
      <c r="N9" s="97" t="s">
        <v>423</v>
      </c>
      <c r="O9" s="98" t="s">
        <v>6</v>
      </c>
      <c r="P9" s="96" t="s">
        <v>418</v>
      </c>
      <c r="R9" s="120" t="s">
        <v>454</v>
      </c>
      <c r="S9" s="2"/>
      <c r="T9" s="2"/>
      <c r="V9" s="126" t="s">
        <v>484</v>
      </c>
      <c r="W9" s="127" t="s">
        <v>518</v>
      </c>
      <c r="Y9" s="131" t="s">
        <v>415</v>
      </c>
      <c r="Z9" s="132" t="s">
        <v>452</v>
      </c>
      <c r="AA9" s="133" t="str">
        <f t="shared" si="0"/>
        <v>SuburbanCTA/Metra</v>
      </c>
      <c r="AB9" s="104" t="s">
        <v>13</v>
      </c>
      <c r="AF9" s="210"/>
    </row>
    <row r="10" spans="1:32" s="19" customFormat="1" ht="14.25" x14ac:dyDescent="0.2">
      <c r="A10" s="44"/>
      <c r="B10" s="89"/>
      <c r="C10" s="16" t="str">
        <f t="shared" si="1"/>
        <v/>
      </c>
      <c r="D10" s="71" t="str">
        <f t="shared" si="7"/>
        <v/>
      </c>
      <c r="E10" s="90"/>
      <c r="F10" s="70" t="str">
        <f t="shared" si="2"/>
        <v/>
      </c>
      <c r="G10" s="69"/>
      <c r="H10" s="67">
        <f t="shared" si="3"/>
        <v>0</v>
      </c>
      <c r="I10" s="69"/>
      <c r="J10" s="30"/>
      <c r="K10" s="1" t="str">
        <f t="shared" si="4"/>
        <v/>
      </c>
      <c r="L10" s="1">
        <f t="shared" si="5"/>
        <v>0</v>
      </c>
      <c r="M10" s="1">
        <f t="shared" si="6"/>
        <v>0</v>
      </c>
      <c r="N10" s="102" t="s">
        <v>554</v>
      </c>
      <c r="O10" s="103" t="s">
        <v>7</v>
      </c>
      <c r="P10" s="104" t="s">
        <v>418</v>
      </c>
      <c r="Q10" s="21"/>
      <c r="R10" s="120" t="s">
        <v>430</v>
      </c>
      <c r="S10" s="20"/>
      <c r="T10" s="20"/>
      <c r="U10" s="21"/>
      <c r="V10" s="142" t="s">
        <v>446</v>
      </c>
      <c r="W10" s="143" t="s">
        <v>519</v>
      </c>
      <c r="Y10" s="131" t="s">
        <v>418</v>
      </c>
      <c r="Z10" s="132" t="s">
        <v>453</v>
      </c>
      <c r="AA10" s="98" t="str">
        <f t="shared" si="0"/>
        <v>ChicagoLicense/Permits</v>
      </c>
      <c r="AB10" s="96" t="s">
        <v>462</v>
      </c>
    </row>
    <row r="11" spans="1:32" x14ac:dyDescent="0.2">
      <c r="A11" s="72"/>
      <c r="B11" s="73"/>
      <c r="C11" s="74" t="str">
        <f t="shared" si="1"/>
        <v/>
      </c>
      <c r="D11" s="73" t="str">
        <f t="shared" si="7"/>
        <v/>
      </c>
      <c r="E11" s="75"/>
      <c r="F11" s="76" t="str">
        <f t="shared" si="2"/>
        <v/>
      </c>
      <c r="G11" s="77"/>
      <c r="H11" s="78">
        <f t="shared" si="3"/>
        <v>0</v>
      </c>
      <c r="I11" s="77"/>
      <c r="J11" s="79"/>
      <c r="K11" s="1" t="str">
        <f t="shared" si="4"/>
        <v/>
      </c>
      <c r="L11" s="1">
        <f t="shared" si="5"/>
        <v>0</v>
      </c>
      <c r="M11" s="1">
        <f t="shared" si="6"/>
        <v>0</v>
      </c>
      <c r="N11" s="97" t="s">
        <v>8</v>
      </c>
      <c r="O11" s="98" t="s">
        <v>9</v>
      </c>
      <c r="P11" s="96" t="s">
        <v>415</v>
      </c>
      <c r="R11" s="121" t="s">
        <v>455</v>
      </c>
      <c r="S11" s="2"/>
      <c r="T11" s="2"/>
      <c r="V11" s="144"/>
      <c r="W11" s="141"/>
      <c r="Y11" s="135" t="s">
        <v>415</v>
      </c>
      <c r="Z11" s="136" t="s">
        <v>453</v>
      </c>
      <c r="AA11" s="133" t="str">
        <f t="shared" si="0"/>
        <v>SuburbanLicense/Permits</v>
      </c>
      <c r="AB11" s="134" t="s">
        <v>462</v>
      </c>
    </row>
    <row r="12" spans="1:32" s="19" customFormat="1" x14ac:dyDescent="0.2">
      <c r="A12" s="44"/>
      <c r="B12" s="71"/>
      <c r="C12" s="16" t="str">
        <f t="shared" si="1"/>
        <v/>
      </c>
      <c r="D12" s="71" t="str">
        <f t="shared" si="7"/>
        <v/>
      </c>
      <c r="E12" s="90"/>
      <c r="F12" s="70" t="str">
        <f t="shared" si="2"/>
        <v/>
      </c>
      <c r="G12" s="69"/>
      <c r="H12" s="67">
        <f t="shared" si="3"/>
        <v>0</v>
      </c>
      <c r="I12" s="69"/>
      <c r="J12" s="30"/>
      <c r="K12" s="1" t="str">
        <f t="shared" si="4"/>
        <v/>
      </c>
      <c r="L12" s="1">
        <f t="shared" si="5"/>
        <v>0</v>
      </c>
      <c r="M12" s="1">
        <f t="shared" si="6"/>
        <v>0</v>
      </c>
      <c r="N12" s="97" t="s">
        <v>420</v>
      </c>
      <c r="O12" s="98" t="s">
        <v>10</v>
      </c>
      <c r="P12" s="96" t="s">
        <v>418</v>
      </c>
      <c r="Q12" s="21"/>
      <c r="R12" s="120" t="s">
        <v>450</v>
      </c>
      <c r="S12" s="20"/>
      <c r="T12" s="20"/>
      <c r="U12" s="21"/>
      <c r="V12"/>
      <c r="W12"/>
      <c r="Y12" s="131" t="s">
        <v>418</v>
      </c>
      <c r="Z12" s="132" t="s">
        <v>429</v>
      </c>
      <c r="AA12" s="98" t="str">
        <f t="shared" si="0"/>
        <v>ChicagoMeals BOD</v>
      </c>
      <c r="AB12" s="96" t="s">
        <v>16</v>
      </c>
    </row>
    <row r="13" spans="1:32" x14ac:dyDescent="0.2">
      <c r="A13" s="72"/>
      <c r="B13" s="73"/>
      <c r="C13" s="74" t="str">
        <f t="shared" si="1"/>
        <v/>
      </c>
      <c r="D13" s="73"/>
      <c r="E13" s="75"/>
      <c r="F13" s="76" t="str">
        <f t="shared" si="2"/>
        <v/>
      </c>
      <c r="G13" s="77"/>
      <c r="H13" s="78">
        <f t="shared" si="3"/>
        <v>0</v>
      </c>
      <c r="I13" s="77"/>
      <c r="J13" s="79"/>
      <c r="K13" s="1" t="str">
        <f t="shared" si="4"/>
        <v/>
      </c>
      <c r="L13" s="1">
        <f t="shared" si="5"/>
        <v>0</v>
      </c>
      <c r="M13" s="1">
        <f t="shared" si="6"/>
        <v>0</v>
      </c>
      <c r="N13" s="97" t="s">
        <v>420</v>
      </c>
      <c r="O13" s="98" t="s">
        <v>10</v>
      </c>
      <c r="P13" s="96" t="s">
        <v>418</v>
      </c>
      <c r="R13" s="121" t="s">
        <v>456</v>
      </c>
      <c r="S13" s="5"/>
      <c r="T13" s="5"/>
      <c r="V13" s="21"/>
      <c r="W13" s="21"/>
      <c r="Y13" s="135" t="s">
        <v>415</v>
      </c>
      <c r="Z13" s="136" t="s">
        <v>429</v>
      </c>
      <c r="AA13" s="133" t="str">
        <f t="shared" si="0"/>
        <v>SuburbanMeals BOD</v>
      </c>
      <c r="AB13" s="134" t="s">
        <v>15</v>
      </c>
    </row>
    <row r="14" spans="1:32" s="19" customFormat="1" x14ac:dyDescent="0.2">
      <c r="A14" s="44"/>
      <c r="B14" s="71"/>
      <c r="C14" s="16" t="str">
        <f t="shared" si="1"/>
        <v/>
      </c>
      <c r="D14" s="71" t="str">
        <f t="shared" si="7"/>
        <v/>
      </c>
      <c r="E14" s="90"/>
      <c r="F14" s="70" t="str">
        <f t="shared" si="2"/>
        <v/>
      </c>
      <c r="G14" s="69"/>
      <c r="H14" s="67">
        <f t="shared" si="3"/>
        <v>0</v>
      </c>
      <c r="I14" s="69"/>
      <c r="J14" s="30"/>
      <c r="K14" s="1" t="str">
        <f t="shared" si="4"/>
        <v/>
      </c>
      <c r="L14" s="1">
        <f t="shared" si="5"/>
        <v>0</v>
      </c>
      <c r="M14" s="1">
        <f t="shared" si="6"/>
        <v>0</v>
      </c>
      <c r="N14" s="97" t="s">
        <v>289</v>
      </c>
      <c r="O14" s="98" t="s">
        <v>11</v>
      </c>
      <c r="P14" s="96" t="s">
        <v>418</v>
      </c>
      <c r="Q14" s="21"/>
      <c r="R14" s="122" t="s">
        <v>458</v>
      </c>
      <c r="S14" s="20"/>
      <c r="T14" s="20"/>
      <c r="U14" s="21"/>
      <c r="V14"/>
      <c r="W14"/>
      <c r="Y14" s="131" t="s">
        <v>418</v>
      </c>
      <c r="Z14" s="132" t="s">
        <v>428</v>
      </c>
      <c r="AA14" s="98" t="str">
        <f t="shared" si="0"/>
        <v>ChicagoMeals LMS</v>
      </c>
      <c r="AB14" s="96" t="s">
        <v>16</v>
      </c>
    </row>
    <row r="15" spans="1:32" x14ac:dyDescent="0.2">
      <c r="A15" s="72"/>
      <c r="B15" s="73"/>
      <c r="C15" s="74" t="str">
        <f t="shared" si="1"/>
        <v/>
      </c>
      <c r="D15" s="73" t="str">
        <f t="shared" si="7"/>
        <v/>
      </c>
      <c r="E15" s="75"/>
      <c r="F15" s="76" t="str">
        <f t="shared" si="2"/>
        <v/>
      </c>
      <c r="G15" s="77"/>
      <c r="H15" s="78">
        <f t="shared" si="3"/>
        <v>0</v>
      </c>
      <c r="I15" s="77"/>
      <c r="J15" s="79"/>
      <c r="K15" s="1" t="str">
        <f t="shared" si="4"/>
        <v/>
      </c>
      <c r="L15" s="1">
        <f t="shared" si="5"/>
        <v>0</v>
      </c>
      <c r="M15" s="1">
        <f t="shared" si="6"/>
        <v>0</v>
      </c>
      <c r="N15" s="97" t="s">
        <v>290</v>
      </c>
      <c r="O15" s="98" t="s">
        <v>12</v>
      </c>
      <c r="P15" s="96" t="s">
        <v>418</v>
      </c>
      <c r="R15" s="121" t="s">
        <v>451</v>
      </c>
      <c r="S15" s="2"/>
      <c r="T15" s="2"/>
      <c r="V15" s="21"/>
      <c r="W15" s="21"/>
      <c r="Y15" s="135" t="s">
        <v>415</v>
      </c>
      <c r="Z15" s="136" t="s">
        <v>428</v>
      </c>
      <c r="AA15" s="133" t="str">
        <f t="shared" si="0"/>
        <v>SuburbanMeals LMS</v>
      </c>
      <c r="AB15" s="134" t="s">
        <v>15</v>
      </c>
    </row>
    <row r="16" spans="1:32" s="19" customFormat="1" x14ac:dyDescent="0.2">
      <c r="A16" s="44"/>
      <c r="B16" s="71"/>
      <c r="C16" s="16" t="str">
        <f t="shared" si="1"/>
        <v/>
      </c>
      <c r="D16" s="71" t="str">
        <f t="shared" si="7"/>
        <v/>
      </c>
      <c r="E16" s="90"/>
      <c r="F16" s="70" t="str">
        <f t="shared" si="2"/>
        <v/>
      </c>
      <c r="G16" s="69"/>
      <c r="H16" s="67">
        <f t="shared" si="3"/>
        <v>0</v>
      </c>
      <c r="I16" s="69"/>
      <c r="J16" s="30"/>
      <c r="K16" s="1" t="str">
        <f t="shared" si="4"/>
        <v/>
      </c>
      <c r="L16" s="1">
        <f t="shared" si="5"/>
        <v>0</v>
      </c>
      <c r="M16" s="1">
        <f t="shared" si="6"/>
        <v>0</v>
      </c>
      <c r="N16" s="97" t="s">
        <v>600</v>
      </c>
      <c r="O16" s="109" t="s">
        <v>601</v>
      </c>
      <c r="P16" s="96" t="s">
        <v>418</v>
      </c>
      <c r="Q16" s="21"/>
      <c r="R16" s="120" t="s">
        <v>457</v>
      </c>
      <c r="S16" s="21"/>
      <c r="T16" s="21"/>
      <c r="U16" s="21"/>
      <c r="V16"/>
      <c r="W16"/>
      <c r="Y16" s="131" t="s">
        <v>418</v>
      </c>
      <c r="Z16" s="98" t="s">
        <v>468</v>
      </c>
      <c r="AA16" s="98" t="str">
        <f t="shared" si="0"/>
        <v>ChicagoMileage</v>
      </c>
      <c r="AB16" s="96" t="s">
        <v>14</v>
      </c>
    </row>
    <row r="17" spans="1:28" x14ac:dyDescent="0.2">
      <c r="A17" s="72"/>
      <c r="B17" s="73"/>
      <c r="C17" s="74" t="str">
        <f t="shared" si="1"/>
        <v/>
      </c>
      <c r="D17" s="73" t="str">
        <f t="shared" si="7"/>
        <v/>
      </c>
      <c r="E17" s="75"/>
      <c r="F17" s="76" t="str">
        <f t="shared" si="2"/>
        <v/>
      </c>
      <c r="G17" s="77"/>
      <c r="H17" s="78">
        <f t="shared" si="3"/>
        <v>0</v>
      </c>
      <c r="I17" s="77"/>
      <c r="J17" s="79"/>
      <c r="K17" s="1" t="str">
        <f t="shared" si="4"/>
        <v/>
      </c>
      <c r="L17" s="1">
        <f t="shared" si="5"/>
        <v>0</v>
      </c>
      <c r="M17" s="1">
        <f t="shared" si="6"/>
        <v>0</v>
      </c>
      <c r="N17" s="97" t="s">
        <v>291</v>
      </c>
      <c r="O17" s="98" t="s">
        <v>292</v>
      </c>
      <c r="P17" s="96" t="s">
        <v>418</v>
      </c>
      <c r="R17" s="123"/>
      <c r="V17" s="21"/>
      <c r="W17" s="21"/>
      <c r="Y17" s="135" t="s">
        <v>415</v>
      </c>
      <c r="Z17" s="133" t="s">
        <v>468</v>
      </c>
      <c r="AA17" s="133" t="str">
        <f t="shared" si="0"/>
        <v>SuburbanMileage</v>
      </c>
      <c r="AB17" s="134" t="s">
        <v>13</v>
      </c>
    </row>
    <row r="18" spans="1:28" s="19" customFormat="1" x14ac:dyDescent="0.2">
      <c r="A18" s="44"/>
      <c r="B18" s="71"/>
      <c r="C18" s="16" t="str">
        <f t="shared" si="1"/>
        <v/>
      </c>
      <c r="D18" s="71" t="str">
        <f t="shared" si="7"/>
        <v/>
      </c>
      <c r="E18" s="90"/>
      <c r="F18" s="70" t="str">
        <f t="shared" si="2"/>
        <v/>
      </c>
      <c r="G18" s="69"/>
      <c r="H18" s="67">
        <f t="shared" si="3"/>
        <v>0</v>
      </c>
      <c r="I18" s="69"/>
      <c r="J18" s="30"/>
      <c r="K18" s="1" t="str">
        <f t="shared" si="4"/>
        <v/>
      </c>
      <c r="L18" s="1">
        <f t="shared" si="5"/>
        <v>0</v>
      </c>
      <c r="M18" s="1">
        <f t="shared" si="6"/>
        <v>0</v>
      </c>
      <c r="N18" s="146" t="s">
        <v>596</v>
      </c>
      <c r="O18" s="156" t="s">
        <v>597</v>
      </c>
      <c r="P18" s="145" t="s">
        <v>418</v>
      </c>
      <c r="Q18" s="21"/>
      <c r="R18"/>
      <c r="U18" s="21"/>
      <c r="V18"/>
      <c r="W18"/>
      <c r="Y18" s="131" t="s">
        <v>418</v>
      </c>
      <c r="Z18" s="132" t="s">
        <v>454</v>
      </c>
      <c r="AA18" s="133" t="str">
        <f t="shared" si="0"/>
        <v>ChicagoOffice Supplies</v>
      </c>
      <c r="AB18" s="104" t="s">
        <v>641</v>
      </c>
    </row>
    <row r="19" spans="1:28" x14ac:dyDescent="0.2">
      <c r="A19" s="72"/>
      <c r="B19" s="73"/>
      <c r="C19" s="74" t="str">
        <f t="shared" si="1"/>
        <v/>
      </c>
      <c r="D19" s="73" t="str">
        <f t="shared" si="7"/>
        <v/>
      </c>
      <c r="E19" s="75"/>
      <c r="F19" s="76" t="str">
        <f t="shared" si="2"/>
        <v/>
      </c>
      <c r="G19" s="77"/>
      <c r="H19" s="78">
        <f t="shared" si="3"/>
        <v>0</v>
      </c>
      <c r="I19" s="77"/>
      <c r="J19" s="79"/>
      <c r="K19" s="1" t="str">
        <f t="shared" si="4"/>
        <v/>
      </c>
      <c r="L19" s="1">
        <f t="shared" si="5"/>
        <v>0</v>
      </c>
      <c r="M19" s="1">
        <f t="shared" si="6"/>
        <v>0</v>
      </c>
      <c r="N19" s="97" t="s">
        <v>293</v>
      </c>
      <c r="O19" s="98" t="s">
        <v>17</v>
      </c>
      <c r="P19" s="96" t="s">
        <v>418</v>
      </c>
      <c r="R19" s="20"/>
      <c r="V19" s="21"/>
      <c r="W19" s="21"/>
      <c r="Y19" s="135" t="s">
        <v>415</v>
      </c>
      <c r="Z19" s="136" t="s">
        <v>454</v>
      </c>
      <c r="AA19" s="133" t="str">
        <f t="shared" si="0"/>
        <v>SuburbanOffice Supplies</v>
      </c>
      <c r="AB19" s="134" t="s">
        <v>463</v>
      </c>
    </row>
    <row r="20" spans="1:28" s="19" customFormat="1" x14ac:dyDescent="0.2">
      <c r="A20" s="44"/>
      <c r="B20" s="71"/>
      <c r="C20" s="16" t="str">
        <f t="shared" si="1"/>
        <v/>
      </c>
      <c r="D20" s="71" t="str">
        <f t="shared" si="7"/>
        <v/>
      </c>
      <c r="E20" s="90"/>
      <c r="F20" s="70" t="str">
        <f t="shared" si="2"/>
        <v/>
      </c>
      <c r="G20" s="69"/>
      <c r="H20" s="67">
        <f t="shared" si="3"/>
        <v>0</v>
      </c>
      <c r="I20" s="69"/>
      <c r="J20" s="30"/>
      <c r="K20" s="1" t="str">
        <f t="shared" si="4"/>
        <v/>
      </c>
      <c r="L20" s="1">
        <f t="shared" si="5"/>
        <v>0</v>
      </c>
      <c r="M20" s="1">
        <f t="shared" si="6"/>
        <v>0</v>
      </c>
      <c r="N20" s="97" t="s">
        <v>294</v>
      </c>
      <c r="O20" s="98" t="s">
        <v>21</v>
      </c>
      <c r="P20" s="96" t="s">
        <v>418</v>
      </c>
      <c r="Q20" s="21"/>
      <c r="R20"/>
      <c r="S20" s="20"/>
      <c r="T20" s="20"/>
      <c r="U20" s="20"/>
      <c r="V20"/>
      <c r="W20"/>
      <c r="Y20" s="131" t="s">
        <v>418</v>
      </c>
      <c r="Z20" s="132" t="s">
        <v>430</v>
      </c>
      <c r="AA20" s="133" t="str">
        <f t="shared" si="0"/>
        <v>ChicagoOther</v>
      </c>
      <c r="AB20" s="185" t="s">
        <v>459</v>
      </c>
    </row>
    <row r="21" spans="1:28" x14ac:dyDescent="0.2">
      <c r="A21" s="72"/>
      <c r="B21" s="73"/>
      <c r="C21" s="74" t="str">
        <f t="shared" si="1"/>
        <v/>
      </c>
      <c r="D21" s="73" t="str">
        <f t="shared" si="7"/>
        <v/>
      </c>
      <c r="E21" s="75"/>
      <c r="F21" s="76" t="str">
        <f t="shared" si="2"/>
        <v/>
      </c>
      <c r="G21" s="77"/>
      <c r="H21" s="78">
        <f t="shared" si="3"/>
        <v>0</v>
      </c>
      <c r="I21" s="77"/>
      <c r="J21" s="79"/>
      <c r="K21" s="1" t="str">
        <f t="shared" si="4"/>
        <v/>
      </c>
      <c r="L21" s="1">
        <f t="shared" si="5"/>
        <v>0</v>
      </c>
      <c r="M21" s="1">
        <f t="shared" si="6"/>
        <v>0</v>
      </c>
      <c r="N21" s="97" t="s">
        <v>425</v>
      </c>
      <c r="O21" s="98" t="s">
        <v>22</v>
      </c>
      <c r="P21" s="96" t="s">
        <v>418</v>
      </c>
      <c r="R21" s="19"/>
      <c r="V21" s="21"/>
      <c r="W21" s="21"/>
      <c r="Y21" s="135" t="s">
        <v>415</v>
      </c>
      <c r="Z21" s="136" t="s">
        <v>430</v>
      </c>
      <c r="AA21" s="133" t="str">
        <f t="shared" si="0"/>
        <v>SuburbanOther</v>
      </c>
      <c r="AB21" s="186" t="s">
        <v>459</v>
      </c>
    </row>
    <row r="22" spans="1:28" s="19" customFormat="1" x14ac:dyDescent="0.2">
      <c r="A22" s="44"/>
      <c r="B22" s="71"/>
      <c r="C22" s="16" t="str">
        <f t="shared" si="1"/>
        <v/>
      </c>
      <c r="D22" s="71" t="str">
        <f t="shared" si="7"/>
        <v/>
      </c>
      <c r="E22" s="90"/>
      <c r="F22" s="70" t="str">
        <f t="shared" si="2"/>
        <v/>
      </c>
      <c r="G22" s="26"/>
      <c r="H22" s="68">
        <f t="shared" si="3"/>
        <v>0</v>
      </c>
      <c r="I22" s="26"/>
      <c r="J22" s="30"/>
      <c r="K22" s="1" t="str">
        <f t="shared" si="4"/>
        <v/>
      </c>
      <c r="L22" s="1">
        <f t="shared" si="5"/>
        <v>0</v>
      </c>
      <c r="M22" s="1">
        <f t="shared" si="6"/>
        <v>0</v>
      </c>
      <c r="N22" s="97" t="s">
        <v>295</v>
      </c>
      <c r="O22" s="98" t="s">
        <v>23</v>
      </c>
      <c r="P22" s="96" t="s">
        <v>418</v>
      </c>
      <c r="Q22" s="21"/>
      <c r="R22" s="153"/>
      <c r="S22" s="153"/>
      <c r="T22" s="153"/>
      <c r="U22" s="21"/>
      <c r="V22"/>
      <c r="W22"/>
      <c r="Y22" s="131" t="s">
        <v>418</v>
      </c>
      <c r="Z22" s="132" t="s">
        <v>455</v>
      </c>
      <c r="AA22" s="133" t="str">
        <f t="shared" si="0"/>
        <v>ChicagoOutsite Copies</v>
      </c>
      <c r="AB22" s="137" t="s">
        <v>460</v>
      </c>
    </row>
    <row r="23" spans="1:28" x14ac:dyDescent="0.2">
      <c r="A23" s="72"/>
      <c r="B23" s="73"/>
      <c r="C23" s="74" t="str">
        <f t="shared" si="1"/>
        <v/>
      </c>
      <c r="D23" s="73" t="str">
        <f t="shared" si="7"/>
        <v/>
      </c>
      <c r="E23" s="75"/>
      <c r="F23" s="76" t="str">
        <f t="shared" si="2"/>
        <v/>
      </c>
      <c r="G23" s="77"/>
      <c r="H23" s="78">
        <f t="shared" si="3"/>
        <v>0</v>
      </c>
      <c r="I23" s="77"/>
      <c r="J23" s="79"/>
      <c r="K23" s="1" t="str">
        <f t="shared" si="4"/>
        <v/>
      </c>
      <c r="L23" s="1">
        <f t="shared" si="5"/>
        <v>0</v>
      </c>
      <c r="M23" s="1">
        <f t="shared" si="6"/>
        <v>0</v>
      </c>
      <c r="N23" s="105" t="s">
        <v>541</v>
      </c>
      <c r="O23" s="106" t="s">
        <v>542</v>
      </c>
      <c r="P23" s="104" t="s">
        <v>418</v>
      </c>
      <c r="R23" s="20"/>
      <c r="V23" s="21"/>
      <c r="W23" s="21"/>
      <c r="Y23" s="135" t="s">
        <v>415</v>
      </c>
      <c r="Z23" s="136" t="s">
        <v>455</v>
      </c>
      <c r="AA23" s="133" t="str">
        <f t="shared" si="0"/>
        <v>SuburbanOutsite Copies</v>
      </c>
      <c r="AB23" s="134" t="s">
        <v>460</v>
      </c>
    </row>
    <row r="24" spans="1:28" s="19" customFormat="1" x14ac:dyDescent="0.2">
      <c r="A24" s="44"/>
      <c r="B24" s="71"/>
      <c r="C24" s="16" t="str">
        <f t="shared" si="1"/>
        <v/>
      </c>
      <c r="D24" s="71" t="str">
        <f t="shared" si="7"/>
        <v/>
      </c>
      <c r="E24" s="90"/>
      <c r="F24" s="70" t="str">
        <f t="shared" si="2"/>
        <v/>
      </c>
      <c r="G24" s="26"/>
      <c r="H24" s="68">
        <f t="shared" si="3"/>
        <v>0</v>
      </c>
      <c r="I24" s="26"/>
      <c r="J24" s="30"/>
      <c r="K24" s="1" t="str">
        <f t="shared" si="4"/>
        <v/>
      </c>
      <c r="L24" s="1">
        <f t="shared" si="5"/>
        <v>0</v>
      </c>
      <c r="M24" s="1">
        <f t="shared" si="6"/>
        <v>0</v>
      </c>
      <c r="N24" s="107" t="s">
        <v>475</v>
      </c>
      <c r="O24" s="100" t="s">
        <v>436</v>
      </c>
      <c r="P24" s="101" t="s">
        <v>418</v>
      </c>
      <c r="Q24" s="21"/>
      <c r="R24" s="5"/>
      <c r="S24" s="20"/>
      <c r="T24" s="20"/>
      <c r="U24" s="20"/>
      <c r="V24"/>
      <c r="W24"/>
      <c r="Y24" s="131" t="s">
        <v>418</v>
      </c>
      <c r="Z24" s="132" t="s">
        <v>450</v>
      </c>
      <c r="AA24" s="98" t="str">
        <f t="shared" si="0"/>
        <v>ChicagoParking</v>
      </c>
      <c r="AB24" s="96" t="s">
        <v>14</v>
      </c>
    </row>
    <row r="25" spans="1:28" x14ac:dyDescent="0.2">
      <c r="A25" s="72"/>
      <c r="B25" s="73"/>
      <c r="C25" s="74" t="str">
        <f t="shared" si="1"/>
        <v/>
      </c>
      <c r="D25" s="73" t="str">
        <f t="shared" si="7"/>
        <v/>
      </c>
      <c r="E25" s="75"/>
      <c r="F25" s="76" t="str">
        <f t="shared" si="2"/>
        <v/>
      </c>
      <c r="G25" s="77"/>
      <c r="H25" s="78">
        <f t="shared" si="3"/>
        <v>0</v>
      </c>
      <c r="I25" s="77"/>
      <c r="J25" s="79"/>
      <c r="K25" s="1" t="str">
        <f t="shared" si="4"/>
        <v/>
      </c>
      <c r="L25" s="1">
        <f t="shared" si="5"/>
        <v>0</v>
      </c>
      <c r="M25" s="1">
        <f t="shared" si="6"/>
        <v>0</v>
      </c>
      <c r="N25" s="97" t="s">
        <v>296</v>
      </c>
      <c r="O25" s="98" t="s">
        <v>24</v>
      </c>
      <c r="P25" s="96" t="s">
        <v>418</v>
      </c>
      <c r="R25" s="20"/>
      <c r="S25" s="5"/>
      <c r="T25" s="5"/>
      <c r="V25" s="21"/>
      <c r="W25" s="21"/>
      <c r="Y25" s="135" t="s">
        <v>415</v>
      </c>
      <c r="Z25" s="136" t="s">
        <v>450</v>
      </c>
      <c r="AA25" s="133" t="str">
        <f t="shared" si="0"/>
        <v>SuburbanParking</v>
      </c>
      <c r="AB25" s="134" t="s">
        <v>13</v>
      </c>
    </row>
    <row r="26" spans="1:28" s="19" customFormat="1" x14ac:dyDescent="0.2">
      <c r="A26" s="44"/>
      <c r="B26" s="71"/>
      <c r="C26" s="16" t="str">
        <f t="shared" si="1"/>
        <v/>
      </c>
      <c r="D26" s="71" t="str">
        <f t="shared" si="7"/>
        <v/>
      </c>
      <c r="E26" s="90"/>
      <c r="F26" s="70" t="str">
        <f t="shared" si="2"/>
        <v/>
      </c>
      <c r="G26" s="26"/>
      <c r="H26" s="68">
        <f t="shared" si="3"/>
        <v>0</v>
      </c>
      <c r="I26" s="26"/>
      <c r="J26" s="30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97" t="s">
        <v>297</v>
      </c>
      <c r="O26" s="98" t="s">
        <v>25</v>
      </c>
      <c r="P26" s="96" t="s">
        <v>418</v>
      </c>
      <c r="Q26" s="21"/>
      <c r="R26" s="2"/>
      <c r="S26" s="20"/>
      <c r="T26" s="20"/>
      <c r="U26" s="21"/>
      <c r="V26"/>
      <c r="W26"/>
      <c r="Y26" s="131" t="s">
        <v>418</v>
      </c>
      <c r="Z26" s="132" t="s">
        <v>456</v>
      </c>
      <c r="AA26" s="133" t="str">
        <f t="shared" si="0"/>
        <v>ChicagoPostage</v>
      </c>
      <c r="AB26" s="134" t="s">
        <v>461</v>
      </c>
    </row>
    <row r="27" spans="1:28" x14ac:dyDescent="0.2">
      <c r="A27" s="72"/>
      <c r="B27" s="73"/>
      <c r="C27" s="74" t="str">
        <f t="shared" si="1"/>
        <v/>
      </c>
      <c r="D27" s="73" t="str">
        <f t="shared" si="7"/>
        <v/>
      </c>
      <c r="E27" s="75"/>
      <c r="F27" s="76" t="str">
        <f t="shared" si="2"/>
        <v/>
      </c>
      <c r="G27" s="77"/>
      <c r="H27" s="78">
        <f t="shared" si="3"/>
        <v>0</v>
      </c>
      <c r="I27" s="77"/>
      <c r="J27" s="79"/>
      <c r="K27" s="1" t="str">
        <f t="shared" si="4"/>
        <v/>
      </c>
      <c r="L27" s="1">
        <f t="shared" ref="L27:L41" si="8">IF(I27="Yes",IF(J27="",1,0),0)</f>
        <v>0</v>
      </c>
      <c r="M27" s="1">
        <f t="shared" si="6"/>
        <v>0</v>
      </c>
      <c r="N27" s="97" t="s">
        <v>26</v>
      </c>
      <c r="O27" s="98" t="s">
        <v>27</v>
      </c>
      <c r="P27" s="96" t="s">
        <v>418</v>
      </c>
      <c r="R27" s="21"/>
      <c r="S27" s="2"/>
      <c r="T27" s="2"/>
      <c r="V27" s="21"/>
      <c r="W27" s="21"/>
      <c r="Y27" s="135" t="s">
        <v>415</v>
      </c>
      <c r="Z27" s="136" t="s">
        <v>456</v>
      </c>
      <c r="AA27" s="133" t="str">
        <f t="shared" si="0"/>
        <v>SuburbanPostage</v>
      </c>
      <c r="AB27" s="134" t="s">
        <v>461</v>
      </c>
    </row>
    <row r="28" spans="1:28" s="19" customFormat="1" x14ac:dyDescent="0.2">
      <c r="A28" s="44"/>
      <c r="B28" s="71"/>
      <c r="C28" s="16" t="str">
        <f t="shared" si="1"/>
        <v/>
      </c>
      <c r="D28" s="71" t="str">
        <f t="shared" si="7"/>
        <v/>
      </c>
      <c r="E28" s="90"/>
      <c r="F28" s="70" t="str">
        <f t="shared" si="2"/>
        <v/>
      </c>
      <c r="G28" s="26"/>
      <c r="H28" s="68">
        <f t="shared" si="3"/>
        <v>0</v>
      </c>
      <c r="I28" s="26"/>
      <c r="J28" s="30"/>
      <c r="K28" s="1" t="str">
        <f t="shared" si="4"/>
        <v/>
      </c>
      <c r="L28" s="1">
        <f t="shared" si="8"/>
        <v>0</v>
      </c>
      <c r="M28" s="1">
        <f t="shared" si="6"/>
        <v>0</v>
      </c>
      <c r="N28" s="97" t="s">
        <v>28</v>
      </c>
      <c r="O28" s="98" t="s">
        <v>29</v>
      </c>
      <c r="P28" s="96" t="s">
        <v>418</v>
      </c>
      <c r="Q28" s="21"/>
      <c r="R28"/>
      <c r="S28" s="21"/>
      <c r="T28" s="21"/>
      <c r="U28" s="21"/>
      <c r="V28"/>
      <c r="W28"/>
      <c r="Y28" s="131" t="s">
        <v>418</v>
      </c>
      <c r="Z28" s="98" t="s">
        <v>458</v>
      </c>
      <c r="AA28" s="133" t="str">
        <f t="shared" si="0"/>
        <v>ChicagoProf Dues/Subscriptions</v>
      </c>
      <c r="AB28" s="134" t="s">
        <v>462</v>
      </c>
    </row>
    <row r="29" spans="1:28" x14ac:dyDescent="0.2">
      <c r="A29" s="72"/>
      <c r="B29" s="73"/>
      <c r="C29" s="74" t="str">
        <f t="shared" si="1"/>
        <v/>
      </c>
      <c r="D29" s="73" t="str">
        <f t="shared" si="7"/>
        <v/>
      </c>
      <c r="E29" s="75"/>
      <c r="F29" s="76" t="str">
        <f t="shared" si="2"/>
        <v/>
      </c>
      <c r="G29" s="77"/>
      <c r="H29" s="78">
        <f t="shared" si="3"/>
        <v>0</v>
      </c>
      <c r="I29" s="77"/>
      <c r="J29" s="79"/>
      <c r="K29" s="1" t="str">
        <f t="shared" si="4"/>
        <v/>
      </c>
      <c r="L29" s="1">
        <f t="shared" si="8"/>
        <v>0</v>
      </c>
      <c r="M29" s="1">
        <f t="shared" si="6"/>
        <v>0</v>
      </c>
      <c r="N29" s="108" t="s">
        <v>571</v>
      </c>
      <c r="O29" s="103" t="s">
        <v>570</v>
      </c>
      <c r="P29" s="104" t="s">
        <v>418</v>
      </c>
      <c r="R29" s="19"/>
      <c r="V29" s="21"/>
      <c r="W29" s="21"/>
      <c r="Y29" s="135" t="s">
        <v>415</v>
      </c>
      <c r="Z29" s="133" t="s">
        <v>458</v>
      </c>
      <c r="AA29" s="133" t="str">
        <f t="shared" si="0"/>
        <v>SuburbanProf Dues/Subscriptions</v>
      </c>
      <c r="AB29" s="134" t="s">
        <v>462</v>
      </c>
    </row>
    <row r="30" spans="1:28" s="19" customFormat="1" x14ac:dyDescent="0.2">
      <c r="A30" s="44"/>
      <c r="B30" s="71"/>
      <c r="C30" s="16" t="str">
        <f t="shared" si="1"/>
        <v/>
      </c>
      <c r="D30" s="71" t="str">
        <f t="shared" si="7"/>
        <v/>
      </c>
      <c r="E30" s="90"/>
      <c r="F30" s="70" t="str">
        <f t="shared" si="2"/>
        <v/>
      </c>
      <c r="G30" s="26"/>
      <c r="H30" s="67">
        <f t="shared" si="3"/>
        <v>0</v>
      </c>
      <c r="I30" s="26"/>
      <c r="J30" s="30"/>
      <c r="K30" s="1" t="str">
        <f t="shared" si="4"/>
        <v/>
      </c>
      <c r="L30" s="1">
        <f t="shared" si="8"/>
        <v>0</v>
      </c>
      <c r="M30" s="1">
        <f t="shared" si="6"/>
        <v>0</v>
      </c>
      <c r="N30" s="97" t="s">
        <v>298</v>
      </c>
      <c r="O30" s="98" t="s">
        <v>30</v>
      </c>
      <c r="P30" s="96" t="s">
        <v>418</v>
      </c>
      <c r="Q30" s="21"/>
      <c r="R30"/>
      <c r="U30" s="21"/>
      <c r="V30"/>
      <c r="W30"/>
      <c r="Y30" s="131" t="s">
        <v>418</v>
      </c>
      <c r="Z30" s="132" t="s">
        <v>451</v>
      </c>
      <c r="AA30" s="98" t="str">
        <f t="shared" si="0"/>
        <v>ChicagoTolls</v>
      </c>
      <c r="AB30" s="96" t="s">
        <v>14</v>
      </c>
    </row>
    <row r="31" spans="1:28" x14ac:dyDescent="0.2">
      <c r="A31" s="72"/>
      <c r="B31" s="73"/>
      <c r="C31" s="74" t="str">
        <f t="shared" si="1"/>
        <v/>
      </c>
      <c r="D31" s="73" t="str">
        <f t="shared" si="7"/>
        <v/>
      </c>
      <c r="E31" s="75"/>
      <c r="F31" s="76" t="str">
        <f t="shared" si="2"/>
        <v/>
      </c>
      <c r="G31" s="77"/>
      <c r="H31" s="78">
        <f t="shared" si="3"/>
        <v>0</v>
      </c>
      <c r="I31" s="77"/>
      <c r="J31" s="79"/>
      <c r="K31" s="1" t="str">
        <f t="shared" si="4"/>
        <v/>
      </c>
      <c r="L31" s="1">
        <f t="shared" si="8"/>
        <v>0</v>
      </c>
      <c r="M31" s="1">
        <f t="shared" si="6"/>
        <v>0</v>
      </c>
      <c r="N31" s="102" t="s">
        <v>575</v>
      </c>
      <c r="O31" s="103" t="s">
        <v>576</v>
      </c>
      <c r="P31" s="104" t="s">
        <v>418</v>
      </c>
      <c r="R31" s="20"/>
      <c r="V31" s="21"/>
      <c r="W31" s="21"/>
      <c r="Y31" s="135" t="s">
        <v>415</v>
      </c>
      <c r="Z31" s="136" t="s">
        <v>451</v>
      </c>
      <c r="AA31" s="133" t="str">
        <f t="shared" si="0"/>
        <v>SuburbanTolls</v>
      </c>
      <c r="AB31" s="134" t="s">
        <v>13</v>
      </c>
    </row>
    <row r="32" spans="1:28" s="19" customFormat="1" x14ac:dyDescent="0.2">
      <c r="A32" s="44"/>
      <c r="B32" s="71"/>
      <c r="C32" s="16" t="str">
        <f t="shared" si="1"/>
        <v/>
      </c>
      <c r="D32" s="71" t="str">
        <f t="shared" si="7"/>
        <v/>
      </c>
      <c r="E32" s="90"/>
      <c r="F32" s="70" t="str">
        <f t="shared" si="2"/>
        <v/>
      </c>
      <c r="G32" s="26"/>
      <c r="H32" s="67">
        <f t="shared" si="3"/>
        <v>0</v>
      </c>
      <c r="I32" s="26"/>
      <c r="J32" s="30"/>
      <c r="K32" s="1" t="str">
        <f t="shared" si="4"/>
        <v/>
      </c>
      <c r="L32" s="1">
        <f t="shared" si="8"/>
        <v>0</v>
      </c>
      <c r="M32" s="1">
        <f t="shared" si="6"/>
        <v>0</v>
      </c>
      <c r="N32" s="97" t="s">
        <v>548</v>
      </c>
      <c r="O32" s="109" t="s">
        <v>549</v>
      </c>
      <c r="P32" s="96" t="s">
        <v>418</v>
      </c>
      <c r="Q32" s="21"/>
      <c r="R32" s="2"/>
      <c r="S32" s="20"/>
      <c r="T32" s="20"/>
      <c r="U32" s="20"/>
      <c r="V32"/>
      <c r="W32"/>
      <c r="Y32" s="131" t="s">
        <v>418</v>
      </c>
      <c r="Z32" s="132" t="s">
        <v>457</v>
      </c>
      <c r="AA32" s="133" t="str">
        <f t="shared" si="0"/>
        <v>ChicagoTraining/Education</v>
      </c>
      <c r="AB32" s="134" t="s">
        <v>591</v>
      </c>
    </row>
    <row r="33" spans="1:30" x14ac:dyDescent="0.2">
      <c r="A33" s="72"/>
      <c r="B33" s="73"/>
      <c r="C33" s="74" t="str">
        <f t="shared" si="1"/>
        <v/>
      </c>
      <c r="D33" s="73" t="str">
        <f t="shared" si="7"/>
        <v/>
      </c>
      <c r="E33" s="75"/>
      <c r="F33" s="76" t="str">
        <f t="shared" si="2"/>
        <v/>
      </c>
      <c r="G33" s="77"/>
      <c r="H33" s="78">
        <f t="shared" si="3"/>
        <v>0</v>
      </c>
      <c r="I33" s="77"/>
      <c r="J33" s="79"/>
      <c r="K33" s="1" t="str">
        <f t="shared" si="4"/>
        <v/>
      </c>
      <c r="L33" s="1">
        <f t="shared" si="8"/>
        <v>0</v>
      </c>
      <c r="M33" s="1">
        <f t="shared" si="6"/>
        <v>0</v>
      </c>
      <c r="N33" s="97" t="s">
        <v>299</v>
      </c>
      <c r="O33" s="98" t="s">
        <v>31</v>
      </c>
      <c r="P33" s="96" t="s">
        <v>418</v>
      </c>
      <c r="R33" s="20"/>
      <c r="S33" s="2"/>
      <c r="T33" s="2"/>
      <c r="U33" s="2"/>
      <c r="V33" s="21"/>
      <c r="W33" s="21"/>
      <c r="Y33" s="135" t="s">
        <v>415</v>
      </c>
      <c r="Z33" s="136" t="s">
        <v>457</v>
      </c>
      <c r="AA33" s="133" t="str">
        <f t="shared" si="0"/>
        <v>SuburbanTraining/Education</v>
      </c>
      <c r="AB33" s="134" t="s">
        <v>592</v>
      </c>
    </row>
    <row r="34" spans="1:30" s="19" customFormat="1" x14ac:dyDescent="0.2">
      <c r="A34" s="44"/>
      <c r="B34" s="71"/>
      <c r="C34" s="16" t="str">
        <f t="shared" si="1"/>
        <v/>
      </c>
      <c r="D34" s="71" t="str">
        <f t="shared" si="7"/>
        <v/>
      </c>
      <c r="E34" s="90"/>
      <c r="F34" s="70" t="str">
        <f t="shared" si="2"/>
        <v/>
      </c>
      <c r="G34" s="26"/>
      <c r="H34" s="67">
        <f t="shared" si="3"/>
        <v>0</v>
      </c>
      <c r="I34" s="26"/>
      <c r="J34" s="30"/>
      <c r="K34" s="1" t="str">
        <f t="shared" si="4"/>
        <v/>
      </c>
      <c r="L34" s="1">
        <f t="shared" si="8"/>
        <v>0</v>
      </c>
      <c r="M34" s="1">
        <f t="shared" si="6"/>
        <v>0</v>
      </c>
      <c r="N34" s="97" t="s">
        <v>32</v>
      </c>
      <c r="O34" s="98" t="s">
        <v>33</v>
      </c>
      <c r="P34" s="96" t="s">
        <v>418</v>
      </c>
      <c r="Q34" s="21"/>
      <c r="R34" s="2"/>
      <c r="S34" s="20"/>
      <c r="T34" s="20"/>
      <c r="U34" s="20"/>
      <c r="V34"/>
      <c r="W34"/>
      <c r="Y34" s="131" t="s">
        <v>418</v>
      </c>
      <c r="Z34" s="95"/>
      <c r="AA34" s="133" t="str">
        <f t="shared" si="0"/>
        <v>Chicago</v>
      </c>
      <c r="AB34" s="137" t="s">
        <v>545</v>
      </c>
    </row>
    <row r="35" spans="1:30" x14ac:dyDescent="0.2">
      <c r="A35" s="72"/>
      <c r="B35" s="73"/>
      <c r="C35" s="74" t="str">
        <f t="shared" si="1"/>
        <v/>
      </c>
      <c r="D35" s="73" t="str">
        <f t="shared" si="7"/>
        <v/>
      </c>
      <c r="E35" s="75"/>
      <c r="F35" s="76" t="str">
        <f t="shared" si="2"/>
        <v/>
      </c>
      <c r="G35" s="77"/>
      <c r="H35" s="78">
        <f t="shared" si="3"/>
        <v>0</v>
      </c>
      <c r="I35" s="77"/>
      <c r="J35" s="79"/>
      <c r="K35" s="1" t="str">
        <f t="shared" si="4"/>
        <v/>
      </c>
      <c r="L35" s="1">
        <f t="shared" si="8"/>
        <v>0</v>
      </c>
      <c r="M35" s="1">
        <f t="shared" si="6"/>
        <v>0</v>
      </c>
      <c r="N35" s="97" t="s">
        <v>300</v>
      </c>
      <c r="O35" s="98" t="s">
        <v>34</v>
      </c>
      <c r="P35" s="96" t="s">
        <v>418</v>
      </c>
      <c r="R35" s="20"/>
      <c r="S35" s="2"/>
      <c r="T35" s="2"/>
      <c r="U35" s="2"/>
      <c r="V35" s="21"/>
      <c r="W35" s="21"/>
      <c r="Y35" s="138" t="s">
        <v>415</v>
      </c>
      <c r="Z35" s="139"/>
      <c r="AA35" s="140" t="str">
        <f t="shared" si="0"/>
        <v>Suburban</v>
      </c>
      <c r="AB35" s="141" t="s">
        <v>545</v>
      </c>
    </row>
    <row r="36" spans="1:30" x14ac:dyDescent="0.2">
      <c r="A36" s="44"/>
      <c r="B36" s="71"/>
      <c r="C36" s="16" t="str">
        <f t="shared" si="1"/>
        <v/>
      </c>
      <c r="D36" s="71" t="str">
        <f t="shared" ref="D36" si="9">IF(E36="","","ENTER DESCRIPTION HERE")</f>
        <v/>
      </c>
      <c r="E36" s="90"/>
      <c r="F36" s="70" t="str">
        <f t="shared" si="2"/>
        <v/>
      </c>
      <c r="G36" s="26"/>
      <c r="H36" s="67">
        <f t="shared" si="3"/>
        <v>0</v>
      </c>
      <c r="I36" s="26"/>
      <c r="J36" s="30"/>
      <c r="K36" s="1" t="str">
        <f t="shared" si="4"/>
        <v/>
      </c>
      <c r="L36" s="1">
        <f t="shared" si="8"/>
        <v>0</v>
      </c>
      <c r="M36" s="1">
        <f t="shared" si="6"/>
        <v>0</v>
      </c>
      <c r="N36" s="97" t="s">
        <v>301</v>
      </c>
      <c r="O36" s="98" t="s">
        <v>35</v>
      </c>
      <c r="P36" s="96" t="s">
        <v>418</v>
      </c>
      <c r="R36" s="20"/>
      <c r="S36" s="2"/>
      <c r="T36" s="2"/>
      <c r="U36" s="2"/>
      <c r="V36" s="21"/>
      <c r="W36" s="21"/>
      <c r="Y36" s="174"/>
      <c r="Z36" s="19"/>
      <c r="AA36" s="40"/>
      <c r="AB36" s="19"/>
    </row>
    <row r="37" spans="1:30" x14ac:dyDescent="0.2">
      <c r="A37" s="72"/>
      <c r="B37" s="73"/>
      <c r="C37" s="74" t="str">
        <f t="shared" si="1"/>
        <v/>
      </c>
      <c r="D37" s="73" t="str">
        <f t="shared" si="7"/>
        <v/>
      </c>
      <c r="E37" s="75"/>
      <c r="F37" s="76" t="str">
        <f t="shared" si="2"/>
        <v/>
      </c>
      <c r="G37" s="77"/>
      <c r="H37" s="78">
        <f t="shared" si="3"/>
        <v>0</v>
      </c>
      <c r="I37" s="77"/>
      <c r="J37" s="79"/>
      <c r="K37" s="1" t="str">
        <f t="shared" si="4"/>
        <v/>
      </c>
      <c r="L37" s="1">
        <f t="shared" si="8"/>
        <v>0</v>
      </c>
      <c r="M37" s="1">
        <f t="shared" si="6"/>
        <v>0</v>
      </c>
      <c r="N37" s="97" t="s">
        <v>302</v>
      </c>
      <c r="O37" s="98" t="s">
        <v>263</v>
      </c>
      <c r="P37" s="96" t="s">
        <v>418</v>
      </c>
      <c r="R37" s="20"/>
      <c r="S37" s="2"/>
      <c r="T37" s="2"/>
      <c r="U37" s="2"/>
      <c r="V37" s="21"/>
      <c r="W37" s="21"/>
      <c r="Y37" s="174"/>
      <c r="Z37" s="19"/>
      <c r="AA37" s="40"/>
      <c r="AB37" s="19"/>
    </row>
    <row r="38" spans="1:30" x14ac:dyDescent="0.2">
      <c r="A38" s="44"/>
      <c r="B38" s="71"/>
      <c r="C38" s="16" t="str">
        <f t="shared" si="1"/>
        <v/>
      </c>
      <c r="D38" s="71" t="str">
        <f t="shared" ref="D38" si="10">IF(E38="","","ENTER DESCRIPTION HERE")</f>
        <v/>
      </c>
      <c r="E38" s="90"/>
      <c r="F38" s="70" t="str">
        <f t="shared" si="2"/>
        <v/>
      </c>
      <c r="G38" s="26"/>
      <c r="H38" s="67">
        <f t="shared" si="3"/>
        <v>0</v>
      </c>
      <c r="I38" s="26"/>
      <c r="J38" s="30"/>
      <c r="K38" s="1" t="str">
        <f t="shared" si="4"/>
        <v/>
      </c>
      <c r="L38" s="1">
        <f t="shared" si="8"/>
        <v>0</v>
      </c>
      <c r="M38" s="1">
        <f t="shared" si="6"/>
        <v>0</v>
      </c>
      <c r="N38" s="94" t="s">
        <v>535</v>
      </c>
      <c r="O38" s="149" t="s">
        <v>536</v>
      </c>
      <c r="P38" s="96" t="s">
        <v>415</v>
      </c>
      <c r="R38" s="20"/>
      <c r="S38" s="2"/>
      <c r="T38" s="2"/>
      <c r="U38" s="2"/>
      <c r="V38" s="21"/>
      <c r="W38" s="21"/>
      <c r="Y38" s="174"/>
      <c r="Z38" s="19"/>
      <c r="AA38" s="40"/>
      <c r="AB38" s="19"/>
    </row>
    <row r="39" spans="1:30" x14ac:dyDescent="0.2">
      <c r="A39" s="72"/>
      <c r="B39" s="73"/>
      <c r="C39" s="74" t="str">
        <f t="shared" si="1"/>
        <v/>
      </c>
      <c r="D39" s="73" t="str">
        <f t="shared" si="7"/>
        <v/>
      </c>
      <c r="E39" s="75"/>
      <c r="F39" s="76" t="str">
        <f t="shared" si="2"/>
        <v/>
      </c>
      <c r="G39" s="77"/>
      <c r="H39" s="78">
        <f t="shared" si="3"/>
        <v>0</v>
      </c>
      <c r="I39" s="77"/>
      <c r="J39" s="79"/>
      <c r="K39" s="1" t="str">
        <f t="shared" si="4"/>
        <v/>
      </c>
      <c r="L39" s="1">
        <f t="shared" si="8"/>
        <v>0</v>
      </c>
      <c r="M39" s="1">
        <f t="shared" si="6"/>
        <v>0</v>
      </c>
      <c r="N39" s="97" t="s">
        <v>36</v>
      </c>
      <c r="O39" s="98" t="s">
        <v>37</v>
      </c>
      <c r="P39" s="96" t="s">
        <v>415</v>
      </c>
      <c r="R39" s="20"/>
      <c r="S39" s="2"/>
      <c r="T39" s="2"/>
      <c r="U39" s="2"/>
      <c r="V39" s="21"/>
      <c r="W39" s="21"/>
      <c r="Y39" s="174"/>
      <c r="Z39" s="19"/>
      <c r="AA39" s="40"/>
      <c r="AB39" s="19"/>
    </row>
    <row r="40" spans="1:30" x14ac:dyDescent="0.2">
      <c r="A40" s="44"/>
      <c r="B40" s="71"/>
      <c r="C40" s="16" t="str">
        <f t="shared" si="1"/>
        <v/>
      </c>
      <c r="D40" s="71" t="str">
        <f t="shared" ref="D40" si="11">IF(E40="","","ENTER DESCRIPTION HERE")</f>
        <v/>
      </c>
      <c r="E40" s="90"/>
      <c r="F40" s="70" t="str">
        <f t="shared" si="2"/>
        <v/>
      </c>
      <c r="G40" s="26"/>
      <c r="H40" s="67">
        <f t="shared" si="3"/>
        <v>0</v>
      </c>
      <c r="I40" s="26"/>
      <c r="J40" s="30"/>
      <c r="K40" s="1" t="str">
        <f t="shared" si="4"/>
        <v/>
      </c>
      <c r="L40" s="1">
        <f t="shared" si="8"/>
        <v>0</v>
      </c>
      <c r="M40" s="1">
        <f t="shared" si="6"/>
        <v>0</v>
      </c>
      <c r="N40" s="97" t="s">
        <v>38</v>
      </c>
      <c r="O40" s="98" t="s">
        <v>39</v>
      </c>
      <c r="P40" s="96" t="s">
        <v>415</v>
      </c>
      <c r="R40" s="20"/>
      <c r="S40" s="2"/>
      <c r="T40" s="2"/>
      <c r="U40" s="2"/>
      <c r="V40" s="21"/>
      <c r="W40" s="21"/>
      <c r="Y40" s="174"/>
      <c r="Z40" s="19"/>
      <c r="AA40" s="40"/>
      <c r="AB40" s="19"/>
    </row>
    <row r="41" spans="1:30" s="19" customFormat="1" x14ac:dyDescent="0.2">
      <c r="A41" s="72"/>
      <c r="B41" s="73"/>
      <c r="C41" s="74" t="str">
        <f t="shared" si="1"/>
        <v/>
      </c>
      <c r="D41" s="73" t="str">
        <f t="shared" si="7"/>
        <v/>
      </c>
      <c r="E41" s="75"/>
      <c r="F41" s="76" t="str">
        <f t="shared" si="2"/>
        <v/>
      </c>
      <c r="G41" s="77"/>
      <c r="H41" s="78">
        <f t="shared" si="3"/>
        <v>0</v>
      </c>
      <c r="I41" s="77"/>
      <c r="J41" s="79"/>
      <c r="K41" s="1" t="str">
        <f t="shared" si="4"/>
        <v/>
      </c>
      <c r="L41" s="1">
        <f t="shared" si="8"/>
        <v>0</v>
      </c>
      <c r="M41" s="1">
        <f t="shared" si="6"/>
        <v>0</v>
      </c>
      <c r="N41" s="97" t="s">
        <v>303</v>
      </c>
      <c r="O41" s="98" t="s">
        <v>40</v>
      </c>
      <c r="P41" s="96" t="s">
        <v>415</v>
      </c>
      <c r="Q41" s="21"/>
      <c r="R41" s="20"/>
      <c r="S41" s="20"/>
      <c r="T41" s="20"/>
      <c r="U41" s="20"/>
      <c r="V41" s="21"/>
      <c r="W41" s="21"/>
      <c r="Y41" s="1"/>
      <c r="Z41" s="1"/>
      <c r="AA41" s="22" t="str">
        <f t="shared" si="0"/>
        <v/>
      </c>
      <c r="AB41" s="1" t="s">
        <v>545</v>
      </c>
    </row>
    <row r="42" spans="1:30" s="19" customFormat="1" hidden="1" x14ac:dyDescent="0.2">
      <c r="A42" s="184"/>
      <c r="B42" s="80"/>
      <c r="C42" s="81"/>
      <c r="D42" s="82"/>
      <c r="E42" s="83"/>
      <c r="F42" s="84"/>
      <c r="G42" s="85" t="s">
        <v>524</v>
      </c>
      <c r="H42" s="154">
        <v>0.55500000000000005</v>
      </c>
      <c r="I42" s="86" t="s">
        <v>552</v>
      </c>
      <c r="J42" s="86" t="s">
        <v>553</v>
      </c>
      <c r="K42" s="19">
        <f>COUNTIF(K7:K41,J42)</f>
        <v>2</v>
      </c>
      <c r="L42" s="19">
        <f>SUM(L7:L41)</f>
        <v>0</v>
      </c>
      <c r="M42" s="19">
        <f>SUM(M7:M41)</f>
        <v>0</v>
      </c>
      <c r="N42" s="97" t="s">
        <v>304</v>
      </c>
      <c r="O42" s="98" t="s">
        <v>41</v>
      </c>
      <c r="P42" s="96" t="s">
        <v>415</v>
      </c>
      <c r="Q42" s="21"/>
      <c r="R42" s="2"/>
      <c r="S42" s="20"/>
      <c r="T42" s="20"/>
      <c r="U42" s="20"/>
      <c r="V42"/>
      <c r="W42"/>
      <c r="Y42" s="1"/>
      <c r="Z42" s="1"/>
      <c r="AA42" s="22" t="str">
        <f t="shared" si="0"/>
        <v/>
      </c>
      <c r="AB42" s="1"/>
      <c r="AD42" s="19">
        <f>COUNTIF(D7:D41,I42)</f>
        <v>0</v>
      </c>
    </row>
    <row r="43" spans="1:30" x14ac:dyDescent="0.2">
      <c r="A43" s="184"/>
      <c r="B43" s="17"/>
      <c r="C43" s="17"/>
      <c r="D43" s="17"/>
      <c r="E43" s="17"/>
      <c r="F43" s="17"/>
      <c r="G43" s="17"/>
      <c r="H43" s="87"/>
      <c r="I43" s="18"/>
      <c r="J43" s="18"/>
      <c r="N43" s="97" t="s">
        <v>305</v>
      </c>
      <c r="O43" s="98" t="s">
        <v>42</v>
      </c>
      <c r="P43" s="96" t="s">
        <v>415</v>
      </c>
      <c r="R43" s="20"/>
      <c r="S43" s="2"/>
      <c r="T43" s="2"/>
      <c r="U43" s="2"/>
      <c r="V43" s="21"/>
      <c r="W43" s="21"/>
      <c r="Y43" s="19"/>
      <c r="Z43" s="19"/>
      <c r="AA43" s="22" t="str">
        <f t="shared" si="0"/>
        <v/>
      </c>
      <c r="AB43" s="19" t="s">
        <v>545</v>
      </c>
    </row>
    <row r="44" spans="1:30" s="19" customFormat="1" x14ac:dyDescent="0.2">
      <c r="A44" s="205" t="s">
        <v>630</v>
      </c>
      <c r="B44" s="206"/>
      <c r="C44" s="206"/>
      <c r="D44" s="206"/>
      <c r="E44" s="206"/>
      <c r="F44" s="206"/>
      <c r="G44" s="206"/>
      <c r="H44" s="206"/>
      <c r="I44" s="206"/>
      <c r="J44" s="207"/>
      <c r="M44" s="1"/>
      <c r="N44" s="97" t="s">
        <v>607</v>
      </c>
      <c r="O44" s="109" t="s">
        <v>608</v>
      </c>
      <c r="P44" s="96" t="s">
        <v>415</v>
      </c>
      <c r="Q44" s="21"/>
      <c r="R44" s="2"/>
      <c r="S44" s="20"/>
      <c r="T44" s="20"/>
      <c r="U44" s="20"/>
      <c r="V44"/>
      <c r="W44"/>
      <c r="Y44" s="1"/>
      <c r="Z44" s="1"/>
      <c r="AA44" s="1"/>
      <c r="AB44" s="1"/>
    </row>
    <row r="45" spans="1:30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4"/>
      <c r="M45" s="19"/>
      <c r="N45" s="97" t="s">
        <v>587</v>
      </c>
      <c r="O45" s="109" t="s">
        <v>588</v>
      </c>
      <c r="P45" s="96" t="s">
        <v>418</v>
      </c>
      <c r="R45" s="20"/>
      <c r="S45" s="2"/>
      <c r="T45" s="2"/>
      <c r="U45" s="2"/>
      <c r="V45" s="21"/>
      <c r="W45" s="21"/>
      <c r="Y45" s="19"/>
      <c r="Z45" s="19"/>
      <c r="AA45" s="19"/>
      <c r="AB45" s="19"/>
    </row>
    <row r="46" spans="1:30" s="19" customFormat="1" x14ac:dyDescent="0.2">
      <c r="A46" s="195"/>
      <c r="B46" s="196"/>
      <c r="C46" s="196"/>
      <c r="D46" s="196"/>
      <c r="E46" s="196"/>
      <c r="F46" s="196"/>
      <c r="G46" s="196"/>
      <c r="H46" s="196"/>
      <c r="I46" s="196"/>
      <c r="J46" s="197"/>
      <c r="M46" s="1"/>
      <c r="N46" s="97" t="s">
        <v>43</v>
      </c>
      <c r="O46" s="98" t="s">
        <v>44</v>
      </c>
      <c r="P46" s="96" t="s">
        <v>415</v>
      </c>
      <c r="Q46" s="21"/>
      <c r="R46" s="2"/>
      <c r="S46" s="20"/>
      <c r="T46" s="20"/>
      <c r="U46" s="20"/>
      <c r="V46"/>
      <c r="W46"/>
      <c r="Y46" s="1"/>
      <c r="Z46" s="1"/>
      <c r="AA46" s="1"/>
      <c r="AB46" s="1"/>
    </row>
    <row r="47" spans="1:30" x14ac:dyDescent="0.2">
      <c r="A47" s="203" t="s">
        <v>631</v>
      </c>
      <c r="B47" s="204"/>
      <c r="C47" s="204"/>
      <c r="D47" s="204"/>
      <c r="E47" s="204"/>
      <c r="F47" s="204"/>
      <c r="G47" s="204"/>
      <c r="H47" s="204"/>
      <c r="I47" s="204"/>
      <c r="J47" s="204"/>
      <c r="M47" s="19"/>
      <c r="N47" s="102" t="s">
        <v>555</v>
      </c>
      <c r="O47" s="103" t="s">
        <v>556</v>
      </c>
      <c r="P47" s="104" t="s">
        <v>415</v>
      </c>
      <c r="R47" s="20"/>
      <c r="S47" s="2"/>
      <c r="T47" s="2"/>
      <c r="U47" s="2"/>
      <c r="V47" s="21"/>
      <c r="W47" s="21"/>
      <c r="Y47" s="19"/>
      <c r="Z47" s="19"/>
      <c r="AA47" s="19"/>
      <c r="AB47" s="19"/>
    </row>
    <row r="48" spans="1:30" s="19" customFormat="1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M48" s="1"/>
      <c r="N48" s="97" t="s">
        <v>45</v>
      </c>
      <c r="O48" s="98" t="s">
        <v>46</v>
      </c>
      <c r="P48" s="96" t="s">
        <v>418</v>
      </c>
      <c r="Q48" s="21"/>
      <c r="R48" s="2"/>
      <c r="S48" s="20"/>
      <c r="T48" s="20"/>
      <c r="U48" s="20"/>
      <c r="V48"/>
      <c r="W48"/>
      <c r="Y48" s="1"/>
      <c r="Z48" s="1"/>
      <c r="AA48" s="1"/>
      <c r="AB48" s="1"/>
    </row>
    <row r="49" spans="1:28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M49" s="19"/>
      <c r="N49" s="97" t="s">
        <v>603</v>
      </c>
      <c r="O49" s="109" t="s">
        <v>602</v>
      </c>
      <c r="P49" s="96" t="s">
        <v>415</v>
      </c>
      <c r="R49" s="20"/>
      <c r="S49" s="2"/>
      <c r="T49" s="2"/>
      <c r="U49" s="2"/>
      <c r="V49" s="21"/>
      <c r="W49" s="21"/>
      <c r="Y49" s="19"/>
      <c r="Z49" s="19"/>
      <c r="AA49" s="19"/>
      <c r="AB49" s="19"/>
    </row>
    <row r="50" spans="1:28" s="19" customFormat="1" x14ac:dyDescent="0.2">
      <c r="A50" s="199" t="s">
        <v>623</v>
      </c>
      <c r="B50" s="200"/>
      <c r="C50" s="200"/>
      <c r="D50" s="200"/>
      <c r="E50" s="9"/>
      <c r="F50" s="9"/>
      <c r="G50" s="9"/>
      <c r="H50" s="9"/>
      <c r="I50" s="7"/>
      <c r="J50" s="7"/>
      <c r="M50" s="1"/>
      <c r="N50" s="97" t="s">
        <v>306</v>
      </c>
      <c r="O50" s="98" t="s">
        <v>47</v>
      </c>
      <c r="P50" s="96" t="s">
        <v>418</v>
      </c>
      <c r="Q50" s="21"/>
      <c r="R50" s="2"/>
      <c r="S50" s="20"/>
      <c r="T50" s="20"/>
      <c r="U50" s="20"/>
      <c r="V50"/>
      <c r="W50"/>
      <c r="Y50" s="1"/>
      <c r="Z50" s="1"/>
      <c r="AA50" s="1"/>
      <c r="AB50" s="1"/>
    </row>
    <row r="51" spans="1:28" x14ac:dyDescent="0.2">
      <c r="A51" s="201" t="s">
        <v>504</v>
      </c>
      <c r="B51" s="201"/>
      <c r="C51" s="201"/>
      <c r="D51" s="202"/>
      <c r="E51" s="7"/>
      <c r="F51" s="7"/>
      <c r="G51" s="7"/>
      <c r="H51" s="7"/>
      <c r="I51" s="7"/>
      <c r="J51" s="7"/>
      <c r="M51" s="19"/>
      <c r="N51" s="97" t="s">
        <v>48</v>
      </c>
      <c r="O51" s="98" t="s">
        <v>49</v>
      </c>
      <c r="P51" s="96" t="s">
        <v>415</v>
      </c>
      <c r="R51" s="20"/>
      <c r="S51" s="2"/>
      <c r="T51" s="2"/>
      <c r="U51" s="2"/>
      <c r="V51" s="20"/>
      <c r="W51" s="21"/>
      <c r="Y51" s="19"/>
      <c r="Z51" s="19"/>
      <c r="AA51" s="19"/>
      <c r="AB51" s="19"/>
    </row>
    <row r="52" spans="1:28" s="19" customFormat="1" x14ac:dyDescent="0.2">
      <c r="A52" s="57" t="s">
        <v>503</v>
      </c>
      <c r="B52" s="57" t="s">
        <v>516</v>
      </c>
      <c r="C52" s="57" t="s">
        <v>493</v>
      </c>
      <c r="D52" s="57" t="s">
        <v>505</v>
      </c>
      <c r="E52" s="7"/>
      <c r="F52" s="7"/>
      <c r="G52" s="7"/>
      <c r="H52" s="7"/>
      <c r="I52" s="7"/>
      <c r="J52" s="7"/>
      <c r="K52" s="7"/>
      <c r="M52" s="1"/>
      <c r="N52" s="97" t="s">
        <v>307</v>
      </c>
      <c r="O52" s="98" t="s">
        <v>50</v>
      </c>
      <c r="P52" s="96" t="s">
        <v>415</v>
      </c>
      <c r="Q52" s="21"/>
      <c r="R52" s="2"/>
      <c r="S52" s="20"/>
      <c r="T52" s="20"/>
      <c r="U52" s="20"/>
      <c r="V52" s="2"/>
      <c r="W52"/>
      <c r="X52" s="1"/>
      <c r="Y52" s="1"/>
      <c r="Z52" s="1"/>
      <c r="AA52" s="1"/>
    </row>
    <row r="53" spans="1:28" x14ac:dyDescent="0.2">
      <c r="A53" s="58" t="s">
        <v>580</v>
      </c>
      <c r="B53" s="58"/>
      <c r="C53" s="59">
        <f ca="1">SUMIF($F$7:$H$41,A53,$H$7:$H$41)</f>
        <v>0</v>
      </c>
      <c r="D53" s="60" t="s">
        <v>582</v>
      </c>
      <c r="H53" s="23"/>
      <c r="M53" s="19"/>
      <c r="N53" s="97" t="s">
        <v>51</v>
      </c>
      <c r="O53" s="98" t="s">
        <v>52</v>
      </c>
      <c r="P53" s="96" t="s">
        <v>415</v>
      </c>
      <c r="R53" s="20"/>
      <c r="S53" s="2"/>
      <c r="T53" s="2"/>
      <c r="U53" s="2"/>
      <c r="V53" s="20"/>
      <c r="W53" s="21"/>
      <c r="X53" s="19"/>
      <c r="Y53" s="19"/>
      <c r="Z53" s="19"/>
      <c r="AA53" s="19"/>
    </row>
    <row r="54" spans="1:28" x14ac:dyDescent="0.2">
      <c r="A54" s="58" t="s">
        <v>579</v>
      </c>
      <c r="B54" s="58"/>
      <c r="C54" s="59">
        <f ca="1">SUMIF($F$7:$H$41,A54,$H$7:$H$41)</f>
        <v>0</v>
      </c>
      <c r="D54" s="60" t="s">
        <v>581</v>
      </c>
      <c r="H54" s="23"/>
      <c r="M54" s="19"/>
      <c r="N54" s="97" t="s">
        <v>308</v>
      </c>
      <c r="O54" s="98" t="s">
        <v>53</v>
      </c>
      <c r="P54" s="96" t="s">
        <v>415</v>
      </c>
      <c r="R54" s="20"/>
      <c r="S54" s="2"/>
      <c r="T54" s="2"/>
      <c r="U54" s="2"/>
      <c r="V54" s="20"/>
      <c r="W54" s="21"/>
      <c r="X54" s="19"/>
      <c r="Y54" s="19"/>
      <c r="Z54" s="19"/>
      <c r="AA54" s="19"/>
    </row>
    <row r="55" spans="1:28" s="19" customFormat="1" ht="15.75" customHeight="1" x14ac:dyDescent="0.2">
      <c r="A55" s="60" t="s">
        <v>13</v>
      </c>
      <c r="B55" s="58" t="str">
        <f t="shared" ref="B55:B66" si="12">IF(ISERROR(VLOOKUP($B$5,subacct,2,0)),"",VLOOKUP($B$5,subacct,2,0))</f>
        <v>0002</v>
      </c>
      <c r="C55" s="59">
        <f t="shared" ref="C55:C66" ca="1" si="13">SUMIF($F$7:$H$41,A55,$H$7:$H$41)</f>
        <v>0</v>
      </c>
      <c r="D55" s="60" t="s">
        <v>508</v>
      </c>
      <c r="E55" s="1"/>
      <c r="F55" s="1"/>
      <c r="G55" s="1"/>
      <c r="H55" s="1"/>
      <c r="I55" s="1"/>
      <c r="J55" s="1"/>
      <c r="K55" s="1"/>
      <c r="M55" s="1"/>
      <c r="N55" s="97" t="s">
        <v>309</v>
      </c>
      <c r="O55" s="98" t="s">
        <v>54</v>
      </c>
      <c r="P55" s="96" t="s">
        <v>415</v>
      </c>
      <c r="Q55" s="21"/>
      <c r="R55" s="2"/>
      <c r="S55" s="20"/>
      <c r="T55" s="20"/>
      <c r="U55" s="20"/>
      <c r="V55" s="2"/>
      <c r="W55"/>
      <c r="X55" s="1"/>
      <c r="Y55" s="1"/>
      <c r="Z55" s="1"/>
      <c r="AA55" s="1"/>
    </row>
    <row r="56" spans="1:28" x14ac:dyDescent="0.2">
      <c r="A56" s="60" t="s">
        <v>14</v>
      </c>
      <c r="B56" s="58" t="str">
        <f t="shared" si="12"/>
        <v>0002</v>
      </c>
      <c r="C56" s="59">
        <f t="shared" ca="1" si="13"/>
        <v>0</v>
      </c>
      <c r="D56" s="60" t="s">
        <v>509</v>
      </c>
      <c r="M56" s="19"/>
      <c r="N56" s="97" t="s">
        <v>310</v>
      </c>
      <c r="O56" s="98" t="s">
        <v>55</v>
      </c>
      <c r="P56" s="96" t="s">
        <v>418</v>
      </c>
      <c r="R56" s="20"/>
      <c r="S56" s="2"/>
      <c r="T56" s="2"/>
      <c r="U56" s="2"/>
      <c r="V56" s="20"/>
      <c r="W56" s="21"/>
      <c r="X56" s="19"/>
      <c r="Y56" s="19"/>
      <c r="Z56" s="19"/>
      <c r="AA56" s="19"/>
    </row>
    <row r="57" spans="1:28" s="19" customFormat="1" x14ac:dyDescent="0.2">
      <c r="A57" s="60" t="s">
        <v>592</v>
      </c>
      <c r="B57" s="58" t="s">
        <v>545</v>
      </c>
      <c r="C57" s="59">
        <f t="shared" ca="1" si="13"/>
        <v>0</v>
      </c>
      <c r="D57" s="60" t="s">
        <v>583</v>
      </c>
      <c r="E57" s="1"/>
      <c r="F57" s="1"/>
      <c r="G57" s="1"/>
      <c r="H57" s="1"/>
      <c r="I57" s="1"/>
      <c r="J57" s="1"/>
      <c r="K57" s="1"/>
      <c r="M57" s="1"/>
      <c r="N57" s="97" t="s">
        <v>311</v>
      </c>
      <c r="O57" s="98" t="s">
        <v>56</v>
      </c>
      <c r="P57" s="96" t="s">
        <v>415</v>
      </c>
      <c r="Q57" s="21"/>
      <c r="R57" s="2"/>
      <c r="S57" s="20"/>
      <c r="T57" s="20"/>
      <c r="U57" s="20"/>
      <c r="V57" s="2"/>
      <c r="W57"/>
      <c r="X57" s="1"/>
      <c r="Y57" s="1"/>
      <c r="Z57" s="1"/>
      <c r="AA57" s="1"/>
    </row>
    <row r="58" spans="1:28" s="19" customFormat="1" x14ac:dyDescent="0.2">
      <c r="A58" s="60" t="s">
        <v>591</v>
      </c>
      <c r="B58" s="58"/>
      <c r="C58" s="59">
        <f t="shared" ca="1" si="13"/>
        <v>0</v>
      </c>
      <c r="D58" s="60" t="s">
        <v>584</v>
      </c>
      <c r="E58" s="1"/>
      <c r="F58" s="1"/>
      <c r="G58" s="1"/>
      <c r="H58" s="1"/>
      <c r="I58" s="1"/>
      <c r="J58" s="1"/>
      <c r="K58" s="1"/>
      <c r="M58" s="1"/>
      <c r="N58" s="97" t="s">
        <v>57</v>
      </c>
      <c r="O58" s="98" t="s">
        <v>58</v>
      </c>
      <c r="P58" s="96" t="s">
        <v>415</v>
      </c>
      <c r="Q58" s="21"/>
      <c r="R58" s="2"/>
      <c r="S58" s="20"/>
      <c r="T58" s="20"/>
      <c r="U58" s="20"/>
      <c r="V58" s="2"/>
      <c r="W58"/>
      <c r="X58" s="1"/>
      <c r="Y58" s="1"/>
      <c r="Z58" s="1"/>
      <c r="AA58" s="1"/>
    </row>
    <row r="59" spans="1:28" x14ac:dyDescent="0.2">
      <c r="A59" s="58" t="s">
        <v>459</v>
      </c>
      <c r="B59" s="58" t="str">
        <f t="shared" si="12"/>
        <v>0002</v>
      </c>
      <c r="C59" s="59">
        <f t="shared" ca="1" si="13"/>
        <v>0</v>
      </c>
      <c r="D59" s="61" t="s">
        <v>510</v>
      </c>
      <c r="M59" s="19"/>
      <c r="N59" s="105" t="s">
        <v>543</v>
      </c>
      <c r="O59" s="106" t="s">
        <v>544</v>
      </c>
      <c r="P59" s="104" t="s">
        <v>415</v>
      </c>
      <c r="R59" s="20"/>
      <c r="S59" s="2"/>
      <c r="T59" s="2"/>
      <c r="U59" s="2"/>
      <c r="V59" s="20"/>
      <c r="W59" s="21"/>
      <c r="X59" s="19"/>
      <c r="Y59" s="19"/>
      <c r="Z59" s="19"/>
      <c r="AA59" s="19"/>
    </row>
    <row r="60" spans="1:28" s="19" customFormat="1" x14ac:dyDescent="0.2">
      <c r="A60" s="60" t="s">
        <v>460</v>
      </c>
      <c r="B60" s="58" t="str">
        <f t="shared" si="12"/>
        <v>0002</v>
      </c>
      <c r="C60" s="59">
        <f t="shared" ca="1" si="13"/>
        <v>0</v>
      </c>
      <c r="D60" s="60" t="s">
        <v>511</v>
      </c>
      <c r="E60" s="1"/>
      <c r="F60" s="1"/>
      <c r="G60" s="1"/>
      <c r="H60" s="1"/>
      <c r="I60" s="1"/>
      <c r="J60" s="1"/>
      <c r="K60" s="1"/>
      <c r="M60" s="1"/>
      <c r="N60" s="99" t="s">
        <v>479</v>
      </c>
      <c r="O60" s="100" t="s">
        <v>472</v>
      </c>
      <c r="P60" s="101" t="s">
        <v>415</v>
      </c>
      <c r="Q60" s="21"/>
      <c r="R60" s="2"/>
      <c r="S60" s="20"/>
      <c r="T60" s="20"/>
      <c r="U60" s="20"/>
      <c r="V60" s="2"/>
      <c r="W60"/>
      <c r="X60" s="1"/>
      <c r="Y60" s="1"/>
      <c r="Z60" s="1"/>
      <c r="AA60" s="1"/>
    </row>
    <row r="61" spans="1:28" x14ac:dyDescent="0.2">
      <c r="A61" s="60" t="s">
        <v>463</v>
      </c>
      <c r="B61" s="58" t="str">
        <f t="shared" si="12"/>
        <v>0002</v>
      </c>
      <c r="C61" s="59">
        <f t="shared" ca="1" si="13"/>
        <v>0</v>
      </c>
      <c r="D61" s="60" t="s">
        <v>454</v>
      </c>
      <c r="M61" s="19"/>
      <c r="N61" s="97" t="s">
        <v>60</v>
      </c>
      <c r="O61" s="98" t="s">
        <v>61</v>
      </c>
      <c r="P61" s="96" t="s">
        <v>415</v>
      </c>
      <c r="R61" s="2"/>
      <c r="S61" s="2"/>
      <c r="T61" s="2"/>
      <c r="U61" s="2"/>
      <c r="V61" s="2"/>
      <c r="X61" s="19"/>
      <c r="Y61" s="19"/>
      <c r="Z61" s="19"/>
      <c r="AA61" s="19"/>
    </row>
    <row r="62" spans="1:28" x14ac:dyDescent="0.2">
      <c r="A62" s="60" t="s">
        <v>462</v>
      </c>
      <c r="B62" s="58" t="str">
        <f t="shared" si="12"/>
        <v>0002</v>
      </c>
      <c r="C62" s="59">
        <f t="shared" ca="1" si="13"/>
        <v>0</v>
      </c>
      <c r="D62" s="60" t="s">
        <v>512</v>
      </c>
      <c r="N62" s="97" t="s">
        <v>312</v>
      </c>
      <c r="O62" s="98" t="s">
        <v>62</v>
      </c>
      <c r="P62" s="96" t="s">
        <v>415</v>
      </c>
      <c r="R62" s="2"/>
      <c r="S62" s="2"/>
      <c r="T62" s="2"/>
      <c r="U62" s="2"/>
      <c r="V62" s="2"/>
    </row>
    <row r="63" spans="1:28" x14ac:dyDescent="0.2">
      <c r="A63" s="60" t="s">
        <v>461</v>
      </c>
      <c r="B63" s="58" t="str">
        <f t="shared" si="12"/>
        <v>0002</v>
      </c>
      <c r="C63" s="59">
        <f t="shared" ca="1" si="13"/>
        <v>0</v>
      </c>
      <c r="D63" s="60" t="s">
        <v>456</v>
      </c>
      <c r="L63" s="7"/>
      <c r="N63" s="97" t="s">
        <v>313</v>
      </c>
      <c r="O63" s="98" t="s">
        <v>63</v>
      </c>
      <c r="P63" s="96" t="s">
        <v>415</v>
      </c>
      <c r="R63" s="2"/>
      <c r="S63" s="2"/>
      <c r="T63" s="2"/>
      <c r="U63" s="2"/>
      <c r="V63" s="2"/>
    </row>
    <row r="64" spans="1:28" x14ac:dyDescent="0.2">
      <c r="A64" s="60" t="s">
        <v>15</v>
      </c>
      <c r="B64" s="58" t="str">
        <f t="shared" si="12"/>
        <v>0002</v>
      </c>
      <c r="C64" s="59">
        <f t="shared" ca="1" si="13"/>
        <v>0</v>
      </c>
      <c r="D64" s="60" t="s">
        <v>514</v>
      </c>
      <c r="L64" s="7"/>
      <c r="M64" s="7"/>
      <c r="N64" s="99" t="s">
        <v>473</v>
      </c>
      <c r="O64" s="110" t="s">
        <v>314</v>
      </c>
      <c r="P64" s="96" t="s">
        <v>415</v>
      </c>
      <c r="R64" s="2"/>
      <c r="S64" s="2"/>
      <c r="T64" s="2"/>
      <c r="U64" s="2"/>
      <c r="V64" s="2"/>
    </row>
    <row r="65" spans="1:22" x14ac:dyDescent="0.2">
      <c r="A65" s="58" t="s">
        <v>16</v>
      </c>
      <c r="B65" s="58" t="str">
        <f t="shared" si="12"/>
        <v>0002</v>
      </c>
      <c r="C65" s="59">
        <f t="shared" ca="1" si="13"/>
        <v>0</v>
      </c>
      <c r="D65" s="60" t="s">
        <v>513</v>
      </c>
      <c r="L65" s="7"/>
      <c r="M65" s="7"/>
      <c r="N65" s="97" t="s">
        <v>315</v>
      </c>
      <c r="O65" s="98" t="s">
        <v>64</v>
      </c>
      <c r="P65" s="96" t="s">
        <v>415</v>
      </c>
      <c r="R65" s="2"/>
      <c r="S65" s="2"/>
      <c r="T65" s="2"/>
      <c r="U65" s="2"/>
      <c r="V65" s="2"/>
    </row>
    <row r="66" spans="1:22" x14ac:dyDescent="0.2">
      <c r="A66" s="60" t="s">
        <v>506</v>
      </c>
      <c r="B66" s="58" t="str">
        <f t="shared" si="12"/>
        <v>0002</v>
      </c>
      <c r="C66" s="59">
        <f t="shared" ca="1" si="13"/>
        <v>50</v>
      </c>
      <c r="D66" s="60" t="s">
        <v>515</v>
      </c>
      <c r="L66" s="7"/>
      <c r="M66" s="7"/>
      <c r="N66" s="97" t="s">
        <v>65</v>
      </c>
      <c r="O66" s="98" t="s">
        <v>66</v>
      </c>
      <c r="P66" s="96" t="s">
        <v>415</v>
      </c>
      <c r="R66" s="2"/>
      <c r="S66" s="2"/>
      <c r="T66" s="2"/>
      <c r="U66" s="2"/>
      <c r="V66" s="2"/>
    </row>
    <row r="67" spans="1:22" x14ac:dyDescent="0.2">
      <c r="A67" s="64" t="s">
        <v>507</v>
      </c>
      <c r="B67" s="64"/>
      <c r="C67" s="65">
        <f ca="1">SUM(C53:C66)</f>
        <v>50</v>
      </c>
      <c r="D67" s="64" t="s">
        <v>507</v>
      </c>
      <c r="L67" s="7"/>
      <c r="M67" s="7"/>
      <c r="N67" s="105" t="s">
        <v>486</v>
      </c>
      <c r="O67" s="106" t="s">
        <v>485</v>
      </c>
      <c r="P67" s="104" t="s">
        <v>415</v>
      </c>
      <c r="R67" s="2"/>
      <c r="S67" s="2"/>
      <c r="T67" s="2"/>
      <c r="U67" s="2"/>
    </row>
    <row r="68" spans="1:22" x14ac:dyDescent="0.2">
      <c r="K68" s="7"/>
      <c r="L68" s="7"/>
      <c r="M68" s="7"/>
      <c r="N68" s="97" t="s">
        <v>316</v>
      </c>
      <c r="O68" s="98" t="s">
        <v>67</v>
      </c>
      <c r="P68" s="96" t="s">
        <v>415</v>
      </c>
      <c r="R68" s="2"/>
      <c r="S68" s="2"/>
      <c r="T68" s="2"/>
      <c r="U68" s="2"/>
    </row>
    <row r="69" spans="1:22" x14ac:dyDescent="0.2">
      <c r="K69" s="7"/>
      <c r="L69" s="7"/>
      <c r="N69" s="97" t="s">
        <v>317</v>
      </c>
      <c r="O69" s="98" t="s">
        <v>81</v>
      </c>
      <c r="P69" s="96" t="s">
        <v>415</v>
      </c>
      <c r="R69" s="2"/>
      <c r="S69" s="2"/>
      <c r="T69" s="2"/>
      <c r="U69" s="2"/>
    </row>
    <row r="70" spans="1:22" x14ac:dyDescent="0.2">
      <c r="K70" s="7"/>
      <c r="L70" s="7"/>
      <c r="N70" s="97" t="s">
        <v>70</v>
      </c>
      <c r="O70" s="98" t="s">
        <v>71</v>
      </c>
      <c r="P70" s="96" t="s">
        <v>415</v>
      </c>
      <c r="S70" s="2"/>
      <c r="T70" s="2"/>
      <c r="U70" s="2"/>
    </row>
    <row r="71" spans="1:22" x14ac:dyDescent="0.2">
      <c r="K71" s="7"/>
      <c r="L71" s="7"/>
      <c r="N71" s="97" t="s">
        <v>72</v>
      </c>
      <c r="O71" s="98" t="s">
        <v>73</v>
      </c>
      <c r="P71" s="96" t="s">
        <v>415</v>
      </c>
    </row>
    <row r="72" spans="1:22" x14ac:dyDescent="0.2">
      <c r="N72" s="111" t="s">
        <v>640</v>
      </c>
      <c r="O72" s="112" t="s">
        <v>637</v>
      </c>
      <c r="P72" s="169" t="s">
        <v>415</v>
      </c>
    </row>
    <row r="73" spans="1:22" x14ac:dyDescent="0.2">
      <c r="N73" s="97" t="s">
        <v>318</v>
      </c>
      <c r="O73" s="98" t="s">
        <v>74</v>
      </c>
      <c r="P73" s="96" t="s">
        <v>415</v>
      </c>
    </row>
    <row r="74" spans="1:22" x14ac:dyDescent="0.2">
      <c r="N74" s="97" t="s">
        <v>75</v>
      </c>
      <c r="O74" s="98" t="s">
        <v>76</v>
      </c>
      <c r="P74" s="96" t="s">
        <v>415</v>
      </c>
    </row>
    <row r="75" spans="1:22" x14ac:dyDescent="0.2">
      <c r="N75" s="97" t="s">
        <v>319</v>
      </c>
      <c r="O75" s="98" t="s">
        <v>79</v>
      </c>
      <c r="P75" s="96" t="s">
        <v>415</v>
      </c>
    </row>
    <row r="76" spans="1:22" x14ac:dyDescent="0.2">
      <c r="N76" s="97" t="s">
        <v>320</v>
      </c>
      <c r="O76" s="98" t="s">
        <v>80</v>
      </c>
      <c r="P76" s="96" t="s">
        <v>415</v>
      </c>
    </row>
    <row r="77" spans="1:22" x14ac:dyDescent="0.2">
      <c r="N77" s="97" t="s">
        <v>321</v>
      </c>
      <c r="O77" s="98" t="s">
        <v>69</v>
      </c>
      <c r="P77" s="96" t="s">
        <v>415</v>
      </c>
    </row>
    <row r="78" spans="1:22" x14ac:dyDescent="0.2">
      <c r="N78" s="97" t="s">
        <v>82</v>
      </c>
      <c r="O78" s="98" t="s">
        <v>83</v>
      </c>
      <c r="P78" s="96" t="s">
        <v>415</v>
      </c>
    </row>
    <row r="79" spans="1:22" x14ac:dyDescent="0.2">
      <c r="N79" s="97" t="s">
        <v>84</v>
      </c>
      <c r="O79" s="98" t="s">
        <v>85</v>
      </c>
      <c r="P79" s="96" t="s">
        <v>415</v>
      </c>
    </row>
    <row r="80" spans="1:22" x14ac:dyDescent="0.2">
      <c r="N80" s="97" t="s">
        <v>86</v>
      </c>
      <c r="O80" s="98" t="s">
        <v>87</v>
      </c>
      <c r="P80" s="96" t="s">
        <v>415</v>
      </c>
    </row>
    <row r="81" spans="14:16" x14ac:dyDescent="0.2">
      <c r="N81" s="97" t="s">
        <v>88</v>
      </c>
      <c r="O81" s="98" t="s">
        <v>89</v>
      </c>
      <c r="P81" s="96" t="s">
        <v>415</v>
      </c>
    </row>
    <row r="82" spans="14:16" x14ac:dyDescent="0.2">
      <c r="N82" s="97" t="s">
        <v>604</v>
      </c>
      <c r="O82" s="109" t="s">
        <v>91</v>
      </c>
      <c r="P82" s="96" t="s">
        <v>415</v>
      </c>
    </row>
    <row r="83" spans="14:16" x14ac:dyDescent="0.2">
      <c r="N83" s="97" t="s">
        <v>612</v>
      </c>
      <c r="O83" s="109" t="s">
        <v>610</v>
      </c>
      <c r="P83" s="96" t="s">
        <v>415</v>
      </c>
    </row>
    <row r="84" spans="14:16" x14ac:dyDescent="0.2">
      <c r="N84" s="97" t="s">
        <v>594</v>
      </c>
      <c r="O84" s="109" t="s">
        <v>595</v>
      </c>
      <c r="P84" s="96" t="s">
        <v>415</v>
      </c>
    </row>
    <row r="85" spans="14:16" x14ac:dyDescent="0.2">
      <c r="N85" s="102" t="s">
        <v>97</v>
      </c>
      <c r="O85" s="103" t="s">
        <v>98</v>
      </c>
      <c r="P85" s="104" t="s">
        <v>415</v>
      </c>
    </row>
    <row r="86" spans="14:16" x14ac:dyDescent="0.2">
      <c r="N86" s="97" t="s">
        <v>322</v>
      </c>
      <c r="O86" s="98" t="s">
        <v>100</v>
      </c>
      <c r="P86" s="96" t="s">
        <v>415</v>
      </c>
    </row>
    <row r="87" spans="14:16" x14ac:dyDescent="0.2">
      <c r="N87" s="166" t="s">
        <v>546</v>
      </c>
      <c r="O87" s="167" t="s">
        <v>101</v>
      </c>
      <c r="P87" s="168" t="s">
        <v>415</v>
      </c>
    </row>
    <row r="88" spans="14:16" x14ac:dyDescent="0.2">
      <c r="N88" s="102" t="s">
        <v>563</v>
      </c>
      <c r="O88" s="103" t="s">
        <v>102</v>
      </c>
      <c r="P88" s="104" t="s">
        <v>415</v>
      </c>
    </row>
    <row r="89" spans="14:16" x14ac:dyDescent="0.2">
      <c r="N89" s="102" t="s">
        <v>593</v>
      </c>
      <c r="O89" s="103" t="s">
        <v>103</v>
      </c>
      <c r="P89" s="104" t="s">
        <v>415</v>
      </c>
    </row>
    <row r="90" spans="14:16" x14ac:dyDescent="0.2">
      <c r="N90" s="97" t="s">
        <v>326</v>
      </c>
      <c r="O90" s="98" t="s">
        <v>99</v>
      </c>
      <c r="P90" s="96" t="s">
        <v>415</v>
      </c>
    </row>
    <row r="91" spans="14:16" x14ac:dyDescent="0.2">
      <c r="N91" s="102" t="s">
        <v>547</v>
      </c>
      <c r="O91" s="103" t="s">
        <v>104</v>
      </c>
      <c r="P91" s="104" t="s">
        <v>415</v>
      </c>
    </row>
    <row r="92" spans="14:16" x14ac:dyDescent="0.2">
      <c r="N92" s="97" t="s">
        <v>328</v>
      </c>
      <c r="O92" s="98" t="s">
        <v>105</v>
      </c>
      <c r="P92" s="96" t="s">
        <v>415</v>
      </c>
    </row>
    <row r="93" spans="14:16" x14ac:dyDescent="0.2">
      <c r="N93" s="97" t="s">
        <v>108</v>
      </c>
      <c r="O93" s="98" t="s">
        <v>109</v>
      </c>
      <c r="P93" s="96" t="s">
        <v>415</v>
      </c>
    </row>
    <row r="94" spans="14:16" x14ac:dyDescent="0.2">
      <c r="N94" s="102" t="s">
        <v>562</v>
      </c>
      <c r="O94" s="103" t="s">
        <v>106</v>
      </c>
      <c r="P94" s="96" t="s">
        <v>415</v>
      </c>
    </row>
    <row r="95" spans="14:16" x14ac:dyDescent="0.2">
      <c r="N95" s="102" t="s">
        <v>561</v>
      </c>
      <c r="O95" s="103" t="s">
        <v>107</v>
      </c>
      <c r="P95" s="96" t="s">
        <v>415</v>
      </c>
    </row>
    <row r="96" spans="14:16" x14ac:dyDescent="0.2">
      <c r="N96" s="97" t="s">
        <v>331</v>
      </c>
      <c r="O96" s="98" t="s">
        <v>110</v>
      </c>
      <c r="P96" s="96" t="s">
        <v>415</v>
      </c>
    </row>
    <row r="97" spans="14:16" x14ac:dyDescent="0.2">
      <c r="N97" s="97" t="s">
        <v>332</v>
      </c>
      <c r="O97" s="98" t="s">
        <v>111</v>
      </c>
      <c r="P97" s="96" t="s">
        <v>415</v>
      </c>
    </row>
    <row r="98" spans="14:16" x14ac:dyDescent="0.2">
      <c r="N98" s="97" t="s">
        <v>112</v>
      </c>
      <c r="O98" s="98" t="s">
        <v>113</v>
      </c>
      <c r="P98" s="96" t="s">
        <v>415</v>
      </c>
    </row>
    <row r="99" spans="14:16" x14ac:dyDescent="0.2">
      <c r="N99" s="97" t="s">
        <v>114</v>
      </c>
      <c r="O99" s="98" t="s">
        <v>115</v>
      </c>
      <c r="P99" s="96" t="s">
        <v>415</v>
      </c>
    </row>
    <row r="100" spans="14:16" x14ac:dyDescent="0.2">
      <c r="N100" s="97" t="s">
        <v>333</v>
      </c>
      <c r="O100" s="98" t="s">
        <v>116</v>
      </c>
      <c r="P100" s="96" t="s">
        <v>415</v>
      </c>
    </row>
    <row r="101" spans="14:16" x14ac:dyDescent="0.2">
      <c r="N101" s="97" t="s">
        <v>117</v>
      </c>
      <c r="O101" s="98" t="s">
        <v>118</v>
      </c>
      <c r="P101" s="96" t="s">
        <v>415</v>
      </c>
    </row>
    <row r="102" spans="14:16" x14ac:dyDescent="0.2">
      <c r="N102" s="97" t="s">
        <v>334</v>
      </c>
      <c r="O102" s="98" t="s">
        <v>119</v>
      </c>
      <c r="P102" s="96" t="s">
        <v>415</v>
      </c>
    </row>
    <row r="103" spans="14:16" x14ac:dyDescent="0.2">
      <c r="N103" s="97" t="s">
        <v>120</v>
      </c>
      <c r="O103" s="98" t="s">
        <v>121</v>
      </c>
      <c r="P103" s="96" t="s">
        <v>415</v>
      </c>
    </row>
    <row r="104" spans="14:16" x14ac:dyDescent="0.2">
      <c r="N104" s="97" t="s">
        <v>335</v>
      </c>
      <c r="O104" s="98" t="s">
        <v>122</v>
      </c>
      <c r="P104" s="96" t="s">
        <v>415</v>
      </c>
    </row>
    <row r="105" spans="14:16" x14ac:dyDescent="0.2">
      <c r="N105" s="97" t="s">
        <v>336</v>
      </c>
      <c r="O105" s="98" t="s">
        <v>123</v>
      </c>
      <c r="P105" s="96" t="s">
        <v>415</v>
      </c>
    </row>
    <row r="106" spans="14:16" x14ac:dyDescent="0.2">
      <c r="N106" s="97" t="s">
        <v>337</v>
      </c>
      <c r="O106" s="98" t="s">
        <v>124</v>
      </c>
      <c r="P106" s="96" t="s">
        <v>415</v>
      </c>
    </row>
    <row r="107" spans="14:16" x14ac:dyDescent="0.2">
      <c r="N107" s="97" t="s">
        <v>338</v>
      </c>
      <c r="O107" s="98" t="s">
        <v>125</v>
      </c>
      <c r="P107" s="96" t="s">
        <v>415</v>
      </c>
    </row>
    <row r="108" spans="14:16" x14ac:dyDescent="0.2">
      <c r="N108" s="97" t="s">
        <v>339</v>
      </c>
      <c r="O108" s="98" t="s">
        <v>126</v>
      </c>
      <c r="P108" s="96" t="s">
        <v>415</v>
      </c>
    </row>
    <row r="109" spans="14:16" x14ac:dyDescent="0.2">
      <c r="N109" s="97" t="s">
        <v>422</v>
      </c>
      <c r="O109" s="98" t="s">
        <v>127</v>
      </c>
      <c r="P109" s="96" t="s">
        <v>415</v>
      </c>
    </row>
    <row r="110" spans="14:16" x14ac:dyDescent="0.2">
      <c r="N110" s="97" t="s">
        <v>340</v>
      </c>
      <c r="O110" s="98" t="s">
        <v>128</v>
      </c>
      <c r="P110" s="96" t="s">
        <v>415</v>
      </c>
    </row>
    <row r="111" spans="14:16" x14ac:dyDescent="0.2">
      <c r="N111" s="97" t="s">
        <v>341</v>
      </c>
      <c r="O111" s="98" t="s">
        <v>129</v>
      </c>
      <c r="P111" s="96" t="s">
        <v>415</v>
      </c>
    </row>
    <row r="112" spans="14:16" x14ac:dyDescent="0.2">
      <c r="N112" s="97" t="s">
        <v>342</v>
      </c>
      <c r="O112" s="98" t="s">
        <v>136</v>
      </c>
      <c r="P112" s="96" t="s">
        <v>415</v>
      </c>
    </row>
    <row r="113" spans="14:16" x14ac:dyDescent="0.2">
      <c r="N113" s="97" t="s">
        <v>343</v>
      </c>
      <c r="O113" s="98" t="s">
        <v>137</v>
      </c>
      <c r="P113" s="96" t="s">
        <v>415</v>
      </c>
    </row>
    <row r="114" spans="14:16" x14ac:dyDescent="0.2">
      <c r="N114" s="97" t="s">
        <v>130</v>
      </c>
      <c r="O114" s="98" t="s">
        <v>131</v>
      </c>
      <c r="P114" s="96" t="s">
        <v>415</v>
      </c>
    </row>
    <row r="115" spans="14:16" x14ac:dyDescent="0.2">
      <c r="N115" s="107" t="s">
        <v>474</v>
      </c>
      <c r="O115" s="100" t="s">
        <v>440</v>
      </c>
      <c r="P115" s="101" t="s">
        <v>415</v>
      </c>
    </row>
    <row r="116" spans="14:16" x14ac:dyDescent="0.2">
      <c r="N116" s="97" t="s">
        <v>344</v>
      </c>
      <c r="O116" s="98" t="s">
        <v>345</v>
      </c>
      <c r="P116" s="96" t="s">
        <v>415</v>
      </c>
    </row>
    <row r="117" spans="14:16" x14ac:dyDescent="0.2">
      <c r="N117" s="97" t="s">
        <v>346</v>
      </c>
      <c r="O117" s="98" t="s">
        <v>132</v>
      </c>
      <c r="P117" s="96" t="s">
        <v>415</v>
      </c>
    </row>
    <row r="118" spans="14:16" x14ac:dyDescent="0.2">
      <c r="N118" s="97" t="s">
        <v>347</v>
      </c>
      <c r="O118" s="98" t="s">
        <v>133</v>
      </c>
      <c r="P118" s="96" t="s">
        <v>415</v>
      </c>
    </row>
    <row r="119" spans="14:16" x14ac:dyDescent="0.2">
      <c r="N119" s="97" t="s">
        <v>348</v>
      </c>
      <c r="O119" s="98" t="s">
        <v>134</v>
      </c>
      <c r="P119" s="96" t="s">
        <v>415</v>
      </c>
    </row>
    <row r="120" spans="14:16" x14ac:dyDescent="0.2">
      <c r="N120" s="97" t="s">
        <v>349</v>
      </c>
      <c r="O120" s="98" t="s">
        <v>135</v>
      </c>
      <c r="P120" s="96" t="s">
        <v>415</v>
      </c>
    </row>
    <row r="121" spans="14:16" x14ac:dyDescent="0.2">
      <c r="N121" s="97" t="s">
        <v>350</v>
      </c>
      <c r="O121" s="98" t="s">
        <v>138</v>
      </c>
      <c r="P121" s="96" t="s">
        <v>415</v>
      </c>
    </row>
    <row r="122" spans="14:16" x14ac:dyDescent="0.2">
      <c r="N122" s="97" t="s">
        <v>139</v>
      </c>
      <c r="O122" s="98" t="s">
        <v>140</v>
      </c>
      <c r="P122" s="96" t="s">
        <v>415</v>
      </c>
    </row>
    <row r="123" spans="14:16" x14ac:dyDescent="0.2">
      <c r="N123" s="97" t="s">
        <v>141</v>
      </c>
      <c r="O123" s="98" t="s">
        <v>142</v>
      </c>
      <c r="P123" s="96" t="s">
        <v>415</v>
      </c>
    </row>
    <row r="124" spans="14:16" x14ac:dyDescent="0.2">
      <c r="N124" s="97" t="s">
        <v>351</v>
      </c>
      <c r="O124" s="98" t="s">
        <v>143</v>
      </c>
      <c r="P124" s="96" t="s">
        <v>415</v>
      </c>
    </row>
    <row r="125" spans="14:16" x14ac:dyDescent="0.2">
      <c r="N125" s="99" t="s">
        <v>480</v>
      </c>
      <c r="O125" s="100" t="s">
        <v>439</v>
      </c>
      <c r="P125" s="101" t="s">
        <v>418</v>
      </c>
    </row>
    <row r="126" spans="14:16" x14ac:dyDescent="0.2">
      <c r="N126" s="111" t="s">
        <v>613</v>
      </c>
      <c r="O126" s="112" t="s">
        <v>614</v>
      </c>
      <c r="P126" s="96" t="s">
        <v>415</v>
      </c>
    </row>
    <row r="127" spans="14:16" x14ac:dyDescent="0.2">
      <c r="N127" s="97" t="s">
        <v>611</v>
      </c>
      <c r="O127" s="109" t="s">
        <v>609</v>
      </c>
      <c r="P127" s="96" t="s">
        <v>415</v>
      </c>
    </row>
    <row r="128" spans="14:16" x14ac:dyDescent="0.2">
      <c r="N128" s="97" t="s">
        <v>144</v>
      </c>
      <c r="O128" s="98" t="s">
        <v>145</v>
      </c>
      <c r="P128" s="96" t="s">
        <v>418</v>
      </c>
    </row>
    <row r="129" spans="14:16" x14ac:dyDescent="0.2">
      <c r="N129" s="97" t="s">
        <v>352</v>
      </c>
      <c r="O129" s="98" t="s">
        <v>146</v>
      </c>
      <c r="P129" s="96" t="s">
        <v>415</v>
      </c>
    </row>
    <row r="130" spans="14:16" x14ac:dyDescent="0.2">
      <c r="N130" s="97" t="s">
        <v>424</v>
      </c>
      <c r="O130" s="98" t="s">
        <v>147</v>
      </c>
      <c r="P130" s="96" t="s">
        <v>415</v>
      </c>
    </row>
    <row r="131" spans="14:16" x14ac:dyDescent="0.2">
      <c r="N131" s="97" t="s">
        <v>353</v>
      </c>
      <c r="O131" s="98" t="s">
        <v>148</v>
      </c>
      <c r="P131" s="96" t="s">
        <v>415</v>
      </c>
    </row>
    <row r="132" spans="14:16" x14ac:dyDescent="0.2">
      <c r="N132" s="97" t="s">
        <v>151</v>
      </c>
      <c r="O132" s="98" t="s">
        <v>152</v>
      </c>
      <c r="P132" s="96" t="s">
        <v>415</v>
      </c>
    </row>
    <row r="133" spans="14:16" x14ac:dyDescent="0.2">
      <c r="N133" s="111" t="s">
        <v>633</v>
      </c>
      <c r="O133" s="112" t="s">
        <v>153</v>
      </c>
      <c r="P133" s="96" t="s">
        <v>415</v>
      </c>
    </row>
    <row r="134" spans="14:16" x14ac:dyDescent="0.2">
      <c r="N134" s="97" t="s">
        <v>154</v>
      </c>
      <c r="O134" s="98" t="s">
        <v>155</v>
      </c>
      <c r="P134" s="96" t="s">
        <v>418</v>
      </c>
    </row>
    <row r="135" spans="14:16" x14ac:dyDescent="0.2">
      <c r="N135" s="97" t="s">
        <v>355</v>
      </c>
      <c r="O135" s="98" t="s">
        <v>156</v>
      </c>
      <c r="P135" s="96" t="s">
        <v>415</v>
      </c>
    </row>
    <row r="136" spans="14:16" x14ac:dyDescent="0.2">
      <c r="N136" s="97" t="s">
        <v>157</v>
      </c>
      <c r="O136" s="98" t="s">
        <v>158</v>
      </c>
      <c r="P136" s="96" t="s">
        <v>415</v>
      </c>
    </row>
    <row r="137" spans="14:16" x14ac:dyDescent="0.2">
      <c r="N137" s="97" t="s">
        <v>356</v>
      </c>
      <c r="O137" s="98" t="s">
        <v>159</v>
      </c>
      <c r="P137" s="96" t="s">
        <v>415</v>
      </c>
    </row>
    <row r="138" spans="14:16" x14ac:dyDescent="0.2">
      <c r="N138" s="97" t="s">
        <v>357</v>
      </c>
      <c r="O138" s="98" t="s">
        <v>160</v>
      </c>
      <c r="P138" s="96" t="s">
        <v>415</v>
      </c>
    </row>
    <row r="139" spans="14:16" x14ac:dyDescent="0.2">
      <c r="N139" s="97" t="s">
        <v>161</v>
      </c>
      <c r="O139" s="98" t="s">
        <v>162</v>
      </c>
      <c r="P139" s="96" t="s">
        <v>415</v>
      </c>
    </row>
    <row r="140" spans="14:16" x14ac:dyDescent="0.2">
      <c r="N140" s="111" t="s">
        <v>634</v>
      </c>
      <c r="O140" s="112" t="s">
        <v>164</v>
      </c>
      <c r="P140" s="96" t="s">
        <v>415</v>
      </c>
    </row>
    <row r="141" spans="14:16" x14ac:dyDescent="0.2">
      <c r="N141" s="111" t="s">
        <v>632</v>
      </c>
      <c r="O141" s="112" t="s">
        <v>359</v>
      </c>
      <c r="P141" s="96" t="s">
        <v>415</v>
      </c>
    </row>
    <row r="142" spans="14:16" x14ac:dyDescent="0.2">
      <c r="N142" s="97" t="s">
        <v>360</v>
      </c>
      <c r="O142" s="98" t="s">
        <v>167</v>
      </c>
      <c r="P142" s="96" t="s">
        <v>415</v>
      </c>
    </row>
    <row r="143" spans="14:16" x14ac:dyDescent="0.2">
      <c r="N143" s="97" t="s">
        <v>361</v>
      </c>
      <c r="O143" s="98" t="s">
        <v>168</v>
      </c>
      <c r="P143" s="96" t="s">
        <v>415</v>
      </c>
    </row>
    <row r="144" spans="14:16" x14ac:dyDescent="0.2">
      <c r="N144" s="97" t="s">
        <v>362</v>
      </c>
      <c r="O144" s="98" t="s">
        <v>169</v>
      </c>
      <c r="P144" s="96" t="s">
        <v>418</v>
      </c>
    </row>
    <row r="145" spans="14:16" x14ac:dyDescent="0.2">
      <c r="N145" s="97" t="s">
        <v>170</v>
      </c>
      <c r="O145" s="98" t="s">
        <v>171</v>
      </c>
      <c r="P145" s="96" t="s">
        <v>415</v>
      </c>
    </row>
    <row r="146" spans="14:16" x14ac:dyDescent="0.2">
      <c r="N146" s="97" t="s">
        <v>363</v>
      </c>
      <c r="O146" s="98" t="s">
        <v>172</v>
      </c>
      <c r="P146" s="96" t="s">
        <v>418</v>
      </c>
    </row>
    <row r="147" spans="14:16" x14ac:dyDescent="0.2">
      <c r="N147" s="97" t="s">
        <v>364</v>
      </c>
      <c r="O147" s="98" t="s">
        <v>173</v>
      </c>
      <c r="P147" s="96" t="s">
        <v>415</v>
      </c>
    </row>
    <row r="148" spans="14:16" x14ac:dyDescent="0.2">
      <c r="N148" s="97" t="s">
        <v>365</v>
      </c>
      <c r="O148" s="98" t="s">
        <v>174</v>
      </c>
      <c r="P148" s="96" t="s">
        <v>418</v>
      </c>
    </row>
    <row r="149" spans="14:16" x14ac:dyDescent="0.2">
      <c r="N149" s="102" t="s">
        <v>572</v>
      </c>
      <c r="O149" s="103" t="s">
        <v>573</v>
      </c>
      <c r="P149" s="104" t="s">
        <v>418</v>
      </c>
    </row>
    <row r="150" spans="14:16" x14ac:dyDescent="0.2">
      <c r="N150" s="97" t="s">
        <v>175</v>
      </c>
      <c r="O150" s="98" t="s">
        <v>176</v>
      </c>
      <c r="P150" s="96" t="s">
        <v>415</v>
      </c>
    </row>
    <row r="151" spans="14:16" x14ac:dyDescent="0.2">
      <c r="N151" s="97" t="s">
        <v>366</v>
      </c>
      <c r="O151" s="98" t="s">
        <v>177</v>
      </c>
      <c r="P151" s="96" t="s">
        <v>415</v>
      </c>
    </row>
    <row r="152" spans="14:16" x14ac:dyDescent="0.2">
      <c r="N152" s="94" t="s">
        <v>539</v>
      </c>
      <c r="O152" s="95" t="s">
        <v>540</v>
      </c>
      <c r="P152" s="96" t="s">
        <v>415</v>
      </c>
    </row>
    <row r="153" spans="14:16" x14ac:dyDescent="0.2">
      <c r="N153" s="97" t="s">
        <v>367</v>
      </c>
      <c r="O153" s="98" t="s">
        <v>178</v>
      </c>
      <c r="P153" s="96" t="s">
        <v>415</v>
      </c>
    </row>
    <row r="154" spans="14:16" x14ac:dyDescent="0.2">
      <c r="N154" s="97" t="s">
        <v>368</v>
      </c>
      <c r="O154" s="98" t="s">
        <v>181</v>
      </c>
      <c r="P154" s="96" t="s">
        <v>415</v>
      </c>
    </row>
    <row r="155" spans="14:16" x14ac:dyDescent="0.2">
      <c r="N155" s="97" t="s">
        <v>179</v>
      </c>
      <c r="O155" s="98" t="s">
        <v>180</v>
      </c>
      <c r="P155" s="96" t="s">
        <v>415</v>
      </c>
    </row>
    <row r="156" spans="14:16" x14ac:dyDescent="0.2">
      <c r="N156" s="97" t="s">
        <v>369</v>
      </c>
      <c r="O156" s="98" t="s">
        <v>182</v>
      </c>
      <c r="P156" s="96" t="s">
        <v>415</v>
      </c>
    </row>
    <row r="157" spans="14:16" x14ac:dyDescent="0.2">
      <c r="N157" s="97" t="s">
        <v>370</v>
      </c>
      <c r="O157" s="98" t="s">
        <v>184</v>
      </c>
      <c r="P157" s="96" t="s">
        <v>415</v>
      </c>
    </row>
    <row r="158" spans="14:16" x14ac:dyDescent="0.2">
      <c r="N158" s="102" t="s">
        <v>564</v>
      </c>
      <c r="O158" s="103" t="s">
        <v>558</v>
      </c>
      <c r="P158" s="104" t="s">
        <v>415</v>
      </c>
    </row>
    <row r="159" spans="14:16" x14ac:dyDescent="0.2">
      <c r="N159" s="97" t="s">
        <v>371</v>
      </c>
      <c r="O159" s="98" t="s">
        <v>183</v>
      </c>
      <c r="P159" s="96" t="s">
        <v>415</v>
      </c>
    </row>
    <row r="160" spans="14:16" x14ac:dyDescent="0.2">
      <c r="N160" s="102" t="s">
        <v>557</v>
      </c>
      <c r="O160" s="103" t="s">
        <v>558</v>
      </c>
      <c r="P160" s="104" t="s">
        <v>415</v>
      </c>
    </row>
    <row r="161" spans="14:16" x14ac:dyDescent="0.2">
      <c r="N161" s="111" t="s">
        <v>619</v>
      </c>
      <c r="O161" s="112" t="s">
        <v>616</v>
      </c>
      <c r="P161" s="96" t="s">
        <v>415</v>
      </c>
    </row>
    <row r="162" spans="14:16" x14ac:dyDescent="0.2">
      <c r="N162" s="97" t="s">
        <v>372</v>
      </c>
      <c r="O162" s="98" t="s">
        <v>185</v>
      </c>
      <c r="P162" s="96" t="s">
        <v>418</v>
      </c>
    </row>
    <row r="163" spans="14:16" x14ac:dyDescent="0.2">
      <c r="N163" s="97" t="s">
        <v>373</v>
      </c>
      <c r="O163" s="98" t="s">
        <v>186</v>
      </c>
      <c r="P163" s="96" t="s">
        <v>418</v>
      </c>
    </row>
    <row r="164" spans="14:16" x14ac:dyDescent="0.2">
      <c r="N164" s="111" t="s">
        <v>638</v>
      </c>
      <c r="O164" s="112" t="s">
        <v>635</v>
      </c>
      <c r="P164" s="169" t="s">
        <v>418</v>
      </c>
    </row>
    <row r="165" spans="14:16" x14ac:dyDescent="0.2">
      <c r="N165" s="97" t="s">
        <v>187</v>
      </c>
      <c r="O165" s="98" t="s">
        <v>188</v>
      </c>
      <c r="P165" s="96" t="s">
        <v>415</v>
      </c>
    </row>
    <row r="166" spans="14:16" x14ac:dyDescent="0.2">
      <c r="N166" s="94" t="s">
        <v>529</v>
      </c>
      <c r="O166" s="95" t="s">
        <v>530</v>
      </c>
      <c r="P166" s="96" t="s">
        <v>415</v>
      </c>
    </row>
    <row r="167" spans="14:16" x14ac:dyDescent="0.2">
      <c r="N167" s="114" t="s">
        <v>585</v>
      </c>
      <c r="O167" s="103" t="s">
        <v>586</v>
      </c>
      <c r="P167" s="104" t="s">
        <v>415</v>
      </c>
    </row>
    <row r="168" spans="14:16" x14ac:dyDescent="0.2">
      <c r="N168" s="94" t="s">
        <v>577</v>
      </c>
      <c r="O168" s="103" t="s">
        <v>578</v>
      </c>
      <c r="P168" s="104" t="s">
        <v>415</v>
      </c>
    </row>
    <row r="169" spans="14:16" x14ac:dyDescent="0.2">
      <c r="N169" s="97" t="s">
        <v>189</v>
      </c>
      <c r="O169" s="98" t="s">
        <v>190</v>
      </c>
      <c r="P169" s="96" t="s">
        <v>415</v>
      </c>
    </row>
    <row r="170" spans="14:16" x14ac:dyDescent="0.2">
      <c r="N170" s="94" t="s">
        <v>525</v>
      </c>
      <c r="O170" s="95" t="s">
        <v>526</v>
      </c>
      <c r="P170" s="113" t="s">
        <v>418</v>
      </c>
    </row>
    <row r="171" spans="14:16" x14ac:dyDescent="0.2">
      <c r="N171" s="94" t="s">
        <v>527</v>
      </c>
      <c r="O171" s="95" t="s">
        <v>528</v>
      </c>
      <c r="P171" s="113" t="s">
        <v>418</v>
      </c>
    </row>
    <row r="172" spans="14:16" x14ac:dyDescent="0.2">
      <c r="N172" s="114" t="s">
        <v>560</v>
      </c>
      <c r="O172" s="103" t="s">
        <v>559</v>
      </c>
      <c r="P172" s="113" t="s">
        <v>418</v>
      </c>
    </row>
    <row r="173" spans="14:16" x14ac:dyDescent="0.2">
      <c r="N173" s="97" t="s">
        <v>374</v>
      </c>
      <c r="O173" s="98" t="s">
        <v>193</v>
      </c>
      <c r="P173" s="96" t="s">
        <v>415</v>
      </c>
    </row>
    <row r="174" spans="14:16" x14ac:dyDescent="0.2">
      <c r="N174" s="97" t="s">
        <v>195</v>
      </c>
      <c r="O174" s="98" t="s">
        <v>196</v>
      </c>
      <c r="P174" s="96" t="s">
        <v>415</v>
      </c>
    </row>
    <row r="175" spans="14:16" x14ac:dyDescent="0.2">
      <c r="N175" s="97" t="s">
        <v>197</v>
      </c>
      <c r="O175" s="98" t="s">
        <v>198</v>
      </c>
      <c r="P175" s="96" t="s">
        <v>415</v>
      </c>
    </row>
    <row r="176" spans="14:16" x14ac:dyDescent="0.2">
      <c r="N176" s="97" t="s">
        <v>199</v>
      </c>
      <c r="O176" s="98" t="s">
        <v>200</v>
      </c>
      <c r="P176" s="96" t="s">
        <v>415</v>
      </c>
    </row>
    <row r="177" spans="14:16" x14ac:dyDescent="0.2">
      <c r="N177" s="97" t="s">
        <v>201</v>
      </c>
      <c r="O177" s="98" t="s">
        <v>202</v>
      </c>
      <c r="P177" s="96" t="s">
        <v>415</v>
      </c>
    </row>
    <row r="178" spans="14:16" x14ac:dyDescent="0.2">
      <c r="N178" s="97" t="s">
        <v>203</v>
      </c>
      <c r="O178" s="98" t="s">
        <v>204</v>
      </c>
      <c r="P178" s="96" t="s">
        <v>415</v>
      </c>
    </row>
    <row r="179" spans="14:16" x14ac:dyDescent="0.2">
      <c r="N179" s="97" t="s">
        <v>375</v>
      </c>
      <c r="O179" s="98" t="s">
        <v>376</v>
      </c>
      <c r="P179" s="96" t="s">
        <v>415</v>
      </c>
    </row>
    <row r="180" spans="14:16" x14ac:dyDescent="0.2">
      <c r="N180" s="97" t="s">
        <v>377</v>
      </c>
      <c r="O180" s="98" t="s">
        <v>205</v>
      </c>
      <c r="P180" s="96" t="s">
        <v>415</v>
      </c>
    </row>
    <row r="181" spans="14:16" x14ac:dyDescent="0.2">
      <c r="N181" s="97" t="s">
        <v>378</v>
      </c>
      <c r="O181" s="98" t="s">
        <v>206</v>
      </c>
      <c r="P181" s="96" t="s">
        <v>415</v>
      </c>
    </row>
    <row r="182" spans="14:16" x14ac:dyDescent="0.2">
      <c r="N182" s="97" t="s">
        <v>379</v>
      </c>
      <c r="O182" s="98" t="s">
        <v>207</v>
      </c>
      <c r="P182" s="96" t="s">
        <v>415</v>
      </c>
    </row>
    <row r="183" spans="14:16" x14ac:dyDescent="0.2">
      <c r="N183" s="97" t="s">
        <v>380</v>
      </c>
      <c r="O183" s="98" t="s">
        <v>208</v>
      </c>
      <c r="P183" s="96" t="s">
        <v>415</v>
      </c>
    </row>
    <row r="184" spans="14:16" x14ac:dyDescent="0.2">
      <c r="N184" s="97" t="s">
        <v>381</v>
      </c>
      <c r="O184" s="98" t="s">
        <v>209</v>
      </c>
      <c r="P184" s="96" t="s">
        <v>415</v>
      </c>
    </row>
    <row r="185" spans="14:16" x14ac:dyDescent="0.2">
      <c r="N185" s="97" t="s">
        <v>211</v>
      </c>
      <c r="O185" s="98" t="s">
        <v>212</v>
      </c>
      <c r="P185" s="96" t="s">
        <v>415</v>
      </c>
    </row>
    <row r="186" spans="14:16" x14ac:dyDescent="0.2">
      <c r="N186" s="97" t="s">
        <v>382</v>
      </c>
      <c r="O186" s="98" t="s">
        <v>210</v>
      </c>
      <c r="P186" s="96" t="s">
        <v>415</v>
      </c>
    </row>
    <row r="187" spans="14:16" x14ac:dyDescent="0.2">
      <c r="N187" s="97" t="s">
        <v>419</v>
      </c>
      <c r="O187" s="98" t="s">
        <v>213</v>
      </c>
      <c r="P187" s="96" t="s">
        <v>415</v>
      </c>
    </row>
    <row r="188" spans="14:16" x14ac:dyDescent="0.2">
      <c r="N188" s="97" t="s">
        <v>214</v>
      </c>
      <c r="O188" s="98" t="s">
        <v>215</v>
      </c>
      <c r="P188" s="96" t="s">
        <v>415</v>
      </c>
    </row>
    <row r="189" spans="14:16" x14ac:dyDescent="0.2">
      <c r="N189" s="97" t="s">
        <v>383</v>
      </c>
      <c r="O189" s="98" t="s">
        <v>216</v>
      </c>
      <c r="P189" s="96" t="s">
        <v>415</v>
      </c>
    </row>
    <row r="190" spans="14:16" x14ac:dyDescent="0.2">
      <c r="N190" s="102" t="s">
        <v>569</v>
      </c>
      <c r="O190" s="103" t="s">
        <v>574</v>
      </c>
      <c r="P190" s="104" t="s">
        <v>415</v>
      </c>
    </row>
    <row r="191" spans="14:16" x14ac:dyDescent="0.2">
      <c r="N191" s="97" t="s">
        <v>384</v>
      </c>
      <c r="O191" s="98" t="s">
        <v>217</v>
      </c>
      <c r="P191" s="96" t="s">
        <v>415</v>
      </c>
    </row>
    <row r="192" spans="14:16" x14ac:dyDescent="0.2">
      <c r="N192" s="94" t="s">
        <v>533</v>
      </c>
      <c r="O192" s="95" t="s">
        <v>534</v>
      </c>
      <c r="P192" s="96" t="s">
        <v>415</v>
      </c>
    </row>
    <row r="193" spans="14:16" x14ac:dyDescent="0.2">
      <c r="N193" s="97" t="s">
        <v>218</v>
      </c>
      <c r="O193" s="98" t="s">
        <v>219</v>
      </c>
      <c r="P193" s="96" t="s">
        <v>418</v>
      </c>
    </row>
    <row r="194" spans="14:16" x14ac:dyDescent="0.2">
      <c r="N194" s="97" t="s">
        <v>385</v>
      </c>
      <c r="O194" s="98" t="s">
        <v>220</v>
      </c>
      <c r="P194" s="96" t="s">
        <v>418</v>
      </c>
    </row>
    <row r="195" spans="14:16" x14ac:dyDescent="0.2">
      <c r="N195" s="97" t="s">
        <v>386</v>
      </c>
      <c r="O195" s="98" t="s">
        <v>221</v>
      </c>
      <c r="P195" s="96" t="s">
        <v>415</v>
      </c>
    </row>
    <row r="196" spans="14:16" x14ac:dyDescent="0.2">
      <c r="N196" s="97" t="s">
        <v>387</v>
      </c>
      <c r="O196" s="98" t="s">
        <v>222</v>
      </c>
      <c r="P196" s="96" t="s">
        <v>415</v>
      </c>
    </row>
    <row r="197" spans="14:16" x14ac:dyDescent="0.2">
      <c r="N197" s="97" t="s">
        <v>223</v>
      </c>
      <c r="O197" s="98" t="s">
        <v>224</v>
      </c>
      <c r="P197" s="96" t="s">
        <v>415</v>
      </c>
    </row>
    <row r="198" spans="14:16" x14ac:dyDescent="0.2">
      <c r="N198" s="97" t="s">
        <v>388</v>
      </c>
      <c r="O198" s="98" t="s">
        <v>225</v>
      </c>
      <c r="P198" s="96" t="s">
        <v>415</v>
      </c>
    </row>
    <row r="199" spans="14:16" x14ac:dyDescent="0.2">
      <c r="N199" s="102" t="s">
        <v>550</v>
      </c>
      <c r="O199" s="103" t="s">
        <v>551</v>
      </c>
      <c r="P199" s="104" t="s">
        <v>418</v>
      </c>
    </row>
    <row r="200" spans="14:16" x14ac:dyDescent="0.2">
      <c r="N200" s="97" t="s">
        <v>389</v>
      </c>
      <c r="O200" s="98" t="s">
        <v>228</v>
      </c>
      <c r="P200" s="96" t="s">
        <v>415</v>
      </c>
    </row>
    <row r="201" spans="14:16" x14ac:dyDescent="0.2">
      <c r="N201" s="97" t="s">
        <v>390</v>
      </c>
      <c r="O201" s="98" t="s">
        <v>227</v>
      </c>
      <c r="P201" s="96" t="s">
        <v>415</v>
      </c>
    </row>
    <row r="202" spans="14:16" x14ac:dyDescent="0.2">
      <c r="N202" s="97" t="s">
        <v>391</v>
      </c>
      <c r="O202" s="98" t="s">
        <v>229</v>
      </c>
      <c r="P202" s="96" t="s">
        <v>415</v>
      </c>
    </row>
    <row r="203" spans="14:16" x14ac:dyDescent="0.2">
      <c r="N203" s="97" t="s">
        <v>232</v>
      </c>
      <c r="O203" s="98" t="s">
        <v>233</v>
      </c>
      <c r="P203" s="96" t="s">
        <v>415</v>
      </c>
    </row>
    <row r="204" spans="14:16" x14ac:dyDescent="0.2">
      <c r="N204" s="97" t="s">
        <v>392</v>
      </c>
      <c r="O204" s="98" t="s">
        <v>230</v>
      </c>
      <c r="P204" s="96" t="s">
        <v>415</v>
      </c>
    </row>
    <row r="205" spans="14:16" x14ac:dyDescent="0.2">
      <c r="N205" s="97" t="s">
        <v>393</v>
      </c>
      <c r="O205" s="98" t="s">
        <v>231</v>
      </c>
      <c r="P205" s="96" t="s">
        <v>415</v>
      </c>
    </row>
    <row r="206" spans="14:16" x14ac:dyDescent="0.2">
      <c r="N206" s="111" t="s">
        <v>618</v>
      </c>
      <c r="O206" s="112" t="s">
        <v>615</v>
      </c>
      <c r="P206" s="96" t="s">
        <v>415</v>
      </c>
    </row>
    <row r="207" spans="14:16" x14ac:dyDescent="0.2">
      <c r="N207" s="97" t="s">
        <v>234</v>
      </c>
      <c r="O207" s="98" t="s">
        <v>235</v>
      </c>
      <c r="P207" s="96" t="s">
        <v>415</v>
      </c>
    </row>
    <row r="208" spans="14:16" x14ac:dyDescent="0.2">
      <c r="N208" s="97" t="s">
        <v>394</v>
      </c>
      <c r="O208" s="98" t="s">
        <v>226</v>
      </c>
      <c r="P208" s="96" t="s">
        <v>418</v>
      </c>
    </row>
    <row r="209" spans="14:16" x14ac:dyDescent="0.2">
      <c r="N209" s="97" t="s">
        <v>395</v>
      </c>
      <c r="O209" s="98" t="s">
        <v>236</v>
      </c>
      <c r="P209" s="96" t="s">
        <v>415</v>
      </c>
    </row>
    <row r="210" spans="14:16" x14ac:dyDescent="0.2">
      <c r="N210" s="111" t="s">
        <v>639</v>
      </c>
      <c r="O210" s="112" t="s">
        <v>636</v>
      </c>
      <c r="P210" s="169" t="s">
        <v>418</v>
      </c>
    </row>
    <row r="211" spans="14:16" x14ac:dyDescent="0.2">
      <c r="N211" s="97" t="s">
        <v>396</v>
      </c>
      <c r="O211" s="98" t="s">
        <v>237</v>
      </c>
      <c r="P211" s="96" t="s">
        <v>415</v>
      </c>
    </row>
    <row r="212" spans="14:16" x14ac:dyDescent="0.2">
      <c r="N212" s="97" t="s">
        <v>238</v>
      </c>
      <c r="O212" s="98" t="s">
        <v>239</v>
      </c>
      <c r="P212" s="96" t="s">
        <v>415</v>
      </c>
    </row>
    <row r="213" spans="14:16" x14ac:dyDescent="0.2">
      <c r="N213" s="97" t="s">
        <v>397</v>
      </c>
      <c r="O213" s="98" t="s">
        <v>240</v>
      </c>
      <c r="P213" s="96" t="s">
        <v>415</v>
      </c>
    </row>
    <row r="214" spans="14:16" x14ac:dyDescent="0.2">
      <c r="N214" s="97" t="s">
        <v>242</v>
      </c>
      <c r="O214" s="98" t="s">
        <v>243</v>
      </c>
      <c r="P214" s="96" t="s">
        <v>415</v>
      </c>
    </row>
    <row r="215" spans="14:16" x14ac:dyDescent="0.2">
      <c r="N215" s="97" t="s">
        <v>398</v>
      </c>
      <c r="O215" s="98" t="s">
        <v>244</v>
      </c>
      <c r="P215" s="96" t="s">
        <v>415</v>
      </c>
    </row>
    <row r="216" spans="14:16" x14ac:dyDescent="0.2">
      <c r="N216" s="97" t="s">
        <v>399</v>
      </c>
      <c r="O216" s="98" t="s">
        <v>245</v>
      </c>
      <c r="P216" s="96" t="s">
        <v>415</v>
      </c>
    </row>
    <row r="217" spans="14:16" x14ac:dyDescent="0.2">
      <c r="N217" s="111" t="s">
        <v>621</v>
      </c>
      <c r="O217" s="112" t="s">
        <v>620</v>
      </c>
      <c r="P217" s="169" t="s">
        <v>415</v>
      </c>
    </row>
    <row r="218" spans="14:16" x14ac:dyDescent="0.2">
      <c r="N218" s="97" t="s">
        <v>246</v>
      </c>
      <c r="O218" s="98" t="s">
        <v>247</v>
      </c>
      <c r="P218" s="96" t="s">
        <v>415</v>
      </c>
    </row>
    <row r="219" spans="14:16" x14ac:dyDescent="0.2">
      <c r="N219" s="97" t="s">
        <v>400</v>
      </c>
      <c r="O219" s="98" t="s">
        <v>248</v>
      </c>
      <c r="P219" s="96" t="s">
        <v>415</v>
      </c>
    </row>
    <row r="220" spans="14:16" x14ac:dyDescent="0.2">
      <c r="N220" s="97" t="s">
        <v>401</v>
      </c>
      <c r="O220" s="98" t="s">
        <v>96</v>
      </c>
      <c r="P220" s="96" t="s">
        <v>415</v>
      </c>
    </row>
    <row r="221" spans="14:16" x14ac:dyDescent="0.2">
      <c r="N221" s="97" t="s">
        <v>402</v>
      </c>
      <c r="O221" s="98" t="s">
        <v>249</v>
      </c>
      <c r="P221" s="96" t="s">
        <v>415</v>
      </c>
    </row>
    <row r="222" spans="14:16" x14ac:dyDescent="0.2">
      <c r="N222" s="97" t="s">
        <v>403</v>
      </c>
      <c r="O222" s="98" t="s">
        <v>59</v>
      </c>
      <c r="P222" s="96" t="s">
        <v>418</v>
      </c>
    </row>
    <row r="223" spans="14:16" x14ac:dyDescent="0.2">
      <c r="N223" s="97" t="s">
        <v>404</v>
      </c>
      <c r="O223" s="98" t="s">
        <v>68</v>
      </c>
      <c r="P223" s="96" t="s">
        <v>415</v>
      </c>
    </row>
    <row r="224" spans="14:16" x14ac:dyDescent="0.2">
      <c r="N224" s="107" t="s">
        <v>442</v>
      </c>
      <c r="O224" s="100" t="s">
        <v>438</v>
      </c>
      <c r="P224" s="101" t="s">
        <v>418</v>
      </c>
    </row>
    <row r="225" spans="14:16" x14ac:dyDescent="0.2">
      <c r="N225" s="97" t="s">
        <v>250</v>
      </c>
      <c r="O225" s="98" t="s">
        <v>251</v>
      </c>
      <c r="P225" s="96" t="s">
        <v>418</v>
      </c>
    </row>
    <row r="226" spans="14:16" x14ac:dyDescent="0.2">
      <c r="N226" s="97" t="s">
        <v>406</v>
      </c>
      <c r="O226" s="98" t="s">
        <v>241</v>
      </c>
      <c r="P226" s="96" t="s">
        <v>418</v>
      </c>
    </row>
    <row r="227" spans="14:16" x14ac:dyDescent="0.2">
      <c r="N227" s="97" t="s">
        <v>421</v>
      </c>
      <c r="O227" s="98" t="s">
        <v>281</v>
      </c>
      <c r="P227" s="96" t="s">
        <v>415</v>
      </c>
    </row>
    <row r="228" spans="14:16" x14ac:dyDescent="0.2">
      <c r="N228" s="97" t="s">
        <v>252</v>
      </c>
      <c r="O228" s="98" t="s">
        <v>253</v>
      </c>
      <c r="P228" s="96" t="s">
        <v>415</v>
      </c>
    </row>
    <row r="229" spans="14:16" x14ac:dyDescent="0.2">
      <c r="N229" s="97" t="s">
        <v>254</v>
      </c>
      <c r="O229" s="98" t="s">
        <v>255</v>
      </c>
      <c r="P229" s="96" t="s">
        <v>415</v>
      </c>
    </row>
    <row r="230" spans="14:16" x14ac:dyDescent="0.2">
      <c r="N230" s="97" t="s">
        <v>256</v>
      </c>
      <c r="O230" s="98" t="s">
        <v>257</v>
      </c>
      <c r="P230" s="96" t="s">
        <v>415</v>
      </c>
    </row>
    <row r="231" spans="14:16" x14ac:dyDescent="0.2">
      <c r="N231" s="97" t="s">
        <v>258</v>
      </c>
      <c r="O231" s="98" t="s">
        <v>259</v>
      </c>
      <c r="P231" s="96" t="s">
        <v>415</v>
      </c>
    </row>
    <row r="232" spans="14:16" x14ac:dyDescent="0.2">
      <c r="N232" s="97" t="s">
        <v>407</v>
      </c>
      <c r="O232" s="98" t="s">
        <v>260</v>
      </c>
      <c r="P232" s="96" t="s">
        <v>415</v>
      </c>
    </row>
    <row r="233" spans="14:16" x14ac:dyDescent="0.2">
      <c r="N233" s="97" t="s">
        <v>408</v>
      </c>
      <c r="O233" s="98" t="s">
        <v>261</v>
      </c>
      <c r="P233" s="96" t="s">
        <v>415</v>
      </c>
    </row>
    <row r="234" spans="14:16" x14ac:dyDescent="0.2">
      <c r="N234" s="97" t="s">
        <v>409</v>
      </c>
      <c r="O234" s="98" t="s">
        <v>262</v>
      </c>
      <c r="P234" s="96" t="s">
        <v>415</v>
      </c>
    </row>
    <row r="235" spans="14:16" x14ac:dyDescent="0.2">
      <c r="N235" s="97" t="s">
        <v>410</v>
      </c>
      <c r="O235" s="98" t="s">
        <v>264</v>
      </c>
      <c r="P235" s="96" t="s">
        <v>418</v>
      </c>
    </row>
    <row r="236" spans="14:16" x14ac:dyDescent="0.2">
      <c r="N236" s="107" t="s">
        <v>441</v>
      </c>
      <c r="O236" s="100" t="s">
        <v>437</v>
      </c>
      <c r="P236" s="101" t="s">
        <v>418</v>
      </c>
    </row>
    <row r="237" spans="14:16" x14ac:dyDescent="0.2">
      <c r="N237" s="115" t="s">
        <v>477</v>
      </c>
      <c r="O237" s="170" t="s">
        <v>617</v>
      </c>
      <c r="P237" s="101" t="s">
        <v>418</v>
      </c>
    </row>
    <row r="238" spans="14:16" x14ac:dyDescent="0.2">
      <c r="N238" s="97" t="s">
        <v>265</v>
      </c>
      <c r="O238" s="98" t="s">
        <v>266</v>
      </c>
      <c r="P238" s="96" t="s">
        <v>418</v>
      </c>
    </row>
    <row r="239" spans="14:16" x14ac:dyDescent="0.2">
      <c r="N239" s="97" t="s">
        <v>267</v>
      </c>
      <c r="O239" s="98" t="s">
        <v>268</v>
      </c>
      <c r="P239" s="96" t="s">
        <v>415</v>
      </c>
    </row>
    <row r="240" spans="14:16" x14ac:dyDescent="0.2">
      <c r="N240" s="97" t="s">
        <v>269</v>
      </c>
      <c r="O240" s="98" t="s">
        <v>270</v>
      </c>
      <c r="P240" s="96" t="s">
        <v>415</v>
      </c>
    </row>
    <row r="241" spans="14:16" x14ac:dyDescent="0.2">
      <c r="N241" s="97" t="s">
        <v>411</v>
      </c>
      <c r="O241" s="98" t="s">
        <v>271</v>
      </c>
      <c r="P241" s="96" t="s">
        <v>415</v>
      </c>
    </row>
    <row r="242" spans="14:16" x14ac:dyDescent="0.2">
      <c r="N242" s="97" t="s">
        <v>272</v>
      </c>
      <c r="O242" s="98" t="s">
        <v>273</v>
      </c>
      <c r="P242" s="96" t="s">
        <v>415</v>
      </c>
    </row>
    <row r="243" spans="14:16" x14ac:dyDescent="0.2">
      <c r="N243" s="97" t="s">
        <v>274</v>
      </c>
      <c r="O243" s="98" t="s">
        <v>275</v>
      </c>
      <c r="P243" s="96" t="s">
        <v>415</v>
      </c>
    </row>
    <row r="244" spans="14:16" x14ac:dyDescent="0.2">
      <c r="N244" s="97" t="s">
        <v>412</v>
      </c>
      <c r="O244" s="98" t="s">
        <v>276</v>
      </c>
      <c r="P244" s="96" t="s">
        <v>418</v>
      </c>
    </row>
    <row r="245" spans="14:16" x14ac:dyDescent="0.2">
      <c r="N245" s="97" t="s">
        <v>277</v>
      </c>
      <c r="O245" s="98" t="s">
        <v>278</v>
      </c>
      <c r="P245" s="96" t="s">
        <v>415</v>
      </c>
    </row>
    <row r="246" spans="14:16" x14ac:dyDescent="0.2">
      <c r="N246" s="97" t="s">
        <v>598</v>
      </c>
      <c r="O246" s="109" t="s">
        <v>599</v>
      </c>
      <c r="P246" s="96" t="s">
        <v>415</v>
      </c>
    </row>
    <row r="247" spans="14:16" x14ac:dyDescent="0.2">
      <c r="N247" s="97" t="s">
        <v>413</v>
      </c>
      <c r="O247" s="98" t="s">
        <v>282</v>
      </c>
      <c r="P247" s="96" t="s">
        <v>415</v>
      </c>
    </row>
    <row r="248" spans="14:16" x14ac:dyDescent="0.2">
      <c r="N248" s="97" t="s">
        <v>279</v>
      </c>
      <c r="O248" s="98" t="s">
        <v>280</v>
      </c>
      <c r="P248" s="96" t="s">
        <v>415</v>
      </c>
    </row>
    <row r="249" spans="14:16" x14ac:dyDescent="0.2">
      <c r="N249" s="97" t="s">
        <v>605</v>
      </c>
      <c r="O249" s="109" t="s">
        <v>606</v>
      </c>
      <c r="P249" s="96" t="s">
        <v>415</v>
      </c>
    </row>
    <row r="250" spans="14:16" x14ac:dyDescent="0.2">
      <c r="N250" s="155"/>
      <c r="O250" s="157"/>
      <c r="P250" s="158"/>
    </row>
  </sheetData>
  <sheetProtection password="CA3D" sheet="1" objects="1" scenarios="1"/>
  <sortState ref="N2:P249">
    <sortCondition ref="N2:N249"/>
  </sortState>
  <mergeCells count="11">
    <mergeCell ref="A50:D50"/>
    <mergeCell ref="A51:D51"/>
    <mergeCell ref="A47:J47"/>
    <mergeCell ref="A44:J44"/>
    <mergeCell ref="AF7:AF9"/>
    <mergeCell ref="E4:G4"/>
    <mergeCell ref="A1:J3"/>
    <mergeCell ref="A45:J46"/>
    <mergeCell ref="B4:C4"/>
    <mergeCell ref="B5:C5"/>
    <mergeCell ref="E5:G5"/>
  </mergeCells>
  <phoneticPr fontId="2" type="noConversion"/>
  <conditionalFormatting sqref="F42">
    <cfRule type="expression" dxfId="14" priority="11" stopIfTrue="1">
      <formula>D42=""</formula>
    </cfRule>
  </conditionalFormatting>
  <conditionalFormatting sqref="F33 F9 F11 F13 F15 F17 F19 F21 F23 F25 F27 F29 F35 F31 F37 F39">
    <cfRule type="expression" dxfId="13" priority="12" stopIfTrue="1">
      <formula>D9=""</formula>
    </cfRule>
    <cfRule type="cellIs" dxfId="12" priority="13" stopIfTrue="1" operator="equal">
      <formula>#N/A</formula>
    </cfRule>
  </conditionalFormatting>
  <conditionalFormatting sqref="F34 F32 F30 F28 F26 F24 F22 F20 F18 F16 F14 F10 F7:F8">
    <cfRule type="expression" dxfId="11" priority="14" stopIfTrue="1">
      <formula>D7=""</formula>
    </cfRule>
    <cfRule type="cellIs" dxfId="10" priority="15" stopIfTrue="1" operator="equal">
      <formula>#N/A</formula>
    </cfRule>
  </conditionalFormatting>
  <conditionalFormatting sqref="F12">
    <cfRule type="expression" dxfId="9" priority="16" stopIfTrue="1">
      <formula>D12=""</formula>
    </cfRule>
    <cfRule type="expression" dxfId="8" priority="17" stopIfTrue="1">
      <formula>#N/A</formula>
    </cfRule>
  </conditionalFormatting>
  <conditionalFormatting sqref="F36">
    <cfRule type="expression" dxfId="7" priority="9" stopIfTrue="1">
      <formula>D36=""</formula>
    </cfRule>
    <cfRule type="cellIs" dxfId="6" priority="10" stopIfTrue="1" operator="equal">
      <formula>#N/A</formula>
    </cfRule>
  </conditionalFormatting>
  <conditionalFormatting sqref="F38">
    <cfRule type="expression" dxfId="5" priority="7" stopIfTrue="1">
      <formula>D38=""</formula>
    </cfRule>
    <cfRule type="cellIs" dxfId="4" priority="8" stopIfTrue="1" operator="equal">
      <formula>#N/A</formula>
    </cfRule>
  </conditionalFormatting>
  <conditionalFormatting sqref="F40">
    <cfRule type="expression" dxfId="3" priority="5" stopIfTrue="1">
      <formula>D40=""</formula>
    </cfRule>
    <cfRule type="cellIs" dxfId="2" priority="6" stopIfTrue="1" operator="equal">
      <formula>#N/A</formula>
    </cfRule>
  </conditionalFormatting>
  <conditionalFormatting sqref="F41">
    <cfRule type="expression" dxfId="1" priority="1" stopIfTrue="1">
      <formula>D41=""</formula>
    </cfRule>
    <cfRule type="cellIs" dxfId="0" priority="2" stopIfTrue="1" operator="equal">
      <formula>#N/A</formula>
    </cfRule>
  </conditionalFormatting>
  <dataValidations count="8">
    <dataValidation type="list" allowBlank="1" showInputMessage="1" showErrorMessage="1" sqref="I7:I41">
      <formula1>$T$2:$T$3</formula1>
    </dataValidation>
    <dataValidation type="date" allowBlank="1" showInputMessage="1" showErrorMessage="1" sqref="A7:A43">
      <formula1>40544</formula1>
      <formula2>41274</formula2>
    </dataValidation>
    <dataValidation type="decimal" allowBlank="1" showInputMessage="1" showErrorMessage="1" sqref="G19 G22:G41">
      <formula1>-100</formula1>
      <formula2>2500</formula2>
    </dataValidation>
    <dataValidation type="whole" operator="greaterThan" allowBlank="1" showInputMessage="1" showErrorMessage="1" sqref="J7:J41">
      <formula1>5000</formula1>
    </dataValidation>
    <dataValidation type="list" allowBlank="1" showInputMessage="1" showErrorMessage="1" sqref="E7:E42">
      <formula1>$R$2:$R$16</formula1>
    </dataValidation>
    <dataValidation type="list" allowBlank="1" showInputMessage="1" showErrorMessage="1" sqref="B5:C5">
      <formula1>$V$2:$V$10</formula1>
    </dataValidation>
    <dataValidation type="list" allowBlank="1" showInputMessage="1" showErrorMessage="1" sqref="B42">
      <formula1>$N$4:$N$231</formula1>
    </dataValidation>
    <dataValidation type="list" allowBlank="1" showInputMessage="1" showErrorMessage="1" sqref="B7:B41">
      <formula1>$N$2:$N$250</formula1>
    </dataValidation>
  </dataValidations>
  <printOptions horizontalCentered="1" verticalCentered="1"/>
  <pageMargins left="0" right="0" top="0" bottom="0" header="0" footer="0"/>
  <pageSetup scale="6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topLeftCell="A197" workbookViewId="0">
      <selection activeCell="A210" sqref="A210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0</v>
      </c>
      <c r="B1" s="6" t="s">
        <v>416</v>
      </c>
      <c r="C1" s="6" t="s">
        <v>417</v>
      </c>
      <c r="F1" s="4" t="s">
        <v>426</v>
      </c>
    </row>
    <row r="2" spans="1:6" x14ac:dyDescent="0.2">
      <c r="A2" s="32" t="s">
        <v>287</v>
      </c>
      <c r="B2" s="32" t="s">
        <v>1</v>
      </c>
      <c r="C2" s="32" t="s">
        <v>418</v>
      </c>
      <c r="F2" s="5" t="s">
        <v>428</v>
      </c>
    </row>
    <row r="3" spans="1:6" x14ac:dyDescent="0.2">
      <c r="A3" s="32" t="s">
        <v>2</v>
      </c>
      <c r="B3" s="32" t="s">
        <v>3</v>
      </c>
      <c r="C3" s="32" t="s">
        <v>418</v>
      </c>
      <c r="F3" s="2" t="s">
        <v>283</v>
      </c>
    </row>
    <row r="4" spans="1:6" x14ac:dyDescent="0.2">
      <c r="A4" s="32" t="s">
        <v>4</v>
      </c>
      <c r="B4" s="32" t="s">
        <v>5</v>
      </c>
      <c r="C4" s="32" t="s">
        <v>418</v>
      </c>
      <c r="F4" s="2" t="s">
        <v>427</v>
      </c>
    </row>
    <row r="5" spans="1:6" x14ac:dyDescent="0.2">
      <c r="A5" s="33" t="s">
        <v>476</v>
      </c>
      <c r="B5" s="34" t="s">
        <v>470</v>
      </c>
      <c r="C5" s="35" t="s">
        <v>418</v>
      </c>
      <c r="F5" s="2" t="s">
        <v>429</v>
      </c>
    </row>
    <row r="6" spans="1:6" x14ac:dyDescent="0.2">
      <c r="A6" s="32" t="s">
        <v>423</v>
      </c>
      <c r="B6" s="32" t="s">
        <v>6</v>
      </c>
      <c r="C6" s="32" t="s">
        <v>418</v>
      </c>
      <c r="F6" s="2" t="s">
        <v>20</v>
      </c>
    </row>
    <row r="7" spans="1:6" x14ac:dyDescent="0.2">
      <c r="A7" s="32" t="s">
        <v>288</v>
      </c>
      <c r="B7" s="32" t="s">
        <v>7</v>
      </c>
      <c r="C7" s="32" t="s">
        <v>418</v>
      </c>
      <c r="F7" s="5" t="s">
        <v>430</v>
      </c>
    </row>
    <row r="8" spans="1:6" x14ac:dyDescent="0.2">
      <c r="A8" s="32" t="s">
        <v>8</v>
      </c>
      <c r="B8" s="32" t="s">
        <v>9</v>
      </c>
      <c r="C8" s="32" t="s">
        <v>415</v>
      </c>
    </row>
    <row r="9" spans="1:6" x14ac:dyDescent="0.2">
      <c r="A9" s="32" t="s">
        <v>420</v>
      </c>
      <c r="B9" s="32" t="s">
        <v>10</v>
      </c>
      <c r="C9" s="32" t="s">
        <v>418</v>
      </c>
    </row>
    <row r="10" spans="1:6" x14ac:dyDescent="0.2">
      <c r="A10" s="32" t="s">
        <v>289</v>
      </c>
      <c r="B10" s="32" t="s">
        <v>11</v>
      </c>
      <c r="C10" s="32" t="s">
        <v>418</v>
      </c>
    </row>
    <row r="11" spans="1:6" x14ac:dyDescent="0.2">
      <c r="A11" s="32" t="s">
        <v>290</v>
      </c>
      <c r="B11" s="32" t="s">
        <v>12</v>
      </c>
      <c r="C11" s="32" t="s">
        <v>418</v>
      </c>
    </row>
    <row r="12" spans="1:6" x14ac:dyDescent="0.2">
      <c r="A12" s="32" t="s">
        <v>291</v>
      </c>
      <c r="B12" s="32" t="s">
        <v>292</v>
      </c>
      <c r="C12" s="32" t="s">
        <v>418</v>
      </c>
    </row>
    <row r="13" spans="1:6" x14ac:dyDescent="0.2">
      <c r="A13" s="32" t="s">
        <v>293</v>
      </c>
      <c r="B13" s="32" t="s">
        <v>17</v>
      </c>
      <c r="C13" s="32" t="s">
        <v>418</v>
      </c>
    </row>
    <row r="14" spans="1:6" x14ac:dyDescent="0.2">
      <c r="A14" s="32" t="s">
        <v>294</v>
      </c>
      <c r="B14" s="32" t="s">
        <v>21</v>
      </c>
      <c r="C14" s="32" t="s">
        <v>418</v>
      </c>
    </row>
    <row r="15" spans="1:6" x14ac:dyDescent="0.2">
      <c r="A15" s="32" t="s">
        <v>425</v>
      </c>
      <c r="B15" s="32" t="s">
        <v>22</v>
      </c>
      <c r="C15" s="32" t="s">
        <v>418</v>
      </c>
    </row>
    <row r="16" spans="1:6" x14ac:dyDescent="0.2">
      <c r="A16" s="32" t="s">
        <v>295</v>
      </c>
      <c r="B16" s="32" t="s">
        <v>23</v>
      </c>
      <c r="C16" s="32" t="s">
        <v>418</v>
      </c>
    </row>
    <row r="17" spans="1:3" x14ac:dyDescent="0.2">
      <c r="A17" s="34" t="s">
        <v>475</v>
      </c>
      <c r="B17" s="34" t="s">
        <v>436</v>
      </c>
      <c r="C17" s="35" t="s">
        <v>418</v>
      </c>
    </row>
    <row r="18" spans="1:3" x14ac:dyDescent="0.2">
      <c r="A18" s="32" t="s">
        <v>296</v>
      </c>
      <c r="B18" s="32" t="s">
        <v>24</v>
      </c>
      <c r="C18" s="32" t="s">
        <v>418</v>
      </c>
    </row>
    <row r="19" spans="1:3" x14ac:dyDescent="0.2">
      <c r="A19" s="32" t="s">
        <v>297</v>
      </c>
      <c r="B19" s="32" t="s">
        <v>25</v>
      </c>
      <c r="C19" s="32" t="s">
        <v>418</v>
      </c>
    </row>
    <row r="20" spans="1:3" x14ac:dyDescent="0.2">
      <c r="A20" s="32" t="s">
        <v>26</v>
      </c>
      <c r="B20" s="32" t="s">
        <v>27</v>
      </c>
      <c r="C20" s="32" t="s">
        <v>418</v>
      </c>
    </row>
    <row r="21" spans="1:3" x14ac:dyDescent="0.2">
      <c r="A21" s="32" t="s">
        <v>28</v>
      </c>
      <c r="B21" s="32" t="s">
        <v>29</v>
      </c>
      <c r="C21" s="32" t="s">
        <v>418</v>
      </c>
    </row>
    <row r="22" spans="1:3" x14ac:dyDescent="0.2">
      <c r="A22" s="32" t="s">
        <v>298</v>
      </c>
      <c r="B22" s="32" t="s">
        <v>30</v>
      </c>
      <c r="C22" s="32" t="s">
        <v>418</v>
      </c>
    </row>
    <row r="23" spans="1:3" x14ac:dyDescent="0.2">
      <c r="A23" s="3" t="s">
        <v>568</v>
      </c>
      <c r="B23" s="39" t="s">
        <v>549</v>
      </c>
      <c r="C23" s="40" t="s">
        <v>418</v>
      </c>
    </row>
    <row r="24" spans="1:3" x14ac:dyDescent="0.2">
      <c r="A24" s="32" t="s">
        <v>299</v>
      </c>
      <c r="B24" s="32" t="s">
        <v>31</v>
      </c>
      <c r="C24" s="32" t="s">
        <v>418</v>
      </c>
    </row>
    <row r="25" spans="1:3" x14ac:dyDescent="0.2">
      <c r="A25" s="32" t="s">
        <v>32</v>
      </c>
      <c r="B25" s="32" t="s">
        <v>33</v>
      </c>
      <c r="C25" s="32" t="s">
        <v>418</v>
      </c>
    </row>
    <row r="26" spans="1:3" x14ac:dyDescent="0.2">
      <c r="A26" s="32" t="s">
        <v>300</v>
      </c>
      <c r="B26" s="32" t="s">
        <v>34</v>
      </c>
      <c r="C26" s="32" t="s">
        <v>418</v>
      </c>
    </row>
    <row r="27" spans="1:3" x14ac:dyDescent="0.2">
      <c r="A27" s="32" t="s">
        <v>301</v>
      </c>
      <c r="B27" s="32" t="s">
        <v>35</v>
      </c>
      <c r="C27" s="32" t="s">
        <v>418</v>
      </c>
    </row>
    <row r="28" spans="1:3" x14ac:dyDescent="0.2">
      <c r="A28" s="32" t="s">
        <v>302</v>
      </c>
      <c r="B28" s="32" t="s">
        <v>263</v>
      </c>
      <c r="C28" s="32" t="s">
        <v>418</v>
      </c>
    </row>
    <row r="29" spans="1:3" x14ac:dyDescent="0.2">
      <c r="A29" s="32" t="s">
        <v>36</v>
      </c>
      <c r="B29" s="32" t="s">
        <v>37</v>
      </c>
      <c r="C29" s="32" t="s">
        <v>415</v>
      </c>
    </row>
    <row r="30" spans="1:3" x14ac:dyDescent="0.2">
      <c r="A30" s="32" t="s">
        <v>38</v>
      </c>
      <c r="B30" s="32" t="s">
        <v>39</v>
      </c>
      <c r="C30" s="32" t="s">
        <v>415</v>
      </c>
    </row>
    <row r="31" spans="1:3" x14ac:dyDescent="0.2">
      <c r="A31" s="32" t="s">
        <v>303</v>
      </c>
      <c r="B31" s="32" t="s">
        <v>40</v>
      </c>
      <c r="C31" s="32" t="s">
        <v>415</v>
      </c>
    </row>
    <row r="32" spans="1:3" x14ac:dyDescent="0.2">
      <c r="A32" s="32" t="s">
        <v>304</v>
      </c>
      <c r="B32" s="32" t="s">
        <v>41</v>
      </c>
      <c r="C32" s="32" t="s">
        <v>415</v>
      </c>
    </row>
    <row r="33" spans="1:3" x14ac:dyDescent="0.2">
      <c r="A33" s="32" t="s">
        <v>305</v>
      </c>
      <c r="B33" s="32" t="s">
        <v>42</v>
      </c>
      <c r="C33" s="32" t="s">
        <v>415</v>
      </c>
    </row>
    <row r="34" spans="1:3" x14ac:dyDescent="0.2">
      <c r="A34" s="32" t="s">
        <v>43</v>
      </c>
      <c r="B34" s="32" t="s">
        <v>44</v>
      </c>
      <c r="C34" s="32" t="s">
        <v>415</v>
      </c>
    </row>
    <row r="35" spans="1:3" x14ac:dyDescent="0.2">
      <c r="A35" s="3" t="s">
        <v>567</v>
      </c>
      <c r="B35" s="39" t="s">
        <v>556</v>
      </c>
      <c r="C35" s="40" t="s">
        <v>415</v>
      </c>
    </row>
    <row r="36" spans="1:3" x14ac:dyDescent="0.2">
      <c r="A36" s="32" t="s">
        <v>45</v>
      </c>
      <c r="B36" s="32" t="s">
        <v>46</v>
      </c>
      <c r="C36" s="32" t="s">
        <v>418</v>
      </c>
    </row>
    <row r="37" spans="1:3" x14ac:dyDescent="0.2">
      <c r="A37" s="32" t="s">
        <v>306</v>
      </c>
      <c r="B37" s="32" t="s">
        <v>47</v>
      </c>
      <c r="C37" s="32" t="s">
        <v>418</v>
      </c>
    </row>
    <row r="38" spans="1:3" x14ac:dyDescent="0.2">
      <c r="A38" s="32" t="s">
        <v>48</v>
      </c>
      <c r="B38" s="32" t="s">
        <v>49</v>
      </c>
      <c r="C38" s="32" t="s">
        <v>415</v>
      </c>
    </row>
    <row r="39" spans="1:3" x14ac:dyDescent="0.2">
      <c r="A39" s="32" t="s">
        <v>307</v>
      </c>
      <c r="B39" s="32" t="s">
        <v>50</v>
      </c>
      <c r="C39" s="32" t="s">
        <v>415</v>
      </c>
    </row>
    <row r="40" spans="1:3" x14ac:dyDescent="0.2">
      <c r="A40" s="32" t="s">
        <v>51</v>
      </c>
      <c r="B40" s="32" t="s">
        <v>52</v>
      </c>
      <c r="C40" s="32" t="s">
        <v>415</v>
      </c>
    </row>
    <row r="41" spans="1:3" x14ac:dyDescent="0.2">
      <c r="A41" s="32" t="s">
        <v>308</v>
      </c>
      <c r="B41" s="32" t="s">
        <v>53</v>
      </c>
      <c r="C41" s="32" t="s">
        <v>415</v>
      </c>
    </row>
    <row r="42" spans="1:3" x14ac:dyDescent="0.2">
      <c r="A42" s="32" t="s">
        <v>309</v>
      </c>
      <c r="B42" s="32" t="s">
        <v>54</v>
      </c>
      <c r="C42" s="32" t="s">
        <v>415</v>
      </c>
    </row>
    <row r="43" spans="1:3" x14ac:dyDescent="0.2">
      <c r="A43" s="32" t="s">
        <v>310</v>
      </c>
      <c r="B43" s="32" t="s">
        <v>55</v>
      </c>
      <c r="C43" s="32" t="s">
        <v>418</v>
      </c>
    </row>
    <row r="44" spans="1:3" x14ac:dyDescent="0.2">
      <c r="A44" s="32" t="s">
        <v>311</v>
      </c>
      <c r="B44" s="32" t="s">
        <v>56</v>
      </c>
      <c r="C44" s="32" t="s">
        <v>415</v>
      </c>
    </row>
    <row r="45" spans="1:3" x14ac:dyDescent="0.2">
      <c r="A45" s="32" t="s">
        <v>57</v>
      </c>
      <c r="B45" s="32" t="s">
        <v>58</v>
      </c>
      <c r="C45" s="32" t="s">
        <v>415</v>
      </c>
    </row>
    <row r="46" spans="1:3" x14ac:dyDescent="0.2">
      <c r="A46" s="33" t="s">
        <v>479</v>
      </c>
      <c r="B46" s="34" t="s">
        <v>472</v>
      </c>
      <c r="C46" s="35" t="s">
        <v>415</v>
      </c>
    </row>
    <row r="47" spans="1:3" x14ac:dyDescent="0.2">
      <c r="A47" s="32" t="s">
        <v>60</v>
      </c>
      <c r="B47" s="32" t="s">
        <v>61</v>
      </c>
      <c r="C47" s="32" t="s">
        <v>415</v>
      </c>
    </row>
    <row r="48" spans="1:3" x14ac:dyDescent="0.2">
      <c r="A48" s="32" t="s">
        <v>312</v>
      </c>
      <c r="B48" s="32" t="s">
        <v>62</v>
      </c>
      <c r="C48" s="32" t="s">
        <v>415</v>
      </c>
    </row>
    <row r="49" spans="1:3" x14ac:dyDescent="0.2">
      <c r="A49" s="32" t="s">
        <v>313</v>
      </c>
      <c r="B49" s="32" t="s">
        <v>63</v>
      </c>
      <c r="C49" s="32" t="s">
        <v>415</v>
      </c>
    </row>
    <row r="50" spans="1:3" x14ac:dyDescent="0.2">
      <c r="A50" s="33" t="s">
        <v>473</v>
      </c>
      <c r="B50" s="33" t="s">
        <v>314</v>
      </c>
      <c r="C50" s="32" t="s">
        <v>415</v>
      </c>
    </row>
    <row r="51" spans="1:3" x14ac:dyDescent="0.2">
      <c r="A51" s="32" t="s">
        <v>315</v>
      </c>
      <c r="B51" s="32" t="s">
        <v>64</v>
      </c>
      <c r="C51" s="32" t="s">
        <v>415</v>
      </c>
    </row>
    <row r="52" spans="1:3" x14ac:dyDescent="0.2">
      <c r="A52" s="32" t="s">
        <v>65</v>
      </c>
      <c r="B52" s="32" t="s">
        <v>66</v>
      </c>
      <c r="C52" s="32" t="s">
        <v>415</v>
      </c>
    </row>
    <row r="53" spans="1:3" x14ac:dyDescent="0.2">
      <c r="A53" s="32" t="s">
        <v>316</v>
      </c>
      <c r="B53" s="32" t="s">
        <v>67</v>
      </c>
      <c r="C53" s="32" t="s">
        <v>415</v>
      </c>
    </row>
    <row r="54" spans="1:3" x14ac:dyDescent="0.2">
      <c r="A54" s="32" t="s">
        <v>317</v>
      </c>
      <c r="B54" s="32" t="s">
        <v>81</v>
      </c>
      <c r="C54" s="32" t="s">
        <v>415</v>
      </c>
    </row>
    <row r="55" spans="1:3" x14ac:dyDescent="0.2">
      <c r="A55" s="32" t="s">
        <v>70</v>
      </c>
      <c r="B55" s="32" t="s">
        <v>71</v>
      </c>
      <c r="C55" s="32" t="s">
        <v>415</v>
      </c>
    </row>
    <row r="56" spans="1:3" x14ac:dyDescent="0.2">
      <c r="A56" s="32" t="s">
        <v>72</v>
      </c>
      <c r="B56" s="32" t="s">
        <v>73</v>
      </c>
      <c r="C56" s="32" t="s">
        <v>415</v>
      </c>
    </row>
    <row r="57" spans="1:3" x14ac:dyDescent="0.2">
      <c r="A57" s="188" t="s">
        <v>643</v>
      </c>
      <c r="B57" s="187" t="s">
        <v>637</v>
      </c>
      <c r="C57" s="40" t="s">
        <v>415</v>
      </c>
    </row>
    <row r="58" spans="1:3" x14ac:dyDescent="0.2">
      <c r="A58" s="32" t="s">
        <v>318</v>
      </c>
      <c r="B58" s="32" t="s">
        <v>74</v>
      </c>
      <c r="C58" s="32" t="s">
        <v>415</v>
      </c>
    </row>
    <row r="59" spans="1:3" x14ac:dyDescent="0.2">
      <c r="A59" s="32" t="s">
        <v>75</v>
      </c>
      <c r="B59" s="32" t="s">
        <v>76</v>
      </c>
      <c r="C59" s="32" t="s">
        <v>415</v>
      </c>
    </row>
    <row r="60" spans="1:3" x14ac:dyDescent="0.2">
      <c r="A60" s="32" t="s">
        <v>77</v>
      </c>
      <c r="B60" s="32" t="s">
        <v>78</v>
      </c>
      <c r="C60" s="32" t="s">
        <v>415</v>
      </c>
    </row>
    <row r="61" spans="1:3" x14ac:dyDescent="0.2">
      <c r="A61" s="32" t="s">
        <v>319</v>
      </c>
      <c r="B61" s="32" t="s">
        <v>79</v>
      </c>
      <c r="C61" s="32" t="s">
        <v>415</v>
      </c>
    </row>
    <row r="62" spans="1:3" x14ac:dyDescent="0.2">
      <c r="A62" s="32" t="s">
        <v>320</v>
      </c>
      <c r="B62" s="32" t="s">
        <v>80</v>
      </c>
      <c r="C62" s="32" t="s">
        <v>415</v>
      </c>
    </row>
    <row r="63" spans="1:3" x14ac:dyDescent="0.2">
      <c r="A63" s="32" t="s">
        <v>321</v>
      </c>
      <c r="B63" s="32" t="s">
        <v>69</v>
      </c>
      <c r="C63" s="32" t="s">
        <v>415</v>
      </c>
    </row>
    <row r="64" spans="1:3" x14ac:dyDescent="0.2">
      <c r="A64" s="32" t="s">
        <v>82</v>
      </c>
      <c r="B64" s="32" t="s">
        <v>83</v>
      </c>
      <c r="C64" s="32" t="s">
        <v>415</v>
      </c>
    </row>
    <row r="65" spans="1:3" x14ac:dyDescent="0.2">
      <c r="A65" s="32" t="s">
        <v>84</v>
      </c>
      <c r="B65" s="32" t="s">
        <v>85</v>
      </c>
      <c r="C65" s="32" t="s">
        <v>415</v>
      </c>
    </row>
    <row r="66" spans="1:3" x14ac:dyDescent="0.2">
      <c r="A66" s="32" t="s">
        <v>86</v>
      </c>
      <c r="B66" s="32" t="s">
        <v>87</v>
      </c>
      <c r="C66" s="32" t="s">
        <v>415</v>
      </c>
    </row>
    <row r="67" spans="1:3" x14ac:dyDescent="0.2">
      <c r="A67" s="32" t="s">
        <v>88</v>
      </c>
      <c r="B67" s="32" t="s">
        <v>89</v>
      </c>
      <c r="C67" s="32" t="s">
        <v>415</v>
      </c>
    </row>
    <row r="68" spans="1:3" x14ac:dyDescent="0.2">
      <c r="A68" s="32" t="s">
        <v>90</v>
      </c>
      <c r="B68" s="32" t="s">
        <v>91</v>
      </c>
      <c r="C68" s="32" t="s">
        <v>415</v>
      </c>
    </row>
    <row r="69" spans="1:3" x14ac:dyDescent="0.2">
      <c r="A69" s="32" t="s">
        <v>92</v>
      </c>
      <c r="B69" s="32" t="s">
        <v>93</v>
      </c>
      <c r="C69" s="32" t="s">
        <v>415</v>
      </c>
    </row>
    <row r="70" spans="1:3" x14ac:dyDescent="0.2">
      <c r="A70" s="32" t="s">
        <v>94</v>
      </c>
      <c r="B70" s="32" t="s">
        <v>95</v>
      </c>
      <c r="C70" s="32" t="s">
        <v>415</v>
      </c>
    </row>
    <row r="71" spans="1:3" x14ac:dyDescent="0.2">
      <c r="A71" s="32" t="s">
        <v>97</v>
      </c>
      <c r="B71" s="32" t="s">
        <v>98</v>
      </c>
      <c r="C71" s="32" t="s">
        <v>415</v>
      </c>
    </row>
    <row r="72" spans="1:3" x14ac:dyDescent="0.2">
      <c r="A72" s="32" t="s">
        <v>322</v>
      </c>
      <c r="B72" s="32" t="s">
        <v>100</v>
      </c>
      <c r="C72" s="32" t="s">
        <v>415</v>
      </c>
    </row>
    <row r="73" spans="1:3" x14ac:dyDescent="0.2">
      <c r="A73" s="32" t="s">
        <v>323</v>
      </c>
      <c r="B73" s="32" t="s">
        <v>101</v>
      </c>
      <c r="C73" s="32" t="s">
        <v>415</v>
      </c>
    </row>
    <row r="74" spans="1:3" x14ac:dyDescent="0.2">
      <c r="A74" s="32" t="s">
        <v>324</v>
      </c>
      <c r="B74" s="32" t="s">
        <v>102</v>
      </c>
      <c r="C74" s="32" t="s">
        <v>415</v>
      </c>
    </row>
    <row r="75" spans="1:3" x14ac:dyDescent="0.2">
      <c r="A75" s="32" t="s">
        <v>325</v>
      </c>
      <c r="B75" s="32" t="s">
        <v>103</v>
      </c>
      <c r="C75" s="32" t="s">
        <v>415</v>
      </c>
    </row>
    <row r="76" spans="1:3" x14ac:dyDescent="0.2">
      <c r="A76" s="32" t="s">
        <v>326</v>
      </c>
      <c r="B76" s="32" t="s">
        <v>99</v>
      </c>
      <c r="C76" s="32" t="s">
        <v>415</v>
      </c>
    </row>
    <row r="77" spans="1:3" x14ac:dyDescent="0.2">
      <c r="A77" s="32" t="s">
        <v>327</v>
      </c>
      <c r="B77" s="32" t="s">
        <v>104</v>
      </c>
      <c r="C77" s="32" t="s">
        <v>418</v>
      </c>
    </row>
    <row r="78" spans="1:3" x14ac:dyDescent="0.2">
      <c r="A78" s="32" t="s">
        <v>328</v>
      </c>
      <c r="B78" s="32" t="s">
        <v>105</v>
      </c>
      <c r="C78" s="32" t="s">
        <v>415</v>
      </c>
    </row>
    <row r="79" spans="1:3" x14ac:dyDescent="0.2">
      <c r="A79" s="32" t="s">
        <v>329</v>
      </c>
      <c r="B79" s="32" t="s">
        <v>106</v>
      </c>
      <c r="C79" s="32" t="s">
        <v>415</v>
      </c>
    </row>
    <row r="80" spans="1:3" x14ac:dyDescent="0.2">
      <c r="A80" s="32" t="s">
        <v>330</v>
      </c>
      <c r="B80" s="32" t="s">
        <v>107</v>
      </c>
      <c r="C80" s="32" t="s">
        <v>415</v>
      </c>
    </row>
    <row r="81" spans="1:3" x14ac:dyDescent="0.2">
      <c r="A81" s="32" t="s">
        <v>108</v>
      </c>
      <c r="B81" s="32" t="s">
        <v>109</v>
      </c>
      <c r="C81" s="32" t="s">
        <v>415</v>
      </c>
    </row>
    <row r="82" spans="1:3" x14ac:dyDescent="0.2">
      <c r="A82" s="32" t="s">
        <v>331</v>
      </c>
      <c r="B82" s="32" t="s">
        <v>110</v>
      </c>
      <c r="C82" s="32" t="s">
        <v>415</v>
      </c>
    </row>
    <row r="83" spans="1:3" x14ac:dyDescent="0.2">
      <c r="A83" s="32" t="s">
        <v>332</v>
      </c>
      <c r="B83" s="32" t="s">
        <v>111</v>
      </c>
      <c r="C83" s="32" t="s">
        <v>415</v>
      </c>
    </row>
    <row r="84" spans="1:3" x14ac:dyDescent="0.2">
      <c r="A84" s="32" t="s">
        <v>112</v>
      </c>
      <c r="B84" s="32" t="s">
        <v>113</v>
      </c>
      <c r="C84" s="32" t="s">
        <v>415</v>
      </c>
    </row>
    <row r="85" spans="1:3" x14ac:dyDescent="0.2">
      <c r="A85" s="32" t="s">
        <v>114</v>
      </c>
      <c r="B85" s="32" t="s">
        <v>115</v>
      </c>
      <c r="C85" s="32" t="s">
        <v>415</v>
      </c>
    </row>
    <row r="86" spans="1:3" x14ac:dyDescent="0.2">
      <c r="A86" s="32" t="s">
        <v>333</v>
      </c>
      <c r="B86" s="32" t="s">
        <v>116</v>
      </c>
      <c r="C86" s="32" t="s">
        <v>415</v>
      </c>
    </row>
    <row r="87" spans="1:3" x14ac:dyDescent="0.2">
      <c r="A87" s="32" t="s">
        <v>117</v>
      </c>
      <c r="B87" s="32" t="s">
        <v>118</v>
      </c>
      <c r="C87" s="32" t="s">
        <v>415</v>
      </c>
    </row>
    <row r="88" spans="1:3" x14ac:dyDescent="0.2">
      <c r="A88" s="32" t="s">
        <v>334</v>
      </c>
      <c r="B88" s="32" t="s">
        <v>119</v>
      </c>
      <c r="C88" s="32" t="s">
        <v>415</v>
      </c>
    </row>
    <row r="89" spans="1:3" x14ac:dyDescent="0.2">
      <c r="A89" s="32" t="s">
        <v>120</v>
      </c>
      <c r="B89" s="32" t="s">
        <v>121</v>
      </c>
      <c r="C89" s="32" t="s">
        <v>415</v>
      </c>
    </row>
    <row r="90" spans="1:3" x14ac:dyDescent="0.2">
      <c r="A90" s="32" t="s">
        <v>335</v>
      </c>
      <c r="B90" s="32" t="s">
        <v>122</v>
      </c>
      <c r="C90" s="32" t="s">
        <v>415</v>
      </c>
    </row>
    <row r="91" spans="1:3" x14ac:dyDescent="0.2">
      <c r="A91" s="32" t="s">
        <v>336</v>
      </c>
      <c r="B91" s="32" t="s">
        <v>123</v>
      </c>
      <c r="C91" s="32" t="s">
        <v>415</v>
      </c>
    </row>
    <row r="92" spans="1:3" x14ac:dyDescent="0.2">
      <c r="A92" s="32" t="s">
        <v>337</v>
      </c>
      <c r="B92" s="32" t="s">
        <v>124</v>
      </c>
      <c r="C92" s="32" t="s">
        <v>415</v>
      </c>
    </row>
    <row r="93" spans="1:3" x14ac:dyDescent="0.2">
      <c r="A93" s="32" t="s">
        <v>338</v>
      </c>
      <c r="B93" s="32" t="s">
        <v>125</v>
      </c>
      <c r="C93" s="32" t="s">
        <v>415</v>
      </c>
    </row>
    <row r="94" spans="1:3" x14ac:dyDescent="0.2">
      <c r="A94" s="32" t="s">
        <v>339</v>
      </c>
      <c r="B94" s="32" t="s">
        <v>126</v>
      </c>
      <c r="C94" s="32" t="s">
        <v>415</v>
      </c>
    </row>
    <row r="95" spans="1:3" x14ac:dyDescent="0.2">
      <c r="A95" s="32" t="s">
        <v>422</v>
      </c>
      <c r="B95" s="32" t="s">
        <v>127</v>
      </c>
      <c r="C95" s="32" t="s">
        <v>415</v>
      </c>
    </row>
    <row r="96" spans="1:3" x14ac:dyDescent="0.2">
      <c r="A96" s="32" t="s">
        <v>340</v>
      </c>
      <c r="B96" s="32" t="s">
        <v>128</v>
      </c>
      <c r="C96" s="32" t="s">
        <v>415</v>
      </c>
    </row>
    <row r="97" spans="1:3" x14ac:dyDescent="0.2">
      <c r="A97" s="32" t="s">
        <v>341</v>
      </c>
      <c r="B97" s="32" t="s">
        <v>129</v>
      </c>
      <c r="C97" s="32" t="s">
        <v>415</v>
      </c>
    </row>
    <row r="98" spans="1:3" x14ac:dyDescent="0.2">
      <c r="A98" s="32" t="s">
        <v>342</v>
      </c>
      <c r="B98" s="32" t="s">
        <v>136</v>
      </c>
      <c r="C98" s="32" t="s">
        <v>415</v>
      </c>
    </row>
    <row r="99" spans="1:3" x14ac:dyDescent="0.2">
      <c r="A99" s="32" t="s">
        <v>343</v>
      </c>
      <c r="B99" s="32" t="s">
        <v>137</v>
      </c>
      <c r="C99" s="32" t="s">
        <v>415</v>
      </c>
    </row>
    <row r="100" spans="1:3" x14ac:dyDescent="0.2">
      <c r="A100" s="32" t="s">
        <v>130</v>
      </c>
      <c r="B100" s="32" t="s">
        <v>131</v>
      </c>
      <c r="C100" s="32" t="s">
        <v>415</v>
      </c>
    </row>
    <row r="101" spans="1:3" x14ac:dyDescent="0.2">
      <c r="A101" s="34" t="s">
        <v>474</v>
      </c>
      <c r="B101" s="34" t="s">
        <v>440</v>
      </c>
      <c r="C101" s="35" t="s">
        <v>415</v>
      </c>
    </row>
    <row r="102" spans="1:3" x14ac:dyDescent="0.2">
      <c r="A102" s="32" t="s">
        <v>344</v>
      </c>
      <c r="B102" s="32" t="s">
        <v>345</v>
      </c>
      <c r="C102" s="32" t="s">
        <v>415</v>
      </c>
    </row>
    <row r="103" spans="1:3" x14ac:dyDescent="0.2">
      <c r="A103" s="32" t="s">
        <v>346</v>
      </c>
      <c r="B103" s="32" t="s">
        <v>132</v>
      </c>
      <c r="C103" s="32" t="s">
        <v>415</v>
      </c>
    </row>
    <row r="104" spans="1:3" x14ac:dyDescent="0.2">
      <c r="A104" s="32" t="s">
        <v>347</v>
      </c>
      <c r="B104" s="32" t="s">
        <v>133</v>
      </c>
      <c r="C104" s="32" t="s">
        <v>415</v>
      </c>
    </row>
    <row r="105" spans="1:3" x14ac:dyDescent="0.2">
      <c r="A105" s="32" t="s">
        <v>348</v>
      </c>
      <c r="B105" s="32" t="s">
        <v>134</v>
      </c>
      <c r="C105" s="32" t="s">
        <v>415</v>
      </c>
    </row>
    <row r="106" spans="1:3" x14ac:dyDescent="0.2">
      <c r="A106" s="32" t="s">
        <v>349</v>
      </c>
      <c r="B106" s="32" t="s">
        <v>135</v>
      </c>
      <c r="C106" s="32" t="s">
        <v>415</v>
      </c>
    </row>
    <row r="107" spans="1:3" x14ac:dyDescent="0.2">
      <c r="A107" s="32" t="s">
        <v>350</v>
      </c>
      <c r="B107" s="32" t="s">
        <v>138</v>
      </c>
      <c r="C107" s="32" t="s">
        <v>415</v>
      </c>
    </row>
    <row r="108" spans="1:3" x14ac:dyDescent="0.2">
      <c r="A108" s="32" t="s">
        <v>139</v>
      </c>
      <c r="B108" s="32" t="s">
        <v>140</v>
      </c>
      <c r="C108" s="32" t="s">
        <v>415</v>
      </c>
    </row>
    <row r="109" spans="1:3" x14ac:dyDescent="0.2">
      <c r="A109" s="32" t="s">
        <v>141</v>
      </c>
      <c r="B109" s="32" t="s">
        <v>142</v>
      </c>
      <c r="C109" s="32" t="s">
        <v>415</v>
      </c>
    </row>
    <row r="110" spans="1:3" x14ac:dyDescent="0.2">
      <c r="A110" s="32" t="s">
        <v>351</v>
      </c>
      <c r="B110" s="32" t="s">
        <v>143</v>
      </c>
      <c r="C110" s="32" t="s">
        <v>415</v>
      </c>
    </row>
    <row r="111" spans="1:3" x14ac:dyDescent="0.2">
      <c r="A111" s="33" t="s">
        <v>478</v>
      </c>
      <c r="B111" s="34" t="s">
        <v>439</v>
      </c>
      <c r="C111" s="35" t="s">
        <v>418</v>
      </c>
    </row>
    <row r="112" spans="1:3" x14ac:dyDescent="0.2">
      <c r="A112" s="32" t="s">
        <v>144</v>
      </c>
      <c r="B112" s="32" t="s">
        <v>145</v>
      </c>
      <c r="C112" s="32" t="s">
        <v>418</v>
      </c>
    </row>
    <row r="113" spans="1:3" x14ac:dyDescent="0.2">
      <c r="A113" s="32" t="s">
        <v>352</v>
      </c>
      <c r="B113" s="32" t="s">
        <v>146</v>
      </c>
      <c r="C113" s="32" t="s">
        <v>415</v>
      </c>
    </row>
    <row r="114" spans="1:3" x14ac:dyDescent="0.2">
      <c r="A114" s="32" t="s">
        <v>424</v>
      </c>
      <c r="B114" s="32" t="s">
        <v>147</v>
      </c>
      <c r="C114" s="32" t="s">
        <v>415</v>
      </c>
    </row>
    <row r="115" spans="1:3" x14ac:dyDescent="0.2">
      <c r="A115" s="32" t="s">
        <v>353</v>
      </c>
      <c r="B115" s="32" t="s">
        <v>148</v>
      </c>
      <c r="C115" s="32" t="s">
        <v>415</v>
      </c>
    </row>
    <row r="116" spans="1:3" x14ac:dyDescent="0.2">
      <c r="A116" s="32" t="s">
        <v>149</v>
      </c>
      <c r="B116" s="32" t="s">
        <v>150</v>
      </c>
      <c r="C116" s="32" t="s">
        <v>418</v>
      </c>
    </row>
    <row r="117" spans="1:3" x14ac:dyDescent="0.2">
      <c r="A117" s="32" t="s">
        <v>151</v>
      </c>
      <c r="B117" s="32" t="s">
        <v>152</v>
      </c>
      <c r="C117" s="32" t="s">
        <v>415</v>
      </c>
    </row>
    <row r="118" spans="1:3" x14ac:dyDescent="0.2">
      <c r="A118" s="11" t="s">
        <v>354</v>
      </c>
      <c r="B118" s="10" t="s">
        <v>153</v>
      </c>
      <c r="C118" s="32" t="s">
        <v>415</v>
      </c>
    </row>
    <row r="119" spans="1:3" x14ac:dyDescent="0.2">
      <c r="A119" s="32" t="s">
        <v>154</v>
      </c>
      <c r="B119" s="32" t="s">
        <v>155</v>
      </c>
      <c r="C119" s="32" t="s">
        <v>418</v>
      </c>
    </row>
    <row r="120" spans="1:3" x14ac:dyDescent="0.2">
      <c r="A120" s="32" t="s">
        <v>355</v>
      </c>
      <c r="B120" s="32" t="s">
        <v>156</v>
      </c>
      <c r="C120" s="32" t="s">
        <v>415</v>
      </c>
    </row>
    <row r="121" spans="1:3" x14ac:dyDescent="0.2">
      <c r="A121" s="32" t="s">
        <v>157</v>
      </c>
      <c r="B121" s="32" t="s">
        <v>158</v>
      </c>
      <c r="C121" s="32" t="s">
        <v>415</v>
      </c>
    </row>
    <row r="122" spans="1:3" x14ac:dyDescent="0.2">
      <c r="A122" s="32" t="s">
        <v>356</v>
      </c>
      <c r="B122" s="32" t="s">
        <v>159</v>
      </c>
      <c r="C122" s="32" t="s">
        <v>415</v>
      </c>
    </row>
    <row r="123" spans="1:3" x14ac:dyDescent="0.2">
      <c r="A123" s="32" t="s">
        <v>357</v>
      </c>
      <c r="B123" s="32" t="s">
        <v>160</v>
      </c>
      <c r="C123" s="32" t="s">
        <v>415</v>
      </c>
    </row>
    <row r="124" spans="1:3" x14ac:dyDescent="0.2">
      <c r="A124" s="32" t="s">
        <v>161</v>
      </c>
      <c r="B124" s="32" t="s">
        <v>162</v>
      </c>
      <c r="C124" s="32" t="s">
        <v>415</v>
      </c>
    </row>
    <row r="125" spans="1:3" x14ac:dyDescent="0.2">
      <c r="A125" s="11" t="s">
        <v>358</v>
      </c>
      <c r="B125" s="10" t="s">
        <v>359</v>
      </c>
      <c r="C125" s="32" t="s">
        <v>415</v>
      </c>
    </row>
    <row r="126" spans="1:3" x14ac:dyDescent="0.2">
      <c r="A126" s="11" t="s">
        <v>163</v>
      </c>
      <c r="B126" s="10" t="s">
        <v>164</v>
      </c>
      <c r="C126" s="32" t="s">
        <v>415</v>
      </c>
    </row>
    <row r="127" spans="1:3" x14ac:dyDescent="0.2">
      <c r="A127" s="32" t="s">
        <v>165</v>
      </c>
      <c r="B127" s="32" t="s">
        <v>166</v>
      </c>
      <c r="C127" s="32" t="s">
        <v>415</v>
      </c>
    </row>
    <row r="128" spans="1:3" x14ac:dyDescent="0.2">
      <c r="A128" s="32" t="s">
        <v>360</v>
      </c>
      <c r="B128" s="32" t="s">
        <v>167</v>
      </c>
      <c r="C128" s="32" t="s">
        <v>415</v>
      </c>
    </row>
    <row r="129" spans="1:3" x14ac:dyDescent="0.2">
      <c r="A129" s="32" t="s">
        <v>361</v>
      </c>
      <c r="B129" s="32" t="s">
        <v>168</v>
      </c>
      <c r="C129" s="32" t="s">
        <v>415</v>
      </c>
    </row>
    <row r="130" spans="1:3" x14ac:dyDescent="0.2">
      <c r="A130" s="32" t="s">
        <v>362</v>
      </c>
      <c r="B130" s="32" t="s">
        <v>169</v>
      </c>
      <c r="C130" s="32" t="s">
        <v>418</v>
      </c>
    </row>
    <row r="131" spans="1:3" x14ac:dyDescent="0.2">
      <c r="A131" s="32" t="s">
        <v>170</v>
      </c>
      <c r="B131" s="32" t="s">
        <v>171</v>
      </c>
      <c r="C131" s="32" t="s">
        <v>415</v>
      </c>
    </row>
    <row r="132" spans="1:3" x14ac:dyDescent="0.2">
      <c r="A132" s="32" t="s">
        <v>363</v>
      </c>
      <c r="B132" s="32" t="s">
        <v>172</v>
      </c>
      <c r="C132" s="32" t="s">
        <v>418</v>
      </c>
    </row>
    <row r="133" spans="1:3" x14ac:dyDescent="0.2">
      <c r="A133" s="32" t="s">
        <v>364</v>
      </c>
      <c r="B133" s="32" t="s">
        <v>173</v>
      </c>
      <c r="C133" s="32" t="s">
        <v>415</v>
      </c>
    </row>
    <row r="134" spans="1:3" x14ac:dyDescent="0.2">
      <c r="A134" s="32" t="s">
        <v>365</v>
      </c>
      <c r="B134" s="32" t="s">
        <v>174</v>
      </c>
      <c r="C134" s="32" t="s">
        <v>418</v>
      </c>
    </row>
    <row r="135" spans="1:3" x14ac:dyDescent="0.2">
      <c r="A135" s="32" t="s">
        <v>175</v>
      </c>
      <c r="B135" s="32" t="s">
        <v>176</v>
      </c>
      <c r="C135" s="32" t="s">
        <v>415</v>
      </c>
    </row>
    <row r="136" spans="1:3" x14ac:dyDescent="0.2">
      <c r="A136" s="32" t="s">
        <v>366</v>
      </c>
      <c r="B136" s="32" t="s">
        <v>177</v>
      </c>
      <c r="C136" s="32" t="s">
        <v>415</v>
      </c>
    </row>
    <row r="137" spans="1:3" x14ac:dyDescent="0.2">
      <c r="A137" s="32" t="s">
        <v>367</v>
      </c>
      <c r="B137" s="32" t="s">
        <v>178</v>
      </c>
      <c r="C137" s="32" t="s">
        <v>415</v>
      </c>
    </row>
    <row r="138" spans="1:3" x14ac:dyDescent="0.2">
      <c r="A138" s="32" t="s">
        <v>368</v>
      </c>
      <c r="B138" s="32" t="s">
        <v>181</v>
      </c>
      <c r="C138" s="32" t="s">
        <v>415</v>
      </c>
    </row>
    <row r="139" spans="1:3" x14ac:dyDescent="0.2">
      <c r="A139" s="32" t="s">
        <v>179</v>
      </c>
      <c r="B139" s="32" t="s">
        <v>180</v>
      </c>
      <c r="C139" s="32" t="s">
        <v>415</v>
      </c>
    </row>
    <row r="140" spans="1:3" x14ac:dyDescent="0.2">
      <c r="A140" s="32" t="s">
        <v>369</v>
      </c>
      <c r="B140" s="32" t="s">
        <v>182</v>
      </c>
      <c r="C140" s="32" t="s">
        <v>415</v>
      </c>
    </row>
    <row r="141" spans="1:3" x14ac:dyDescent="0.2">
      <c r="A141" s="3" t="s">
        <v>565</v>
      </c>
      <c r="B141" s="39" t="s">
        <v>558</v>
      </c>
      <c r="C141" s="40" t="s">
        <v>415</v>
      </c>
    </row>
    <row r="142" spans="1:3" x14ac:dyDescent="0.2">
      <c r="A142" s="32" t="s">
        <v>370</v>
      </c>
      <c r="B142" s="32" t="s">
        <v>184</v>
      </c>
      <c r="C142" s="32" t="s">
        <v>415</v>
      </c>
    </row>
    <row r="143" spans="1:3" x14ac:dyDescent="0.2">
      <c r="A143" s="32" t="s">
        <v>371</v>
      </c>
      <c r="B143" s="32" t="s">
        <v>183</v>
      </c>
      <c r="C143" s="32" t="s">
        <v>415</v>
      </c>
    </row>
    <row r="144" spans="1:3" x14ac:dyDescent="0.2">
      <c r="A144" s="32" t="s">
        <v>372</v>
      </c>
      <c r="B144" s="32" t="s">
        <v>185</v>
      </c>
      <c r="C144" s="32" t="s">
        <v>418</v>
      </c>
    </row>
    <row r="145" spans="1:3" x14ac:dyDescent="0.2">
      <c r="A145" s="32" t="s">
        <v>373</v>
      </c>
      <c r="B145" s="32" t="s">
        <v>186</v>
      </c>
      <c r="C145" s="32" t="s">
        <v>418</v>
      </c>
    </row>
    <row r="146" spans="1:3" x14ac:dyDescent="0.2">
      <c r="A146" s="188" t="s">
        <v>642</v>
      </c>
      <c r="B146" s="187" t="s">
        <v>635</v>
      </c>
      <c r="C146" s="40" t="s">
        <v>418</v>
      </c>
    </row>
    <row r="147" spans="1:3" x14ac:dyDescent="0.2">
      <c r="A147" s="32" t="s">
        <v>187</v>
      </c>
      <c r="B147" s="32" t="s">
        <v>188</v>
      </c>
      <c r="C147" s="32" t="s">
        <v>415</v>
      </c>
    </row>
    <row r="148" spans="1:3" x14ac:dyDescent="0.2">
      <c r="A148" s="32" t="s">
        <v>189</v>
      </c>
      <c r="B148" s="32" t="s">
        <v>190</v>
      </c>
      <c r="C148" s="32" t="s">
        <v>415</v>
      </c>
    </row>
    <row r="149" spans="1:3" x14ac:dyDescent="0.2">
      <c r="A149" s="32" t="s">
        <v>191</v>
      </c>
      <c r="B149" s="32" t="s">
        <v>192</v>
      </c>
      <c r="C149" s="32" t="s">
        <v>418</v>
      </c>
    </row>
    <row r="150" spans="1:3" x14ac:dyDescent="0.2">
      <c r="A150" s="32" t="s">
        <v>374</v>
      </c>
      <c r="B150" s="32" t="s">
        <v>193</v>
      </c>
      <c r="C150" s="32" t="s">
        <v>415</v>
      </c>
    </row>
    <row r="151" spans="1:3" x14ac:dyDescent="0.2">
      <c r="A151" s="32" t="s">
        <v>195</v>
      </c>
      <c r="B151" s="32" t="s">
        <v>196</v>
      </c>
      <c r="C151" s="32" t="s">
        <v>415</v>
      </c>
    </row>
    <row r="152" spans="1:3" x14ac:dyDescent="0.2">
      <c r="A152" s="32" t="s">
        <v>197</v>
      </c>
      <c r="B152" s="32" t="s">
        <v>198</v>
      </c>
      <c r="C152" s="32" t="s">
        <v>415</v>
      </c>
    </row>
    <row r="153" spans="1:3" x14ac:dyDescent="0.2">
      <c r="A153" s="32" t="s">
        <v>199</v>
      </c>
      <c r="B153" s="32" t="s">
        <v>200</v>
      </c>
      <c r="C153" s="32" t="s">
        <v>415</v>
      </c>
    </row>
    <row r="154" spans="1:3" x14ac:dyDescent="0.2">
      <c r="A154" s="32" t="s">
        <v>201</v>
      </c>
      <c r="B154" s="32" t="s">
        <v>202</v>
      </c>
      <c r="C154" s="32" t="s">
        <v>415</v>
      </c>
    </row>
    <row r="155" spans="1:3" x14ac:dyDescent="0.2">
      <c r="A155" s="32" t="s">
        <v>203</v>
      </c>
      <c r="B155" s="32" t="s">
        <v>204</v>
      </c>
      <c r="C155" s="32" t="s">
        <v>415</v>
      </c>
    </row>
    <row r="156" spans="1:3" x14ac:dyDescent="0.2">
      <c r="A156" s="32" t="s">
        <v>375</v>
      </c>
      <c r="B156" s="32" t="s">
        <v>376</v>
      </c>
      <c r="C156" s="32" t="s">
        <v>415</v>
      </c>
    </row>
    <row r="157" spans="1:3" x14ac:dyDescent="0.2">
      <c r="A157" s="32" t="s">
        <v>377</v>
      </c>
      <c r="B157" s="32" t="s">
        <v>205</v>
      </c>
      <c r="C157" s="32" t="s">
        <v>415</v>
      </c>
    </row>
    <row r="158" spans="1:3" x14ac:dyDescent="0.2">
      <c r="A158" s="32" t="s">
        <v>378</v>
      </c>
      <c r="B158" s="32" t="s">
        <v>206</v>
      </c>
      <c r="C158" s="32" t="s">
        <v>415</v>
      </c>
    </row>
    <row r="159" spans="1:3" x14ac:dyDescent="0.2">
      <c r="A159" s="32" t="s">
        <v>379</v>
      </c>
      <c r="B159" s="32" t="s">
        <v>207</v>
      </c>
      <c r="C159" s="32" t="s">
        <v>415</v>
      </c>
    </row>
    <row r="160" spans="1:3" x14ac:dyDescent="0.2">
      <c r="A160" s="32" t="s">
        <v>380</v>
      </c>
      <c r="B160" s="32" t="s">
        <v>208</v>
      </c>
      <c r="C160" s="32" t="s">
        <v>415</v>
      </c>
    </row>
    <row r="161" spans="1:3" x14ac:dyDescent="0.2">
      <c r="A161" s="32" t="s">
        <v>381</v>
      </c>
      <c r="B161" s="32" t="s">
        <v>209</v>
      </c>
      <c r="C161" s="32" t="s">
        <v>415</v>
      </c>
    </row>
    <row r="162" spans="1:3" x14ac:dyDescent="0.2">
      <c r="A162" s="32" t="s">
        <v>211</v>
      </c>
      <c r="B162" s="32" t="s">
        <v>212</v>
      </c>
      <c r="C162" s="32" t="s">
        <v>415</v>
      </c>
    </row>
    <row r="163" spans="1:3" x14ac:dyDescent="0.2">
      <c r="A163" s="32" t="s">
        <v>382</v>
      </c>
      <c r="B163" s="32" t="s">
        <v>210</v>
      </c>
      <c r="C163" s="32" t="s">
        <v>415</v>
      </c>
    </row>
    <row r="164" spans="1:3" x14ac:dyDescent="0.2">
      <c r="A164" s="32" t="s">
        <v>419</v>
      </c>
      <c r="B164" s="32" t="s">
        <v>213</v>
      </c>
      <c r="C164" s="32" t="s">
        <v>415</v>
      </c>
    </row>
    <row r="165" spans="1:3" x14ac:dyDescent="0.2">
      <c r="A165" s="32" t="s">
        <v>214</v>
      </c>
      <c r="B165" s="32" t="s">
        <v>215</v>
      </c>
      <c r="C165" s="32" t="s">
        <v>415</v>
      </c>
    </row>
    <row r="166" spans="1:3" x14ac:dyDescent="0.2">
      <c r="A166" s="32" t="s">
        <v>383</v>
      </c>
      <c r="B166" s="32" t="s">
        <v>216</v>
      </c>
      <c r="C166" s="32" t="s">
        <v>415</v>
      </c>
    </row>
    <row r="167" spans="1:3" x14ac:dyDescent="0.2">
      <c r="A167" s="32" t="s">
        <v>384</v>
      </c>
      <c r="B167" s="32" t="s">
        <v>217</v>
      </c>
      <c r="C167" s="32" t="s">
        <v>415</v>
      </c>
    </row>
    <row r="168" spans="1:3" x14ac:dyDescent="0.2">
      <c r="A168" s="32" t="s">
        <v>218</v>
      </c>
      <c r="B168" s="32" t="s">
        <v>219</v>
      </c>
      <c r="C168" s="32" t="s">
        <v>418</v>
      </c>
    </row>
    <row r="169" spans="1:3" x14ac:dyDescent="0.2">
      <c r="A169" s="32" t="s">
        <v>385</v>
      </c>
      <c r="B169" s="32" t="s">
        <v>220</v>
      </c>
      <c r="C169" s="32" t="s">
        <v>418</v>
      </c>
    </row>
    <row r="170" spans="1:3" x14ac:dyDescent="0.2">
      <c r="A170" s="32" t="s">
        <v>386</v>
      </c>
      <c r="B170" s="32" t="s">
        <v>221</v>
      </c>
      <c r="C170" s="32" t="s">
        <v>415</v>
      </c>
    </row>
    <row r="171" spans="1:3" x14ac:dyDescent="0.2">
      <c r="A171" s="32" t="s">
        <v>387</v>
      </c>
      <c r="B171" s="32" t="s">
        <v>222</v>
      </c>
      <c r="C171" s="32" t="s">
        <v>415</v>
      </c>
    </row>
    <row r="172" spans="1:3" x14ac:dyDescent="0.2">
      <c r="A172" s="32" t="s">
        <v>223</v>
      </c>
      <c r="B172" s="32" t="s">
        <v>224</v>
      </c>
      <c r="C172" s="32" t="s">
        <v>415</v>
      </c>
    </row>
    <row r="173" spans="1:3" x14ac:dyDescent="0.2">
      <c r="A173" s="3" t="s">
        <v>566</v>
      </c>
      <c r="B173" s="39" t="s">
        <v>551</v>
      </c>
      <c r="C173" s="40" t="s">
        <v>418</v>
      </c>
    </row>
    <row r="174" spans="1:3" x14ac:dyDescent="0.2">
      <c r="A174" s="32" t="s">
        <v>388</v>
      </c>
      <c r="B174" s="32" t="s">
        <v>225</v>
      </c>
      <c r="C174" s="32" t="s">
        <v>415</v>
      </c>
    </row>
    <row r="175" spans="1:3" x14ac:dyDescent="0.2">
      <c r="A175" s="32" t="s">
        <v>389</v>
      </c>
      <c r="B175" s="32" t="s">
        <v>228</v>
      </c>
      <c r="C175" s="32" t="s">
        <v>415</v>
      </c>
    </row>
    <row r="176" spans="1:3" x14ac:dyDescent="0.2">
      <c r="A176" s="32" t="s">
        <v>390</v>
      </c>
      <c r="B176" s="32" t="s">
        <v>227</v>
      </c>
      <c r="C176" s="32" t="s">
        <v>415</v>
      </c>
    </row>
    <row r="177" spans="1:3" x14ac:dyDescent="0.2">
      <c r="A177" s="32" t="s">
        <v>391</v>
      </c>
      <c r="B177" s="32" t="s">
        <v>229</v>
      </c>
      <c r="C177" s="32" t="s">
        <v>415</v>
      </c>
    </row>
    <row r="178" spans="1:3" x14ac:dyDescent="0.2">
      <c r="A178" s="32" t="s">
        <v>232</v>
      </c>
      <c r="B178" s="32" t="s">
        <v>233</v>
      </c>
      <c r="C178" s="32" t="s">
        <v>415</v>
      </c>
    </row>
    <row r="179" spans="1:3" x14ac:dyDescent="0.2">
      <c r="A179" s="32" t="s">
        <v>392</v>
      </c>
      <c r="B179" s="32" t="s">
        <v>230</v>
      </c>
      <c r="C179" s="32" t="s">
        <v>415</v>
      </c>
    </row>
    <row r="180" spans="1:3" x14ac:dyDescent="0.2">
      <c r="A180" s="32" t="s">
        <v>393</v>
      </c>
      <c r="B180" s="32" t="s">
        <v>231</v>
      </c>
      <c r="C180" s="32" t="s">
        <v>415</v>
      </c>
    </row>
    <row r="181" spans="1:3" x14ac:dyDescent="0.2">
      <c r="A181" s="32" t="s">
        <v>234</v>
      </c>
      <c r="B181" s="32" t="s">
        <v>235</v>
      </c>
      <c r="C181" s="32" t="s">
        <v>415</v>
      </c>
    </row>
    <row r="182" spans="1:3" x14ac:dyDescent="0.2">
      <c r="A182" s="32" t="s">
        <v>394</v>
      </c>
      <c r="B182" s="32" t="s">
        <v>226</v>
      </c>
      <c r="C182" s="32" t="s">
        <v>418</v>
      </c>
    </row>
    <row r="183" spans="1:3" x14ac:dyDescent="0.2">
      <c r="A183" s="32" t="s">
        <v>395</v>
      </c>
      <c r="B183" s="32" t="s">
        <v>236</v>
      </c>
      <c r="C183" s="32" t="s">
        <v>415</v>
      </c>
    </row>
    <row r="184" spans="1:3" x14ac:dyDescent="0.2">
      <c r="A184" s="188" t="s">
        <v>639</v>
      </c>
      <c r="B184" s="187" t="s">
        <v>636</v>
      </c>
      <c r="C184" s="40" t="s">
        <v>418</v>
      </c>
    </row>
    <row r="185" spans="1:3" x14ac:dyDescent="0.2">
      <c r="A185" s="32" t="s">
        <v>396</v>
      </c>
      <c r="B185" s="32" t="s">
        <v>237</v>
      </c>
      <c r="C185" s="32" t="s">
        <v>415</v>
      </c>
    </row>
    <row r="186" spans="1:3" x14ac:dyDescent="0.2">
      <c r="A186" s="32" t="s">
        <v>238</v>
      </c>
      <c r="B186" s="32" t="s">
        <v>239</v>
      </c>
      <c r="C186" s="32" t="s">
        <v>415</v>
      </c>
    </row>
    <row r="187" spans="1:3" x14ac:dyDescent="0.2">
      <c r="A187" s="32" t="s">
        <v>397</v>
      </c>
      <c r="B187" s="32" t="s">
        <v>240</v>
      </c>
      <c r="C187" s="32" t="s">
        <v>415</v>
      </c>
    </row>
    <row r="188" spans="1:3" x14ac:dyDescent="0.2">
      <c r="A188" s="32" t="s">
        <v>242</v>
      </c>
      <c r="B188" s="32" t="s">
        <v>243</v>
      </c>
      <c r="C188" s="32" t="s">
        <v>415</v>
      </c>
    </row>
    <row r="189" spans="1:3" x14ac:dyDescent="0.2">
      <c r="A189" s="32" t="s">
        <v>398</v>
      </c>
      <c r="B189" s="32" t="s">
        <v>244</v>
      </c>
      <c r="C189" s="32" t="s">
        <v>415</v>
      </c>
    </row>
    <row r="190" spans="1:3" x14ac:dyDescent="0.2">
      <c r="A190" s="32" t="s">
        <v>399</v>
      </c>
      <c r="B190" s="32" t="s">
        <v>245</v>
      </c>
      <c r="C190" s="32" t="s">
        <v>415</v>
      </c>
    </row>
    <row r="191" spans="1:3" x14ac:dyDescent="0.2">
      <c r="A191" s="32" t="s">
        <v>246</v>
      </c>
      <c r="B191" s="32" t="s">
        <v>247</v>
      </c>
      <c r="C191" s="32" t="s">
        <v>415</v>
      </c>
    </row>
    <row r="192" spans="1:3" x14ac:dyDescent="0.2">
      <c r="A192" s="32" t="s">
        <v>400</v>
      </c>
      <c r="B192" s="32" t="s">
        <v>248</v>
      </c>
      <c r="C192" s="32" t="s">
        <v>415</v>
      </c>
    </row>
    <row r="193" spans="1:3" x14ac:dyDescent="0.2">
      <c r="A193" s="32" t="s">
        <v>401</v>
      </c>
      <c r="B193" s="32" t="s">
        <v>96</v>
      </c>
      <c r="C193" s="32" t="s">
        <v>415</v>
      </c>
    </row>
    <row r="194" spans="1:3" x14ac:dyDescent="0.2">
      <c r="A194" s="32" t="s">
        <v>402</v>
      </c>
      <c r="B194" s="32" t="s">
        <v>249</v>
      </c>
      <c r="C194" s="32" t="s">
        <v>415</v>
      </c>
    </row>
    <row r="195" spans="1:3" x14ac:dyDescent="0.2">
      <c r="A195" s="32" t="s">
        <v>403</v>
      </c>
      <c r="B195" s="32" t="s">
        <v>59</v>
      </c>
      <c r="C195" s="32" t="s">
        <v>418</v>
      </c>
    </row>
    <row r="196" spans="1:3" x14ac:dyDescent="0.2">
      <c r="A196" s="32" t="s">
        <v>404</v>
      </c>
      <c r="B196" s="32" t="s">
        <v>68</v>
      </c>
      <c r="C196" s="32" t="s">
        <v>415</v>
      </c>
    </row>
    <row r="197" spans="1:3" x14ac:dyDescent="0.2">
      <c r="A197" s="34" t="s">
        <v>442</v>
      </c>
      <c r="B197" s="34" t="s">
        <v>438</v>
      </c>
      <c r="C197" s="35" t="s">
        <v>418</v>
      </c>
    </row>
    <row r="198" spans="1:3" x14ac:dyDescent="0.2">
      <c r="A198" s="32" t="s">
        <v>405</v>
      </c>
      <c r="B198" s="32" t="s">
        <v>194</v>
      </c>
      <c r="C198" s="32" t="s">
        <v>418</v>
      </c>
    </row>
    <row r="199" spans="1:3" x14ac:dyDescent="0.2">
      <c r="A199" s="32" t="s">
        <v>250</v>
      </c>
      <c r="B199" s="32" t="s">
        <v>251</v>
      </c>
      <c r="C199" s="32" t="s">
        <v>418</v>
      </c>
    </row>
    <row r="200" spans="1:3" x14ac:dyDescent="0.2">
      <c r="A200" s="32" t="s">
        <v>406</v>
      </c>
      <c r="B200" s="32" t="s">
        <v>241</v>
      </c>
      <c r="C200" s="32" t="s">
        <v>418</v>
      </c>
    </row>
    <row r="201" spans="1:3" x14ac:dyDescent="0.2">
      <c r="A201" s="32" t="s">
        <v>421</v>
      </c>
      <c r="B201" s="32" t="s">
        <v>281</v>
      </c>
      <c r="C201" s="32" t="s">
        <v>415</v>
      </c>
    </row>
    <row r="202" spans="1:3" x14ac:dyDescent="0.2">
      <c r="A202" s="32" t="s">
        <v>252</v>
      </c>
      <c r="B202" s="32" t="s">
        <v>253</v>
      </c>
      <c r="C202" s="32" t="s">
        <v>415</v>
      </c>
    </row>
    <row r="203" spans="1:3" x14ac:dyDescent="0.2">
      <c r="A203" s="32" t="s">
        <v>254</v>
      </c>
      <c r="B203" s="32" t="s">
        <v>255</v>
      </c>
      <c r="C203" s="32" t="s">
        <v>415</v>
      </c>
    </row>
    <row r="204" spans="1:3" x14ac:dyDescent="0.2">
      <c r="A204" s="32" t="s">
        <v>256</v>
      </c>
      <c r="B204" s="32" t="s">
        <v>257</v>
      </c>
      <c r="C204" s="32" t="s">
        <v>415</v>
      </c>
    </row>
    <row r="205" spans="1:3" x14ac:dyDescent="0.2">
      <c r="A205" s="32" t="s">
        <v>258</v>
      </c>
      <c r="B205" s="32" t="s">
        <v>259</v>
      </c>
      <c r="C205" s="32" t="s">
        <v>415</v>
      </c>
    </row>
    <row r="206" spans="1:3" x14ac:dyDescent="0.2">
      <c r="A206" s="32" t="s">
        <v>407</v>
      </c>
      <c r="B206" s="32" t="s">
        <v>260</v>
      </c>
      <c r="C206" s="32" t="s">
        <v>415</v>
      </c>
    </row>
    <row r="207" spans="1:3" x14ac:dyDescent="0.2">
      <c r="A207" s="32" t="s">
        <v>408</v>
      </c>
      <c r="B207" s="32" t="s">
        <v>261</v>
      </c>
      <c r="C207" s="32" t="s">
        <v>415</v>
      </c>
    </row>
    <row r="208" spans="1:3" x14ac:dyDescent="0.2">
      <c r="A208" s="32" t="s">
        <v>409</v>
      </c>
      <c r="B208" s="32" t="s">
        <v>262</v>
      </c>
      <c r="C208" s="32" t="s">
        <v>415</v>
      </c>
    </row>
    <row r="209" spans="1:3" x14ac:dyDescent="0.2">
      <c r="A209" s="32" t="s">
        <v>410</v>
      </c>
      <c r="B209" s="32" t="s">
        <v>264</v>
      </c>
      <c r="C209" s="32" t="s">
        <v>418</v>
      </c>
    </row>
    <row r="210" spans="1:3" x14ac:dyDescent="0.2">
      <c r="A210" s="34" t="s">
        <v>441</v>
      </c>
      <c r="B210" s="34" t="s">
        <v>437</v>
      </c>
      <c r="C210" s="35" t="s">
        <v>418</v>
      </c>
    </row>
    <row r="211" spans="1:3" x14ac:dyDescent="0.2">
      <c r="A211" s="36" t="s">
        <v>477</v>
      </c>
      <c r="B211" s="34" t="s">
        <v>471</v>
      </c>
      <c r="C211" s="35" t="s">
        <v>418</v>
      </c>
    </row>
    <row r="212" spans="1:3" x14ac:dyDescent="0.2">
      <c r="A212" s="32" t="s">
        <v>265</v>
      </c>
      <c r="B212" s="32" t="s">
        <v>266</v>
      </c>
      <c r="C212" s="32" t="s">
        <v>418</v>
      </c>
    </row>
    <row r="213" spans="1:3" x14ac:dyDescent="0.2">
      <c r="A213" s="32" t="s">
        <v>267</v>
      </c>
      <c r="B213" s="32" t="s">
        <v>268</v>
      </c>
      <c r="C213" s="32" t="s">
        <v>415</v>
      </c>
    </row>
    <row r="214" spans="1:3" x14ac:dyDescent="0.2">
      <c r="A214" s="32" t="s">
        <v>269</v>
      </c>
      <c r="B214" s="32" t="s">
        <v>270</v>
      </c>
      <c r="C214" s="32" t="s">
        <v>415</v>
      </c>
    </row>
    <row r="215" spans="1:3" x14ac:dyDescent="0.2">
      <c r="A215" s="32" t="s">
        <v>411</v>
      </c>
      <c r="B215" s="32" t="s">
        <v>271</v>
      </c>
      <c r="C215" s="32" t="s">
        <v>415</v>
      </c>
    </row>
    <row r="216" spans="1:3" x14ac:dyDescent="0.2">
      <c r="A216" s="32" t="s">
        <v>272</v>
      </c>
      <c r="B216" s="32" t="s">
        <v>273</v>
      </c>
      <c r="C216" s="32" t="s">
        <v>415</v>
      </c>
    </row>
    <row r="217" spans="1:3" x14ac:dyDescent="0.2">
      <c r="A217" s="32" t="s">
        <v>274</v>
      </c>
      <c r="B217" s="32" t="s">
        <v>275</v>
      </c>
      <c r="C217" s="32" t="s">
        <v>415</v>
      </c>
    </row>
    <row r="218" spans="1:3" x14ac:dyDescent="0.2">
      <c r="A218" s="32" t="s">
        <v>412</v>
      </c>
      <c r="B218" s="32" t="s">
        <v>276</v>
      </c>
      <c r="C218" s="32" t="s">
        <v>418</v>
      </c>
    </row>
    <row r="219" spans="1:3" x14ac:dyDescent="0.2">
      <c r="A219" s="32" t="s">
        <v>277</v>
      </c>
      <c r="B219" s="32" t="s">
        <v>278</v>
      </c>
      <c r="C219" s="32" t="s">
        <v>415</v>
      </c>
    </row>
    <row r="220" spans="1:3" x14ac:dyDescent="0.2">
      <c r="A220" s="32" t="s">
        <v>413</v>
      </c>
      <c r="B220" s="32" t="s">
        <v>282</v>
      </c>
      <c r="C220" s="32" t="s">
        <v>415</v>
      </c>
    </row>
    <row r="221" spans="1:3" x14ac:dyDescent="0.2">
      <c r="A221" s="32" t="s">
        <v>279</v>
      </c>
      <c r="B221" s="32" t="s">
        <v>280</v>
      </c>
      <c r="C221" s="32" t="s">
        <v>415</v>
      </c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sortState ref="A2:C221">
    <sortCondition ref="A2:A221"/>
  </sortState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2012-03-06T15:23:03Z</cp:lastPrinted>
  <dcterms:created xsi:type="dcterms:W3CDTF">2009-11-13T17:18:38Z</dcterms:created>
  <dcterms:modified xsi:type="dcterms:W3CDTF">2012-05-10T21:15:19Z</dcterms:modified>
</cp:coreProperties>
</file>