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E2" i="11" l="1"/>
  <c r="N3" i="1" l="1"/>
  <c r="N4" i="1" s="1"/>
  <c r="N2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C155" i="1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A185" i="11" s="1"/>
  <c r="B187" i="1"/>
  <c r="B188" i="1"/>
  <c r="B189" i="1"/>
  <c r="B190" i="1"/>
  <c r="B191" i="1"/>
  <c r="B192" i="1"/>
  <c r="B193" i="1"/>
  <c r="B194" i="1"/>
  <c r="B195" i="1"/>
  <c r="D195" i="1" s="1"/>
  <c r="B196" i="1"/>
  <c r="BA196" i="1" s="1"/>
  <c r="B197" i="1"/>
  <c r="B198" i="1"/>
  <c r="BA198" i="1" s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B221" i="1"/>
  <c r="B222" i="1"/>
  <c r="D222" i="1" s="1"/>
  <c r="C221" i="11" s="1"/>
  <c r="B223" i="1"/>
  <c r="D223" i="1" s="1"/>
  <c r="C222" i="11" s="1"/>
  <c r="B224" i="1"/>
  <c r="D224" i="1" s="1"/>
  <c r="C223" i="11" s="1"/>
  <c r="B225" i="1"/>
  <c r="D225" i="1" s="1"/>
  <c r="B226" i="1"/>
  <c r="BA226" i="1" s="1"/>
  <c r="B227" i="1"/>
  <c r="D227" i="1" s="1"/>
  <c r="B228" i="1"/>
  <c r="B229" i="1"/>
  <c r="B230" i="1"/>
  <c r="B231" i="1"/>
  <c r="D231" i="1" s="1"/>
  <c r="B232" i="1"/>
  <c r="B233" i="1"/>
  <c r="D233" i="1" s="1"/>
  <c r="B234" i="1"/>
  <c r="BA234" i="1" s="1"/>
  <c r="B235" i="1"/>
  <c r="B236" i="1"/>
  <c r="B237" i="1"/>
  <c r="B238" i="1"/>
  <c r="BA238" i="1" s="1"/>
  <c r="B239" i="1"/>
  <c r="B240" i="1"/>
  <c r="BA240" i="1" s="1"/>
  <c r="B241" i="1"/>
  <c r="B242" i="1"/>
  <c r="BA242" i="1" s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A250" i="1" s="1"/>
  <c r="B251" i="1"/>
  <c r="B252" i="1"/>
  <c r="BA252" i="1" s="1"/>
  <c r="B253" i="1"/>
  <c r="B254" i="1"/>
  <c r="BA254" i="1" s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A292" i="1" s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43" i="11"/>
  <c r="A135" i="11"/>
  <c r="A175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C146" i="11"/>
  <c r="C143" i="11"/>
  <c r="C408" i="11"/>
  <c r="BA115" i="1"/>
  <c r="C114" i="11"/>
  <c r="BA113" i="1"/>
  <c r="BA107" i="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07" i="1"/>
  <c r="BA217" i="1"/>
  <c r="C82" i="11"/>
  <c r="C62" i="11"/>
  <c r="BA349" i="1"/>
  <c r="A340" i="11"/>
  <c r="BA239" i="1"/>
  <c r="BA237" i="1"/>
  <c r="BA235" i="1"/>
  <c r="BA197" i="1"/>
  <c r="BA236" i="1"/>
  <c r="C95" i="11"/>
  <c r="C363" i="11"/>
  <c r="BA347" i="1"/>
  <c r="BA331" i="1"/>
  <c r="BA273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C224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56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258" i="11"/>
  <c r="A262" i="11"/>
  <c r="A222" i="11"/>
  <c r="A282" i="11"/>
  <c r="A224" i="11"/>
  <c r="A183" i="1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15" i="1"/>
  <c r="BA303" i="1"/>
  <c r="C302" i="11"/>
  <c r="A302" i="11"/>
  <c r="A223" i="11"/>
  <c r="A209" i="11"/>
  <c r="A211" i="11"/>
  <c r="A194" i="11"/>
  <c r="C194" i="11"/>
  <c r="A221" i="11"/>
  <c r="A219" i="11"/>
  <c r="A321" i="11" l="1"/>
  <c r="A295" i="11"/>
  <c r="A265" i="11"/>
  <c r="A301" i="11"/>
  <c r="A269" i="11"/>
  <c r="A243" i="11"/>
  <c r="BA214" i="1"/>
  <c r="BA296" i="1"/>
  <c r="BA246" i="1"/>
  <c r="A261" i="11"/>
  <c r="A155" i="11"/>
  <c r="BA322" i="1"/>
  <c r="BA334" i="1"/>
  <c r="A255" i="11"/>
  <c r="A283" i="11"/>
  <c r="A339" i="11"/>
  <c r="A349" i="11"/>
  <c r="A245" i="11"/>
  <c r="BA308" i="1"/>
  <c r="A311" i="11"/>
  <c r="BA262" i="1"/>
  <c r="A213" i="11"/>
  <c r="A153" i="11"/>
  <c r="A151" i="11"/>
  <c r="A159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C433" i="11" s="1"/>
  <c r="A432" i="11"/>
  <c r="D433" i="1"/>
  <c r="A431" i="11"/>
  <c r="D432" i="1"/>
  <c r="C431" i="11" s="1"/>
  <c r="A430" i="11"/>
  <c r="D431" i="1"/>
  <c r="A429" i="11"/>
  <c r="D430" i="1"/>
  <c r="C429" i="11" s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C403" i="11" s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D243" i="1"/>
  <c r="C242" i="11" s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C210" i="11" s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C176" i="11" s="1"/>
  <c r="A172" i="11"/>
  <c r="D173" i="1"/>
  <c r="C172" i="11" s="1"/>
  <c r="BA171" i="1"/>
  <c r="D171" i="1"/>
  <c r="C170" i="11" s="1"/>
  <c r="A168" i="11"/>
  <c r="D169" i="1"/>
  <c r="C168" i="11" s="1"/>
  <c r="BA167" i="1"/>
  <c r="D167" i="1"/>
  <c r="C166" i="11" s="1"/>
  <c r="BA163" i="1"/>
  <c r="D163" i="1"/>
  <c r="C162" i="11" s="1"/>
  <c r="A160" i="11"/>
  <c r="D161" i="1"/>
  <c r="C160" i="11" s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C148" i="11" s="1"/>
  <c r="A144" i="11"/>
  <c r="D145" i="1"/>
  <c r="C144" i="11" s="1"/>
  <c r="A142" i="11"/>
  <c r="D143" i="1"/>
  <c r="C142" i="11" s="1"/>
  <c r="A140" i="11"/>
  <c r="D141" i="1"/>
  <c r="C140" i="11" s="1"/>
  <c r="A138" i="11"/>
  <c r="D139" i="1"/>
  <c r="C138" i="11" s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A120" i="11"/>
  <c r="D121" i="1"/>
  <c r="C120" i="11" s="1"/>
  <c r="A116" i="11"/>
  <c r="D117" i="1"/>
  <c r="C116" i="11" s="1"/>
  <c r="A112" i="11"/>
  <c r="D113" i="1"/>
  <c r="C112" i="11" s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C84" i="11" s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C36" i="11" s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247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33" i="11"/>
  <c r="C41" i="11"/>
  <c r="C259" i="11"/>
  <c r="C69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39" i="11"/>
  <c r="BA116" i="1"/>
  <c r="BA106" i="1"/>
  <c r="C10" i="11"/>
  <c r="C317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<sst xmlns="http://schemas.openxmlformats.org/spreadsheetml/2006/main" count="89891" uniqueCount="44666">
  <si>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</si>
  <si>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</si>
  <si>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</si>
  <si>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</si>
  <si>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</si>
  <si>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</si>
  <si>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</si>
  <si>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</si>
  <si>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</si>
  <si>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</si>
  <si>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</si>
  <si>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</si>
  <si>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</si>
  <si>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</si>
  <si>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</si>
  <si>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</si>
  <si>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</si>
  <si>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</si>
  <si>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</si>
  <si>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</si>
  <si>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</si>
  <si>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</si>
  <si>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</si>
  <si>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</si>
  <si>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</si>
  <si>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</si>
  <si>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</si>
  <si>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</si>
  <si>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</si>
  <si>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</si>
  <si>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</si>
  <si>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</si>
  <si>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</si>
  <si>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</si>
  <si>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</si>
  <si>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</si>
  <si>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</si>
  <si>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</si>
  <si>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</si>
  <si>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</si>
  <si>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</si>
  <si>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</si>
  <si>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</si>
  <si>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</si>
  <si>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</si>
  <si>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</si>
  <si>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</si>
  <si>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</si>
  <si>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</si>
  <si>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</si>
  <si>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</si>
  <si>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</si>
  <si>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</si>
  <si>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</si>
  <si>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</si>
  <si>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</si>
  <si>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</si>
  <si>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</si>
  <si>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</si>
  <si>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</si>
  <si>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</si>
  <si>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</si>
  <si>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</si>
  <si>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</si>
  <si>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</si>
  <si>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</si>
  <si>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</si>
  <si>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</si>
  <si>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</si>
  <si>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</si>
  <si>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</si>
  <si>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</si>
  <si>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</si>
  <si>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</si>
  <si>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</si>
  <si>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</si>
  <si>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</si>
  <si>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</si>
  <si>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</si>
  <si>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</si>
  <si>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</si>
  <si>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</si>
  <si>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</si>
  <si>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</si>
  <si>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</si>
  <si>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</si>
  <si>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</si>
  <si>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</si>
  <si>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</si>
  <si>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</si>
  <si>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</si>
  <si>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</si>
  <si>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</si>
  <si>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</si>
  <si>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</si>
  <si>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</si>
  <si>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</si>
  <si>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</si>
  <si>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</si>
  <si>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</si>
  <si>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</si>
  <si>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</si>
  <si>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</si>
  <si>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</si>
  <si>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</si>
  <si>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</si>
  <si>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</si>
  <si>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</si>
  <si>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</si>
  <si>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</si>
  <si>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</si>
  <si>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</si>
  <si>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</si>
  <si>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</si>
  <si>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</si>
  <si>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</si>
  <si>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</si>
  <si>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</si>
  <si>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</si>
  <si>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</si>
  <si>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</si>
  <si>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</si>
  <si>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</si>
  <si>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</si>
  <si>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</si>
  <si>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</si>
  <si>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</si>
  <si>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</si>
  <si>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</si>
  <si>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</si>
  <si>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</si>
  <si>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</si>
  <si>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</si>
  <si>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</si>
  <si>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</si>
  <si>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</si>
  <si>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</si>
  <si>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</si>
  <si>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</si>
  <si>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</si>
  <si>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</si>
  <si>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</si>
  <si>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</si>
  <si>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</si>
  <si>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</si>
  <si>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</si>
  <si>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</si>
  <si>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</si>
  <si>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</si>
  <si>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</si>
  <si>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</si>
  <si>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</si>
  <si>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</si>
  <si>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</si>
  <si>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</si>
  <si>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</si>
  <si>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</si>
  <si>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</si>
  <si>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</si>
  <si>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</si>
  <si>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</si>
  <si>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</si>
  <si>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</si>
  <si>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</si>
  <si>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</si>
  <si>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</si>
  <si>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</si>
  <si>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</si>
  <si>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</si>
  <si>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</si>
  <si>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</si>
  <si>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</si>
  <si>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</si>
  <si>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</si>
  <si>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</si>
  <si>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</si>
  <si>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</si>
  <si>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</si>
  <si>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</si>
  <si>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</si>
  <si>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</si>
  <si>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</si>
  <si>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</si>
  <si>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</si>
  <si>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</si>
  <si>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</si>
  <si>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</si>
  <si>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</si>
  <si>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</si>
  <si>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</si>
  <si>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</si>
  <si>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</si>
  <si>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</si>
  <si>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</si>
  <si>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</si>
  <si>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</si>
  <si>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</si>
  <si>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</si>
  <si>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</si>
  <si>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</si>
  <si>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</si>
  <si>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</si>
  <si>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</si>
  <si>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</si>
  <si>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</si>
  <si>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</si>
  <si>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</si>
  <si>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</si>
  <si>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</si>
  <si>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</si>
  <si>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</si>
  <si>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</si>
  <si>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</si>
  <si>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</si>
  <si>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</si>
  <si>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</si>
  <si>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</si>
  <si>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</si>
  <si>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</si>
  <si>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</si>
  <si>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</si>
  <si>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</si>
  <si>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</si>
  <si>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</si>
  <si>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</si>
  <si>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</si>
  <si>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</si>
  <si>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</si>
  <si>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</si>
  <si>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</si>
  <si>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</si>
  <si>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</si>
  <si>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</si>
  <si>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</si>
  <si>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</si>
  <si>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</si>
  <si>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</si>
  <si>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</si>
  <si>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</si>
  <si>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</si>
  <si>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</si>
  <si>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</si>
  <si>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</si>
  <si>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</si>
  <si>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</si>
  <si>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</si>
  <si>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</si>
  <si>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</si>
  <si>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</si>
  <si>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</si>
  <si>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</si>
  <si>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</si>
  <si>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</si>
  <si>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</si>
  <si>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</si>
  <si>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</si>
  <si>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</si>
  <si>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</si>
  <si>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</si>
  <si>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</si>
  <si>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</si>
  <si>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</si>
  <si>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</si>
  <si>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</si>
  <si>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</si>
  <si>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</si>
  <si>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</si>
  <si>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</si>
  <si>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</si>
  <si>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</si>
  <si>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</si>
  <si>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</si>
  <si>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</si>
  <si>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</si>
  <si>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</si>
  <si>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</si>
  <si>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</si>
  <si>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</si>
  <si>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</si>
  <si>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</si>
  <si>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</si>
  <si>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</si>
  <si>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</si>
  <si>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</si>
  <si>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</si>
  <si>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</si>
  <si>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</si>
  <si>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</si>
  <si>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</si>
  <si>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</si>
  <si>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</si>
  <si>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</si>
  <si>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</si>
  <si>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</si>
  <si>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</si>
  <si>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</si>
  <si>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</si>
  <si>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</si>
  <si>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</si>
  <si>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</si>
  <si>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</si>
  <si>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</si>
  <si>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</si>
  <si>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</si>
  <si>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</si>
  <si>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</si>
  <si>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</si>
  <si>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</si>
  <si>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</si>
  <si>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</si>
  <si>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</si>
  <si>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</si>
  <si>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</si>
  <si>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</si>
  <si>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</si>
  <si>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</si>
  <si>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</si>
  <si>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</si>
  <si>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</si>
  <si>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</si>
  <si>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</si>
  <si>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</si>
  <si>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</si>
  <si>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</si>
  <si>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</si>
  <si>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</si>
  <si>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</si>
  <si>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</si>
  <si>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</si>
  <si>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</si>
  <si>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</si>
  <si>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</si>
  <si>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</si>
  <si>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</si>
  <si>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</si>
  <si>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</si>
  <si>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</si>
  <si>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</si>
  <si>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</si>
  <si>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</si>
  <si>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</si>
  <si>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</si>
  <si>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</si>
  <si>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</si>
  <si>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</si>
  <si>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</si>
  <si>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</si>
  <si>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</si>
  <si>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</si>
  <si>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</si>
  <si>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</si>
  <si>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</si>
  <si>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</si>
  <si>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</si>
  <si>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</si>
  <si>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</si>
  <si>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</si>
  <si>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</si>
  <si>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</si>
  <si>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</si>
  <si>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</si>
  <si>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</si>
  <si>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</si>
  <si>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</si>
  <si>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</si>
  <si>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</si>
  <si>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</si>
  <si>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</si>
  <si>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</si>
  <si>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</si>
  <si>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</si>
  <si>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</si>
  <si>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</si>
  <si>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</si>
  <si>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</si>
  <si>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</si>
  <si>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</si>
  <si>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</si>
  <si>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</si>
  <si>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</si>
  <si>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</si>
  <si>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</si>
  <si>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</si>
  <si>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</si>
  <si>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</si>
  <si>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</si>
  <si>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</si>
  <si>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</si>
  <si>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</si>
  <si>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</si>
  <si>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</si>
  <si>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</si>
  <si>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</si>
  <si>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</si>
  <si>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</si>
  <si>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</si>
  <si>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</si>
  <si>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</si>
  <si>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</si>
  <si>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</si>
  <si>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</si>
  <si>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</si>
  <si>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</si>
  <si>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</si>
  <si>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</si>
  <si>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</si>
  <si>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</si>
  <si>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</si>
  <si>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</si>
  <si>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</si>
  <si>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</si>
  <si>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</si>
  <si>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</si>
  <si>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</si>
  <si>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</si>
  <si>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</si>
  <si>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</si>
  <si>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</si>
  <si>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</si>
  <si>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</si>
  <si>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</si>
  <si>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</si>
  <si>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</si>
  <si>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</si>
  <si>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</si>
  <si>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</si>
  <si>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</si>
  <si>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</si>
  <si>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</si>
  <si>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</si>
  <si>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</si>
  <si>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</si>
  <si>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</si>
  <si>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</si>
  <si>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</si>
  <si>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</si>
  <si>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</si>
  <si>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</si>
  <si>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</si>
  <si>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</si>
  <si>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</si>
  <si>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</si>
  <si>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</si>
  <si>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</si>
  <si>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</si>
  <si>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</si>
  <si>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</si>
  <si>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</si>
  <si>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</si>
  <si>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</si>
  <si>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</si>
  <si>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</si>
  <si>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</si>
  <si>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</si>
  <si>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</si>
  <si>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</si>
  <si>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</si>
  <si>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</si>
  <si>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</si>
  <si>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</si>
  <si>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</si>
  <si>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</si>
  <si>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</si>
  <si>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</si>
  <si>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</si>
  <si>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</si>
  <si>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</si>
  <si>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</si>
  <si>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</si>
  <si>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</si>
  <si>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</si>
  <si>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</si>
  <si>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</si>
  <si>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</si>
  <si>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</si>
  <si>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</si>
  <si>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</si>
  <si>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</si>
  <si>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</si>
  <si>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</si>
  <si>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</si>
  <si>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</si>
  <si>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</si>
  <si>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</si>
  <si>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</si>
  <si>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</si>
  <si>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</si>
  <si>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</si>
  <si>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</si>
  <si>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</si>
  <si>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</si>
  <si>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</si>
  <si>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</si>
  <si>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</si>
  <si>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</si>
  <si>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</si>
  <si>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</si>
  <si>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</si>
  <si>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</si>
  <si>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</si>
  <si>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</si>
  <si>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</si>
  <si>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</si>
  <si>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</si>
  <si>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</si>
  <si>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</si>
  <si>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</si>
  <si>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</si>
  <si>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</si>
  <si>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</si>
  <si>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</si>
  <si>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</si>
  <si>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</si>
  <si>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</si>
  <si>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</si>
  <si>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</si>
  <si>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</si>
  <si>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</si>
  <si>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</si>
  <si>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</si>
  <si>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</si>
  <si>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</si>
  <si>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</si>
  <si>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</si>
  <si>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</si>
  <si>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</si>
  <si>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</si>
  <si>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</si>
  <si>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</si>
  <si>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</si>
  <si>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</si>
  <si>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</si>
  <si>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</si>
  <si>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</si>
  <si>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</si>
  <si>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</si>
  <si>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</si>
  <si>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</si>
  <si>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</si>
  <si>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</si>
  <si>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</si>
  <si>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</si>
  <si>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</si>
  <si>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</si>
  <si>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</si>
  <si>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</si>
  <si>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</si>
  <si>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</si>
  <si>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</si>
  <si>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</si>
  <si>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</si>
  <si>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</si>
  <si>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</si>
  <si>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</si>
  <si>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</si>
  <si>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</si>
  <si>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</si>
  <si>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</si>
  <si>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</si>
  <si>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</si>
  <si>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</si>
  <si>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</si>
  <si>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</si>
  <si>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</si>
  <si>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</si>
  <si>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</si>
  <si>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</si>
  <si>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</si>
  <si>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</si>
  <si>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</si>
  <si>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</si>
  <si>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</si>
  <si>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</si>
  <si>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</si>
  <si>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</si>
  <si>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</si>
  <si>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</si>
  <si>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</si>
  <si>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</si>
  <si>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</si>
  <si>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</si>
  <si>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</si>
  <si>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</si>
  <si>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</si>
  <si>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</si>
  <si>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</si>
  <si>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</si>
  <si>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</si>
  <si>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</si>
  <si>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</si>
  <si>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</si>
  <si>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</si>
  <si>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</si>
  <si>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</si>
  <si>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</si>
  <si>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</si>
  <si>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</si>
  <si>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</si>
  <si>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</si>
  <si>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</si>
  <si>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</si>
  <si>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</si>
  <si>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</si>
  <si>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</si>
  <si>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</si>
  <si>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</si>
  <si>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</si>
  <si>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</si>
  <si>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</si>
  <si>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</si>
  <si>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</si>
  <si>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</si>
  <si>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</si>
  <si>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</si>
  <si>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</si>
  <si>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</si>
  <si>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</si>
  <si>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</si>
  <si>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</si>
  <si>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</si>
  <si>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</si>
  <si>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</si>
  <si>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</si>
  <si>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</si>
  <si>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</si>
  <si>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</si>
  <si>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</si>
  <si>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</si>
  <si>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</si>
  <si>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</si>
  <si>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</si>
  <si>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</si>
  <si>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</si>
  <si>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</si>
  <si>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</si>
  <si>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</si>
  <si>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</si>
  <si>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</si>
  <si>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</si>
  <si>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</si>
  <si>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</si>
  <si>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</si>
  <si>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</si>
  <si>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</si>
  <si>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</si>
  <si>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</si>
  <si>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</si>
  <si>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</si>
  <si>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</si>
  <si>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</si>
  <si>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</si>
  <si>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</si>
  <si>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</si>
  <si>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</si>
  <si>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</si>
  <si>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</si>
  <si>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</si>
  <si>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</si>
  <si>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</si>
  <si>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</si>
  <si>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</si>
  <si>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</si>
  <si>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</si>
  <si>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</si>
  <si>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</si>
  <si>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</si>
  <si>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</si>
  <si>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</si>
  <si>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</si>
  <si>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</si>
  <si>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</si>
  <si>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</si>
  <si>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</si>
  <si>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</si>
  <si>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</si>
  <si>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</si>
  <si>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</si>
  <si>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</si>
  <si>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</si>
  <si>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</si>
  <si>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</si>
  <si>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</si>
  <si>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</si>
  <si>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</si>
  <si>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</si>
  <si>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</si>
  <si>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</si>
  <si>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</si>
  <si>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</si>
  <si>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</si>
  <si>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</si>
  <si>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</si>
  <si>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</si>
  <si>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</si>
  <si>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</si>
  <si>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</si>
  <si>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</si>
  <si>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</si>
  <si>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</si>
  <si>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</si>
  <si>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</si>
  <si>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</si>
  <si>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</si>
  <si>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</si>
  <si>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</si>
  <si>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</si>
  <si>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</si>
  <si>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</si>
  <si>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</si>
  <si>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</si>
  <si>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</si>
  <si>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</si>
  <si>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</si>
  <si>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</si>
  <si>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</si>
  <si>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</si>
  <si>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</si>
  <si>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</si>
  <si>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</si>
  <si>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</si>
  <si>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</si>
  <si>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</si>
  <si>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</si>
  <si>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</si>
  <si>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</si>
  <si>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</si>
  <si>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</si>
  <si>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</si>
  <si>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</si>
  <si>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</si>
  <si>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</si>
  <si>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</si>
  <si>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</si>
  <si>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</si>
  <si>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</si>
  <si>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</si>
  <si>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</si>
  <si>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</si>
  <si>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</si>
  <si>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</si>
  <si>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</si>
  <si>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</si>
  <si>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</si>
  <si>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</si>
  <si>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</si>
  <si>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</si>
  <si>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</si>
  <si>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</si>
  <si>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</si>
  <si>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</si>
  <si>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</si>
  <si>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</si>
  <si>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</si>
  <si>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</si>
  <si>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</si>
  <si>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</si>
  <si>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</si>
  <si>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</si>
  <si>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</si>
  <si>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</si>
  <si>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</si>
  <si>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</si>
  <si>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</si>
  <si>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</si>
  <si>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</si>
  <si>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</si>
  <si>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</si>
  <si>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</si>
  <si>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</si>
  <si>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</si>
  <si>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</si>
  <si>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</si>
  <si>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</si>
  <si>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</si>
  <si>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</si>
  <si>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</si>
  <si>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</si>
  <si>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</si>
  <si>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</si>
  <si>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</si>
  <si>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</si>
  <si>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</si>
  <si>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</si>
  <si>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</si>
  <si>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</si>
  <si>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</si>
  <si>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</si>
  <si>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</si>
  <si>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</si>
  <si>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</si>
  <si>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</si>
  <si>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</si>
  <si>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</si>
  <si>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</si>
  <si>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</si>
  <si>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</si>
  <si>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</si>
  <si>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</si>
  <si>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</si>
  <si>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</si>
  <si>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</si>
  <si>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</si>
  <si>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</si>
  <si>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</si>
  <si>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</si>
  <si>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</si>
  <si>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</si>
  <si>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</si>
  <si>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</si>
  <si>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</si>
  <si>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</si>
  <si>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</si>
  <si>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</si>
  <si>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</si>
  <si>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</si>
  <si>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</si>
  <si>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</si>
  <si>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</si>
  <si>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</si>
  <si>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</si>
  <si>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</si>
  <si>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</si>
  <si>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</si>
  <si>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</si>
  <si>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</si>
  <si>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</si>
  <si>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</si>
  <si>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</si>
  <si>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</si>
  <si>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</si>
  <si>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</si>
  <si>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</si>
  <si>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</si>
  <si>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</si>
  <si>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</si>
  <si>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</si>
  <si>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</si>
  <si>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</si>
  <si>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</si>
  <si>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</si>
  <si>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</si>
  <si>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</si>
  <si>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</si>
  <si>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</si>
  <si>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</si>
  <si>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</si>
  <si>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</si>
  <si>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</si>
  <si>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</si>
  <si>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</si>
  <si>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</si>
  <si>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</si>
  <si>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</si>
  <si>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</si>
  <si>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</si>
  <si>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</si>
  <si>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</si>
  <si>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</si>
  <si>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</si>
  <si>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</si>
  <si>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</si>
  <si>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</si>
  <si>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</si>
  <si>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</si>
  <si>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</si>
  <si>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</si>
  <si>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</si>
  <si>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</si>
  <si>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</si>
  <si>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</si>
  <si>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</si>
  <si>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</si>
  <si>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</si>
  <si>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</si>
  <si>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</si>
  <si>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</si>
  <si>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</si>
  <si>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</si>
  <si>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</si>
  <si>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</si>
  <si>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</si>
  <si>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</si>
  <si>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</si>
  <si>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</si>
  <si>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</si>
  <si>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</si>
  <si>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</si>
  <si>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</si>
  <si>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</si>
  <si>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</si>
  <si>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</si>
  <si>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</si>
  <si>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</si>
  <si>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</si>
  <si>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</si>
  <si>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</si>
  <si>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</si>
  <si>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</si>
  <si>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</si>
  <si>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</si>
  <si>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</si>
  <si>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</si>
  <si>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</si>
  <si>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</si>
  <si>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</si>
  <si>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</si>
  <si>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</si>
  <si>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</si>
  <si>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</si>
  <si>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</si>
  <si>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</si>
  <si>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</si>
  <si>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</si>
  <si>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</si>
  <si>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</si>
  <si>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</si>
  <si>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</si>
  <si>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</si>
  <si>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</si>
  <si>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</si>
  <si>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</si>
  <si>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</si>
  <si>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</si>
  <si>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</si>
  <si>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</si>
  <si>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</si>
  <si>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</si>
  <si>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</si>
  <si>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</si>
  <si>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</si>
  <si>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</si>
  <si>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</si>
  <si>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</si>
  <si>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</si>
  <si>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</si>
  <si>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</si>
  <si>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</si>
  <si>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</si>
  <si>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</si>
  <si>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</si>
  <si>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</si>
  <si>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</si>
  <si>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</si>
  <si>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</si>
  <si>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</si>
  <si>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</si>
  <si>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</si>
  <si>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</si>
  <si>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</si>
  <si>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</si>
  <si>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</si>
  <si>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</si>
  <si>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</si>
  <si>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</si>
  <si>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</si>
  <si>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</si>
  <si>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</si>
  <si>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</si>
  <si>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</si>
  <si>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</si>
  <si>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</si>
  <si>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</si>
  <si>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</si>
  <si>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</si>
  <si>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</si>
  <si>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</si>
  <si>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</si>
  <si>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</si>
  <si>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</si>
  <si>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</si>
  <si>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</si>
  <si>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</si>
  <si>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</si>
  <si>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</si>
  <si>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</si>
  <si>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</si>
  <si>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</si>
  <si>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</si>
  <si>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</si>
  <si>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</si>
  <si>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</si>
  <si>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</si>
  <si>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</si>
  <si>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</si>
  <si>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</si>
  <si>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</si>
  <si>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</si>
  <si>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</si>
  <si>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</si>
  <si>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</si>
  <si>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</si>
  <si>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</si>
  <si>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</si>
  <si>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</si>
  <si>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</si>
  <si>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</si>
  <si>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</si>
  <si>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</si>
  <si>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</si>
  <si>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</si>
  <si>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</si>
  <si>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</si>
  <si>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</si>
  <si>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</si>
  <si>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</si>
  <si>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</si>
  <si>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</si>
  <si>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</si>
  <si>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</si>
  <si>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</si>
  <si>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</si>
  <si>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</si>
  <si>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</si>
  <si>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</si>
  <si>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</si>
  <si>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</si>
  <si>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</si>
  <si>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</si>
  <si>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</si>
  <si>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</si>
  <si>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</si>
  <si>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</si>
  <si>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</si>
  <si>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</si>
  <si>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</si>
  <si>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</si>
  <si>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</si>
  <si>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</si>
  <si>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</si>
  <si>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</si>
  <si>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</si>
  <si>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</si>
  <si>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</si>
  <si>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</si>
  <si>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</si>
  <si>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</si>
  <si>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</si>
  <si>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</si>
  <si>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</si>
  <si>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</si>
  <si>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</si>
  <si>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</si>
  <si>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</si>
  <si>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</si>
  <si>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</si>
  <si>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</si>
  <si>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</si>
  <si>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</si>
  <si>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</si>
  <si>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</si>
  <si>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</si>
  <si>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</si>
  <si>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</si>
  <si>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</si>
  <si>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</si>
  <si>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</si>
  <si>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</si>
  <si>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</si>
  <si>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</si>
  <si>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</si>
  <si>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</si>
  <si>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</si>
  <si>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</si>
  <si>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</si>
  <si>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</si>
  <si>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</si>
  <si>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</si>
  <si>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</si>
  <si>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</si>
  <si>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</si>
  <si>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</si>
  <si>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</si>
  <si>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</si>
  <si>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</si>
  <si>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</si>
  <si>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</si>
  <si>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</si>
  <si>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</si>
  <si>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</si>
  <si>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</si>
  <si>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</si>
  <si>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</si>
  <si>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</si>
  <si>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</si>
  <si>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</si>
  <si>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</si>
  <si>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</si>
  <si>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</si>
  <si>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</si>
  <si>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</si>
  <si>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</si>
  <si>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</si>
  <si>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</si>
  <si>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</si>
  <si>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</si>
  <si>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</si>
  <si>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</si>
  <si>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</si>
  <si>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</si>
  <si>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</si>
  <si>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</si>
  <si>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</si>
  <si>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</si>
  <si>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</si>
  <si>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</si>
  <si>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</si>
  <si>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</si>
  <si>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</si>
  <si>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</si>
  <si>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</si>
  <si>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</si>
  <si>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</si>
  <si>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</si>
  <si>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</si>
  <si>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</si>
  <si>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</si>
  <si>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</si>
  <si>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</si>
  <si>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</si>
  <si>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</si>
  <si>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</si>
  <si>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</si>
  <si>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</si>
  <si>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</si>
  <si>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</si>
  <si>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</si>
  <si>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</si>
  <si>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</si>
  <si>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</si>
  <si>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</si>
  <si>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</si>
  <si>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</si>
  <si>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</si>
  <si>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</si>
  <si>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</si>
  <si>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</si>
  <si>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</si>
  <si>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</si>
  <si>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</si>
  <si>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</si>
  <si>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</si>
  <si>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</si>
  <si>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</si>
  <si>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</si>
  <si>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</si>
  <si>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</si>
  <si>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</si>
  <si>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</si>
  <si>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</si>
  <si>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</si>
  <si>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</si>
  <si>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</si>
  <si>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</si>
  <si>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</si>
  <si>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</si>
  <si>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</si>
  <si>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</si>
  <si>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</si>
  <si>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</si>
  <si>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</si>
  <si>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</si>
  <si>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</si>
  <si>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</si>
  <si>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</si>
  <si>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</si>
  <si>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</si>
  <si>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</si>
  <si>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</si>
  <si>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</si>
  <si>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</si>
  <si>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</si>
  <si>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</si>
  <si>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</si>
  <si>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</si>
  <si>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</si>
  <si>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</si>
  <si>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</si>
  <si>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</si>
  <si>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</si>
  <si>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</si>
  <si>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</si>
  <si>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</si>
  <si>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</si>
  <si>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</si>
  <si>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</si>
  <si>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</si>
  <si>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</si>
  <si>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</si>
  <si>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</si>
  <si>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</si>
  <si>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</si>
  <si>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</si>
  <si>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</si>
  <si>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</si>
  <si>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</si>
  <si>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</si>
  <si>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</si>
  <si>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</si>
  <si>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</si>
  <si>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</si>
  <si>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</si>
  <si>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</si>
  <si>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</si>
  <si>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</si>
  <si>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</si>
  <si>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</si>
  <si>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</si>
  <si>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</si>
  <si>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</si>
  <si>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</si>
  <si>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</si>
  <si>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</si>
  <si>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</si>
  <si>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</si>
  <si>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</si>
  <si>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</si>
  <si>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</si>
  <si>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</si>
  <si>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</si>
  <si>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</si>
  <si>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</si>
  <si>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</si>
  <si>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</si>
  <si>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</si>
  <si>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</si>
  <si>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</si>
  <si>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</si>
  <si>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</si>
  <si>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</si>
  <si>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</si>
  <si>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</si>
  <si>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</si>
  <si>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</si>
  <si>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</si>
  <si>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</si>
  <si>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</si>
  <si>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</si>
  <si>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</si>
  <si>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</si>
  <si>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</si>
  <si>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</si>
  <si>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</si>
  <si>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</si>
  <si>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</si>
  <si>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</si>
  <si>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</si>
  <si>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</si>
  <si>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</si>
  <si>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</si>
  <si>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</si>
  <si>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</si>
  <si>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</si>
  <si>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</si>
  <si>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</si>
  <si>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</si>
  <si>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</si>
  <si>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</si>
  <si>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</si>
  <si>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</si>
  <si>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</si>
  <si>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</si>
  <si>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</si>
  <si>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</si>
  <si>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</si>
  <si>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</si>
  <si>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</si>
  <si>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</si>
  <si>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</si>
  <si>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</si>
  <si>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</si>
  <si>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</si>
  <si>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</si>
  <si>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</si>
  <si>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</si>
  <si>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</si>
  <si>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</si>
  <si>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</si>
  <si>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</si>
  <si>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</si>
  <si>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</si>
  <si>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</si>
  <si>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</si>
  <si>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</si>
  <si>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</si>
  <si>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</si>
  <si>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</si>
  <si>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</si>
  <si>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</si>
  <si>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</si>
  <si>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</si>
  <si>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</si>
  <si>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</si>
  <si>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</si>
  <si>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</si>
  <si>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</si>
  <si>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</si>
  <si>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</si>
  <si>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</si>
  <si>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</si>
  <si>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</si>
  <si>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</si>
  <si>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</si>
  <si>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</si>
  <si>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</si>
  <si>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</si>
  <si>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</si>
  <si>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</si>
  <si>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</si>
  <si>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</si>
  <si>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</si>
  <si>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</si>
  <si>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</si>
  <si>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</si>
  <si>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</si>
  <si>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</si>
  <si>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</si>
  <si>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</si>
  <si>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</si>
  <si>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</si>
  <si>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</si>
  <si>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</si>
  <si>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</si>
  <si>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</si>
  <si>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</si>
  <si>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</si>
  <si>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</si>
  <si>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</si>
  <si>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</si>
  <si>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</si>
  <si>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</si>
  <si>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</si>
  <si>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</si>
  <si>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</si>
  <si>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</si>
  <si>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</si>
  <si>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</si>
  <si>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</si>
  <si>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</si>
  <si>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</si>
  <si>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</si>
  <si>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</si>
  <si>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</si>
  <si>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</si>
  <si>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</si>
  <si>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</si>
  <si>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</si>
  <si>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</si>
  <si>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</si>
  <si>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</si>
  <si>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</si>
  <si>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</si>
  <si>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</si>
  <si>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</si>
  <si>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</si>
  <si>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</si>
  <si>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</si>
  <si>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</si>
  <si>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</si>
  <si>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</si>
  <si>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</si>
  <si>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</si>
  <si>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</si>
  <si>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</si>
  <si>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</si>
  <si>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</si>
  <si>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</si>
  <si>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</si>
  <si>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</si>
  <si>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</si>
  <si>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</si>
  <si>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</si>
  <si>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</si>
  <si>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</si>
  <si>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</si>
  <si>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</si>
  <si>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</si>
  <si>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</si>
  <si>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</si>
  <si>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</si>
  <si>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</si>
  <si>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</si>
  <si>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</si>
  <si>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</si>
  <si>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</si>
  <si>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</si>
  <si>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</si>
  <si>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</si>
  <si>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</si>
  <si>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</si>
  <si>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</si>
  <si>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</si>
  <si>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</si>
  <si>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</si>
  <si>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</si>
  <si>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</si>
  <si>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</si>
  <si>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</si>
  <si>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</si>
  <si>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</si>
  <si>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</si>
  <si>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</si>
  <si>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</si>
  <si>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</si>
  <si>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</si>
  <si>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</si>
  <si>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</si>
  <si>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</si>
  <si>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</si>
  <si>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</si>
  <si>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</si>
  <si>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</si>
  <si>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</si>
  <si>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</si>
  <si>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</si>
  <si>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</si>
  <si>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</si>
  <si>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</si>
  <si>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</si>
  <si>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</si>
  <si>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</si>
  <si>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</si>
  <si>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</si>
  <si>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</si>
  <si>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</si>
  <si>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</si>
  <si>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</si>
  <si>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</si>
  <si>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</si>
  <si>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</si>
  <si>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</si>
  <si>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</si>
  <si>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</si>
  <si>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</si>
  <si>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</si>
  <si>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</si>
  <si>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</si>
  <si>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</si>
  <si>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</si>
  <si>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</si>
  <si>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</si>
  <si>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</si>
  <si>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</si>
  <si>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</si>
  <si>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</si>
  <si>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</si>
  <si>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</si>
  <si>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</si>
  <si>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</si>
  <si>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</si>
  <si>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</si>
  <si>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</si>
  <si>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</si>
  <si>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</si>
  <si>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</si>
  <si>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</si>
  <si>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</si>
  <si>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</si>
  <si>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</si>
  <si>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</si>
  <si>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</si>
  <si>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</si>
  <si>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</si>
  <si>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</si>
  <si>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</si>
  <si>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</si>
  <si>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</si>
  <si>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</si>
  <si>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</si>
  <si>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</si>
  <si>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</si>
  <si>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</si>
  <si>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</si>
  <si>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</si>
  <si>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</si>
  <si>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</si>
  <si>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</si>
  <si>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</si>
  <si>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</si>
  <si>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</si>
  <si>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</si>
  <si>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</si>
  <si>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</si>
  <si>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</si>
  <si>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</si>
  <si>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</si>
  <si>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</si>
  <si>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</si>
  <si>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</si>
  <si>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</si>
  <si>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</si>
  <si>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</si>
  <si>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</si>
  <si>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</si>
  <si>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</si>
  <si>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</si>
  <si>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</si>
  <si>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</si>
  <si>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</si>
  <si>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</si>
  <si>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</si>
  <si>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</si>
  <si>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</si>
  <si>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</si>
  <si>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</si>
  <si>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</si>
  <si>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</si>
  <si>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</si>
  <si>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</si>
  <si>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</si>
  <si>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</si>
  <si>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</si>
  <si>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</si>
  <si>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</si>
  <si>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</si>
  <si>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</si>
  <si>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</si>
  <si>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</si>
  <si>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</si>
  <si>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</si>
  <si>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</si>
  <si>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</si>
  <si>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</si>
  <si>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</si>
  <si>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</si>
  <si>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</si>
  <si>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</si>
  <si>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</si>
  <si>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</si>
  <si>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</si>
  <si>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</si>
  <si>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</si>
  <si>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</si>
  <si>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</si>
  <si>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</si>
  <si>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</si>
  <si>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</si>
  <si>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</si>
  <si>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</si>
  <si>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</si>
  <si>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</si>
  <si>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</si>
  <si>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</si>
  <si>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</si>
  <si>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</si>
  <si>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</si>
  <si>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</si>
  <si>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</si>
  <si>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</si>
  <si>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</si>
  <si>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</si>
  <si>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</si>
  <si>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</si>
  <si>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</si>
  <si>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</si>
  <si>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</si>
  <si>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</si>
  <si>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</si>
  <si>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</si>
  <si>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</si>
  <si>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</si>
  <si>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</si>
  <si>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</si>
  <si>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</si>
  <si>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</si>
  <si>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</si>
  <si>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</si>
  <si>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</si>
  <si>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</si>
  <si>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</si>
  <si>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</si>
  <si>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</si>
  <si>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</si>
  <si>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</si>
  <si>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</si>
  <si>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</si>
  <si>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</si>
  <si>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</si>
  <si>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</si>
  <si>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</si>
  <si>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</si>
  <si>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</si>
  <si>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</si>
  <si>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</si>
  <si>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</si>
  <si>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</si>
  <si>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</si>
  <si>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</si>
  <si>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</si>
  <si>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</si>
  <si>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</si>
  <si>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</si>
  <si>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</si>
  <si>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</si>
  <si>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</si>
  <si>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</si>
  <si>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</si>
  <si>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</si>
  <si>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</si>
  <si>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</si>
  <si>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</si>
  <si>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</si>
  <si>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</si>
  <si>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</si>
  <si>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</si>
  <si>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</si>
  <si>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</si>
  <si>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</si>
  <si>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</si>
  <si>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</si>
  <si>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</si>
  <si>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</si>
  <si>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</si>
  <si>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</si>
  <si>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</si>
  <si>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</si>
  <si>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</si>
  <si>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</si>
  <si>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</si>
  <si>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</si>
  <si>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</si>
  <si>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</si>
  <si>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</si>
  <si>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</si>
  <si>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</si>
  <si>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</si>
  <si>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</si>
  <si>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</si>
  <si>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</si>
  <si>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</si>
  <si>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</si>
  <si>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</si>
  <si>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</si>
  <si>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</si>
  <si>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</si>
  <si>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</si>
  <si>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</si>
  <si>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</si>
  <si>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</si>
  <si>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</si>
  <si>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</si>
  <si>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</si>
  <si>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</si>
  <si>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</si>
  <si>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</si>
  <si>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</si>
  <si>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</si>
  <si>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</si>
  <si>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</si>
  <si>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</si>
  <si>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</si>
  <si>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</si>
  <si>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</si>
  <si>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</si>
  <si>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</si>
  <si>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</si>
  <si>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</si>
  <si>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</si>
  <si>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</si>
  <si>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</si>
  <si>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</si>
  <si>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</si>
  <si>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</si>
  <si>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</si>
  <si>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</si>
  <si>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</si>
  <si>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</si>
  <si>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</si>
  <si>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</si>
  <si>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</si>
  <si>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</si>
  <si>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</si>
  <si>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</si>
  <si>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</si>
  <si>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</si>
  <si>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</si>
  <si>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</si>
  <si>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</si>
  <si>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</si>
  <si>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</si>
  <si>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</si>
  <si>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</si>
  <si>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</si>
  <si>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</si>
  <si>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</si>
  <si>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</si>
  <si>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</si>
  <si>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</si>
  <si>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</si>
  <si>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</si>
  <si>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</si>
  <si>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</si>
  <si>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</si>
  <si>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</si>
  <si>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</si>
  <si>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</si>
  <si>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</si>
  <si>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</si>
  <si>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</si>
  <si>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</si>
  <si>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</si>
  <si>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</si>
  <si>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</si>
  <si>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</si>
  <si>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</si>
  <si>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</si>
  <si>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</si>
  <si>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</si>
  <si>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</si>
  <si>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</si>
  <si>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</si>
  <si>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</si>
  <si>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</si>
  <si>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</si>
  <si>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</si>
  <si>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</si>
  <si>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</si>
  <si>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</si>
  <si>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</si>
  <si>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</si>
  <si>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</si>
  <si>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</si>
  <si>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</si>
  <si>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</si>
  <si>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</si>
  <si>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</si>
  <si>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</si>
  <si>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</si>
  <si>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</si>
  <si>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</si>
  <si>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</si>
  <si>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</si>
  <si>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</si>
  <si>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</si>
  <si>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</si>
  <si>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</si>
  <si>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</si>
  <si>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</si>
  <si>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</si>
  <si>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</si>
  <si>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</si>
  <si>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</si>
  <si>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</si>
  <si>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</si>
  <si>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</si>
  <si>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</si>
  <si>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</si>
  <si>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</si>
  <si>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</si>
  <si>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</si>
  <si>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</si>
  <si>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</si>
  <si>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</si>
  <si>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</si>
  <si>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</si>
  <si>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</si>
  <si>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</si>
  <si>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</si>
  <si>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</si>
  <si>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</si>
  <si>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</si>
  <si>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</si>
  <si>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</si>
  <si>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</si>
  <si>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</si>
  <si>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</si>
  <si>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</si>
  <si>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</si>
  <si>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</si>
  <si>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</si>
  <si>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</si>
  <si>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</si>
  <si>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</si>
  <si>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</si>
  <si>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</si>
  <si>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</si>
  <si>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</si>
  <si>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</si>
  <si>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</si>
  <si>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</si>
  <si>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</si>
  <si>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</si>
  <si>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</si>
  <si>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</si>
  <si>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</si>
  <si>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</si>
  <si>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</si>
  <si>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</si>
  <si>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</si>
  <si>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</si>
  <si>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</si>
  <si>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</si>
  <si>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</si>
  <si>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</si>
  <si>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</si>
  <si>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</si>
  <si>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</si>
  <si>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</si>
  <si>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</si>
  <si>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</si>
  <si>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</si>
  <si>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</si>
  <si>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</si>
  <si>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</si>
  <si>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</si>
  <si>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</si>
  <si>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</si>
  <si>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</si>
  <si>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</si>
  <si>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</si>
  <si>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</si>
  <si>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</si>
  <si>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</si>
  <si>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</si>
  <si>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</si>
  <si>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</si>
  <si>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</si>
  <si>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</si>
  <si>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</si>
  <si>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</si>
  <si>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</si>
  <si>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</si>
  <si>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</si>
  <si>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</si>
  <si>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</si>
  <si>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</si>
  <si>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</si>
  <si>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</si>
  <si>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</si>
  <si>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</si>
  <si>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</si>
  <si>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</si>
  <si>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</si>
  <si>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</si>
  <si>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</si>
  <si>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</si>
  <si>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</si>
  <si>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</si>
  <si>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</si>
  <si>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</si>
  <si>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</si>
  <si>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</si>
  <si>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</si>
  <si>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</si>
  <si>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</si>
  <si>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</si>
  <si>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</si>
  <si>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</si>
  <si>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</si>
  <si>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</si>
  <si>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</si>
  <si>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</si>
  <si>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</si>
  <si>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</si>
  <si>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</si>
  <si>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</si>
  <si>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</si>
  <si>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</si>
  <si>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</si>
  <si>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</si>
  <si>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</si>
  <si>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</si>
  <si>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</si>
  <si>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</si>
  <si>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</si>
  <si>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</si>
  <si>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</si>
  <si>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</si>
  <si>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</si>
  <si>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</si>
  <si>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</si>
  <si>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</si>
  <si>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</si>
  <si>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</si>
  <si>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</si>
  <si>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</si>
  <si>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</si>
  <si>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</si>
  <si>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</si>
  <si>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</si>
  <si>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</si>
  <si>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</si>
  <si>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</si>
  <si>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</si>
  <si>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</si>
  <si>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</si>
  <si>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</si>
  <si>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</si>
  <si>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</si>
  <si>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</si>
  <si>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</si>
  <si>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</si>
  <si>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</si>
  <si>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</si>
  <si>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</si>
  <si>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</si>
  <si>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</si>
  <si>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</si>
  <si>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</si>
  <si>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</si>
  <si>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</si>
  <si>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</si>
  <si>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</si>
  <si>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</si>
  <si>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</si>
  <si>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</si>
  <si>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</si>
  <si>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</si>
  <si>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</si>
  <si>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</si>
  <si>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</si>
  <si>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</si>
  <si>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</si>
  <si>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</si>
  <si>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</si>
  <si>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</si>
  <si>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</si>
  <si>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</si>
  <si>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</si>
  <si>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</si>
  <si>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</si>
  <si>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</si>
  <si>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</si>
  <si>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</si>
  <si>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</si>
  <si>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</si>
  <si>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</si>
  <si>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</si>
  <si>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</si>
  <si>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</si>
  <si>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</si>
  <si>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</si>
  <si>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</si>
  <si>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</si>
  <si>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</si>
  <si>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</si>
  <si>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</si>
  <si>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</si>
  <si>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</si>
  <si>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</si>
  <si>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</si>
  <si>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</si>
  <si>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</si>
  <si>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</si>
  <si>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</si>
  <si>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</si>
  <si>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</si>
  <si>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</si>
  <si>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</si>
  <si>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</si>
  <si>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</si>
  <si>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</si>
  <si>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</si>
  <si>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</si>
  <si>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</si>
  <si>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</si>
  <si>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</si>
  <si>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</si>
  <si>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</si>
  <si>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</si>
  <si>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</si>
  <si>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</si>
  <si>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</si>
  <si>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</si>
  <si>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</si>
  <si>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</si>
  <si>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</si>
  <si>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</si>
  <si>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</si>
  <si>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</si>
  <si>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</si>
  <si>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</si>
  <si>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</si>
  <si>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</si>
  <si>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</si>
  <si>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</si>
  <si>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</si>
  <si>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</si>
  <si>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</si>
  <si>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</si>
  <si>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</si>
  <si>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</si>
  <si>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</si>
  <si>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</si>
  <si>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</si>
  <si>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</si>
  <si>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</si>
  <si>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</si>
  <si>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</si>
  <si>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</si>
  <si>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</si>
  <si>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</si>
  <si>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</si>
  <si>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</si>
  <si>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</si>
  <si>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</si>
  <si>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</si>
  <si>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</si>
  <si>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</si>
  <si>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</si>
  <si>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</si>
  <si>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</si>
  <si>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</si>
  <si>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</si>
  <si>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</si>
  <si>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</si>
  <si>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</si>
  <si>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</si>
  <si>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</si>
  <si>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</si>
  <si>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</si>
  <si>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</si>
  <si>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</si>
  <si>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</si>
  <si>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</si>
  <si>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</si>
  <si>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</si>
  <si>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</si>
  <si>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</si>
  <si>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</si>
  <si>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</si>
  <si>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</si>
  <si>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</si>
  <si>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</si>
  <si>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</si>
  <si>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</si>
  <si>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</si>
  <si>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</si>
  <si>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</si>
  <si>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</si>
  <si>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</si>
  <si>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</si>
  <si>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</si>
  <si>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</si>
  <si>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</si>
  <si>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</si>
  <si>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</si>
  <si>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</si>
  <si>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</si>
  <si>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</si>
  <si>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</si>
  <si>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</si>
  <si>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</si>
  <si>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</si>
  <si>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</si>
  <si>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</si>
  <si>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</si>
  <si>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</si>
  <si>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</si>
  <si>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</si>
  <si>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</si>
  <si>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</si>
  <si>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</si>
  <si>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</si>
  <si>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</si>
  <si>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</si>
  <si>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</si>
  <si>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</si>
  <si>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</si>
  <si>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</si>
  <si>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</si>
  <si>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</si>
  <si>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</si>
  <si>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</si>
  <si>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</si>
  <si>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</si>
  <si>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</si>
  <si>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</si>
  <si>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</si>
  <si>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</si>
  <si>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</si>
  <si>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</si>
  <si>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</si>
  <si>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</si>
  <si>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</si>
  <si>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</si>
  <si>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</si>
  <si>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</si>
  <si>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</si>
  <si>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</si>
  <si>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</si>
  <si>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</si>
  <si>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</si>
  <si>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</si>
  <si>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</si>
  <si>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</si>
  <si>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</si>
  <si>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</si>
  <si>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</si>
  <si>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</si>
  <si>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</si>
  <si>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</si>
  <si>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</si>
  <si>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</si>
  <si>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</si>
  <si>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</si>
  <si>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</si>
  <si>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</si>
  <si>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</si>
  <si>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</si>
  <si>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</si>
  <si>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</si>
  <si>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</si>
  <si>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</si>
  <si>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</si>
  <si>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</si>
  <si>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</si>
  <si>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</si>
  <si>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</si>
  <si>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</si>
  <si>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</si>
  <si>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</si>
  <si>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</si>
  <si>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</si>
  <si>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</si>
  <si>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</si>
  <si>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</si>
  <si>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</si>
  <si>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</si>
  <si>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</si>
  <si>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</si>
  <si>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</si>
  <si>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</si>
  <si>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</si>
  <si>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</si>
  <si>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</si>
  <si>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</si>
  <si>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</si>
  <si>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</si>
  <si>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</si>
  <si>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</si>
  <si>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</si>
  <si>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</si>
  <si>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</si>
  <si>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</si>
  <si>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</si>
  <si>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</si>
  <si>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</si>
  <si>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</si>
  <si>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</si>
  <si>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</si>
  <si>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</si>
  <si>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</si>
  <si>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</si>
  <si>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</si>
  <si>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</si>
  <si>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</si>
  <si>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</si>
  <si>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</si>
  <si>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</si>
  <si>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</si>
  <si>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</si>
  <si>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</si>
  <si>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</si>
  <si>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</si>
  <si>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</si>
  <si>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</si>
  <si>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</si>
  <si>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</si>
  <si>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</si>
  <si>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</si>
  <si>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</si>
  <si>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</si>
  <si>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</si>
  <si>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</si>
  <si>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</si>
  <si>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</si>
  <si>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</si>
  <si>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</si>
  <si>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</si>
  <si>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</si>
  <si>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</si>
  <si>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</si>
  <si>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</si>
  <si>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</si>
  <si>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</si>
  <si>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</si>
  <si>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</si>
  <si>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</si>
  <si>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</si>
  <si>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</si>
  <si>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</si>
  <si>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</si>
  <si>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</si>
  <si>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</si>
  <si>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</si>
  <si>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</si>
  <si>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</si>
  <si>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</si>
  <si>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</si>
  <si>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</si>
  <si>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</si>
  <si>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</si>
  <si>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</si>
  <si>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</si>
  <si>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</si>
  <si>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</si>
  <si>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</si>
  <si>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</si>
  <si>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</si>
  <si>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</si>
  <si>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</si>
  <si>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</si>
  <si>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</si>
  <si>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</si>
  <si>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</si>
  <si>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</si>
  <si>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</si>
  <si>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</si>
  <si>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</si>
  <si>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</si>
  <si>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</si>
  <si>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</si>
  <si>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</si>
  <si>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</si>
  <si>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</si>
  <si>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</si>
  <si>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</si>
  <si>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</si>
  <si>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</si>
  <si>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</si>
  <si>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</si>
  <si>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</si>
  <si>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</si>
  <si>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</si>
  <si>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</si>
  <si>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</si>
  <si>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</si>
  <si>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</si>
  <si>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</si>
  <si>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</si>
  <si>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</si>
  <si>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</si>
  <si>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</si>
  <si>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</si>
  <si>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</si>
  <si>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</si>
  <si>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</si>
  <si>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</si>
  <si>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</si>
  <si>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</si>
  <si>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</si>
  <si>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</si>
  <si>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</si>
  <si>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</si>
  <si>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</si>
  <si>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</si>
  <si>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</si>
  <si>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</si>
  <si>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</si>
  <si>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</si>
  <si>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</si>
  <si>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</si>
  <si>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</si>
  <si>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</si>
  <si>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</si>
  <si>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</si>
  <si>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</si>
  <si>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</si>
  <si>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</si>
  <si>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</si>
  <si>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</si>
  <si>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</si>
  <si>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</si>
  <si>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</si>
  <si>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</si>
  <si>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</si>
  <si>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</si>
  <si>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</si>
  <si>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</si>
  <si>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</si>
  <si>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</si>
  <si>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</si>
  <si>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</si>
  <si>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</si>
  <si>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</si>
  <si>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</si>
  <si>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</si>
  <si>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</si>
  <si>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</si>
  <si>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</si>
  <si>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</si>
  <si>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</si>
  <si>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</si>
  <si>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</si>
  <si>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</si>
  <si>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</si>
  <si>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</si>
  <si>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</si>
  <si>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</si>
  <si>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</si>
  <si>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</si>
  <si>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</si>
  <si>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</si>
  <si>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</si>
  <si>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</si>
  <si>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</si>
  <si>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</si>
  <si>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</si>
  <si>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</si>
  <si>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</si>
  <si>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</si>
  <si>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</si>
  <si>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</si>
  <si>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</si>
  <si>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</si>
  <si>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</si>
  <si>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</si>
  <si>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</si>
  <si>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</si>
  <si>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</si>
  <si>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</si>
  <si>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</si>
  <si>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</si>
  <si>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</si>
  <si>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</si>
  <si>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</si>
  <si>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</si>
  <si>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</si>
  <si>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</si>
  <si>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</si>
  <si>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</si>
  <si>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</si>
  <si>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</si>
  <si>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</si>
  <si>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</si>
  <si>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</si>
  <si>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</si>
  <si>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</si>
  <si>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</si>
  <si>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</si>
  <si>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</si>
  <si>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</si>
  <si>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</si>
  <si>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</si>
  <si>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</si>
  <si>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</si>
  <si>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</si>
  <si>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</si>
  <si>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</si>
  <si>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</si>
  <si>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</si>
  <si>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</si>
  <si>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</si>
  <si>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</si>
  <si>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</si>
  <si>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</si>
  <si>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</si>
  <si>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</si>
  <si>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</si>
  <si>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</si>
  <si>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</si>
  <si>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</si>
  <si>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</si>
  <si>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</si>
  <si>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</si>
  <si>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</si>
  <si>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</si>
  <si>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</si>
  <si>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</si>
  <si>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</si>
  <si>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</si>
  <si>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</si>
  <si>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</si>
  <si>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</si>
  <si>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</si>
  <si>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</si>
  <si>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</si>
  <si>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</si>
  <si>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</si>
  <si>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</si>
  <si>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</si>
  <si>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</si>
  <si>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</si>
  <si>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</si>
  <si>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</si>
  <si>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</si>
  <si>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</si>
  <si>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</si>
  <si>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</si>
  <si>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</si>
  <si>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</si>
  <si>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</si>
  <si>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</si>
  <si>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</si>
  <si>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</si>
  <si>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</si>
  <si>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</si>
  <si>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</si>
  <si>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</si>
  <si>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</si>
  <si>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</si>
  <si>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</si>
  <si>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</si>
  <si>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</si>
  <si>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</si>
  <si>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</si>
  <si>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</si>
  <si>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</si>
  <si>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</si>
  <si>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</si>
  <si>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</si>
  <si>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</si>
  <si>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</si>
  <si>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</si>
  <si>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</si>
  <si>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</si>
  <si>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</si>
  <si>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</si>
  <si>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</si>
  <si>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</si>
  <si>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</si>
  <si>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</si>
  <si>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</si>
  <si>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</si>
  <si>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</si>
  <si>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</si>
  <si>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</si>
  <si>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</si>
  <si>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</si>
  <si>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</si>
  <si>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</si>
  <si>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</si>
  <si>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</si>
  <si>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</si>
  <si>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</si>
  <si>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</si>
  <si>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</si>
  <si>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</si>
  <si>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</si>
  <si>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</si>
  <si>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</si>
  <si>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</si>
  <si>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</si>
  <si>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</si>
  <si>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</si>
  <si>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</si>
  <si>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</si>
  <si>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</si>
  <si>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</si>
  <si>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</si>
  <si>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</si>
  <si>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</si>
  <si>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</si>
  <si>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</si>
  <si>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</si>
  <si>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</si>
  <si>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</si>
  <si>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</si>
  <si>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</si>
  <si>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</si>
  <si>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</si>
  <si>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</si>
  <si>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</si>
  <si>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</si>
  <si>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</si>
  <si>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</si>
  <si>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</si>
  <si>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</si>
  <si>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</si>
  <si>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</si>
  <si>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</si>
  <si>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</si>
  <si>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</si>
  <si>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</si>
  <si>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</si>
  <si>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</si>
  <si>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</si>
  <si>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</si>
  <si>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</si>
  <si>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</si>
  <si>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</si>
  <si>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</si>
  <si>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</si>
  <si>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</si>
  <si>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</si>
  <si>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</si>
  <si>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</si>
  <si>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</si>
  <si>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</si>
  <si>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</si>
  <si>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</si>
  <si>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</si>
  <si>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</si>
  <si>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</si>
  <si>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</si>
  <si>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</si>
  <si>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</si>
  <si>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</si>
  <si>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</si>
  <si>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</si>
  <si>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</si>
  <si>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</si>
  <si>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</si>
  <si>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</si>
  <si>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</si>
  <si>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</si>
  <si>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</si>
  <si>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</si>
  <si>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</si>
  <si>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</si>
  <si>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</si>
  <si>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</si>
  <si>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</si>
  <si>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</si>
  <si>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</si>
  <si>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</si>
  <si>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</si>
  <si>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</si>
  <si>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</si>
  <si>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</si>
  <si>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</si>
  <si>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</si>
  <si>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</si>
  <si>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</si>
  <si>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</si>
  <si>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</si>
  <si>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</si>
  <si>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</si>
  <si>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</si>
  <si>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</si>
  <si>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</si>
  <si>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</si>
  <si>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</si>
  <si>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</si>
  <si>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</si>
  <si>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</si>
  <si>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</si>
  <si>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</si>
  <si>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</si>
  <si>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</si>
  <si>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</si>
  <si>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</si>
  <si>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</si>
  <si>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</si>
  <si>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</si>
  <si>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</si>
  <si>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</si>
  <si>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</si>
  <si>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</si>
  <si>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</si>
  <si>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</si>
  <si>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</si>
  <si>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</si>
  <si>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</si>
  <si>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</si>
  <si>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</si>
  <si>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</si>
  <si>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</si>
  <si>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</si>
  <si>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</si>
  <si>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</si>
  <si>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</si>
  <si>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</si>
  <si>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</si>
  <si>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</si>
  <si>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</si>
  <si>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</si>
  <si>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</si>
  <si>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</si>
  <si>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</si>
  <si>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</si>
  <si>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</si>
  <si>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</si>
  <si>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</si>
  <si>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</si>
  <si>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</si>
  <si>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</si>
  <si>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</si>
  <si>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</si>
  <si>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</si>
  <si>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</si>
  <si>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</si>
  <si>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</si>
  <si>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</si>
  <si>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</si>
  <si>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</si>
  <si>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</si>
  <si>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</si>
  <si>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</si>
  <si>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</si>
  <si>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</si>
  <si>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</si>
  <si>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</si>
  <si>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</si>
  <si>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</si>
  <si>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</si>
  <si>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</si>
  <si>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</si>
  <si>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</si>
  <si>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</si>
  <si>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</si>
  <si>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</si>
  <si>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</si>
  <si>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</si>
  <si>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</si>
  <si>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</si>
  <si>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</si>
  <si>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</si>
  <si>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</si>
  <si>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</si>
  <si>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</si>
  <si>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</si>
  <si>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</si>
  <si>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</si>
  <si>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</si>
  <si>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</si>
  <si>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</si>
  <si>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</si>
  <si>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</si>
  <si>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</si>
  <si>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</si>
  <si>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</si>
  <si>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</si>
  <si>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</si>
  <si>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</si>
  <si>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</si>
  <si>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</si>
  <si>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</si>
  <si>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</si>
  <si>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</si>
  <si>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</si>
  <si>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</si>
  <si>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</si>
  <si>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</si>
  <si>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</si>
  <si>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</si>
  <si>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</si>
  <si>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</si>
  <si>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</si>
  <si>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</si>
  <si>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</si>
  <si>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</si>
  <si>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</si>
  <si>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</si>
  <si>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</si>
  <si>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</si>
  <si>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</si>
  <si>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</si>
  <si>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</si>
  <si>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</si>
  <si>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</si>
  <si>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</si>
  <si>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</si>
  <si>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</si>
  <si>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</si>
  <si>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</si>
  <si>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</si>
  <si>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</si>
  <si>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</si>
  <si>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</si>
  <si>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</si>
  <si>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</si>
  <si>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</si>
  <si>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</si>
  <si>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</si>
  <si>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</si>
  <si>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</si>
  <si>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</si>
  <si>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</si>
  <si>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</si>
  <si>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</si>
  <si>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</si>
  <si>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</si>
  <si>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</si>
  <si>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</si>
  <si>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</si>
  <si>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</si>
  <si>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</si>
  <si>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</si>
  <si>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</si>
  <si>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</si>
  <si>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</si>
  <si>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</si>
  <si>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</si>
  <si>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</si>
  <si>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</si>
  <si>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</si>
  <si>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</si>
  <si>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</si>
  <si>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</si>
  <si>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</si>
  <si>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</si>
  <si>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</si>
  <si>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</si>
  <si>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</si>
  <si>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</si>
  <si>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</si>
  <si>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</si>
  <si>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</si>
  <si>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</si>
  <si>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</si>
  <si>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</si>
  <si>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</si>
  <si>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</si>
  <si>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</si>
  <si>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</si>
  <si>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</si>
  <si>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</si>
  <si>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</si>
  <si>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</si>
  <si>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</si>
  <si>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</si>
  <si>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</si>
  <si>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</si>
  <si>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</si>
  <si>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</si>
  <si>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</si>
  <si>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</si>
  <si>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</si>
  <si>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</si>
  <si>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</si>
  <si>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</si>
  <si>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</si>
  <si>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</si>
  <si>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</si>
  <si>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</si>
  <si>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</si>
  <si>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</si>
  <si>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</si>
  <si>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</si>
  <si>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</si>
  <si>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</si>
  <si>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</si>
  <si>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</si>
  <si>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</si>
  <si>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</si>
  <si>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</si>
  <si>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</si>
  <si>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</si>
  <si>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</si>
  <si>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</si>
  <si>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</si>
  <si>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</si>
  <si>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</si>
  <si>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</si>
  <si>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</si>
  <si>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</si>
  <si>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</si>
  <si>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</si>
  <si>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</si>
  <si>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</si>
  <si>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</si>
  <si>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</si>
  <si>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</si>
  <si>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</si>
  <si>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</si>
  <si>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</si>
  <si>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</si>
  <si>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</si>
  <si>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</si>
  <si>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</si>
  <si>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</si>
  <si>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</si>
  <si>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</si>
  <si>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</si>
  <si>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</si>
  <si>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</si>
  <si>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</si>
  <si>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</si>
  <si>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</si>
  <si>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</si>
  <si>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</si>
  <si>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</si>
  <si>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</si>
  <si>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</si>
  <si>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</si>
  <si>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</si>
  <si>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</si>
  <si>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</si>
  <si>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</si>
  <si>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</si>
  <si>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</si>
  <si>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</si>
  <si>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</si>
  <si>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</si>
  <si>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</si>
  <si>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</si>
  <si>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</si>
  <si>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</si>
  <si>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</si>
  <si>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</si>
  <si>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</si>
  <si>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</si>
  <si>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</si>
  <si>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</si>
  <si>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</si>
  <si>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</si>
  <si>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</si>
  <si>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</si>
  <si>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</si>
  <si>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</si>
  <si>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</si>
  <si>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</si>
  <si>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</si>
  <si>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</si>
  <si>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</si>
  <si>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</si>
  <si>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</si>
  <si>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</si>
  <si>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</si>
  <si>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</si>
  <si>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</si>
  <si>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</si>
  <si>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</si>
  <si>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</si>
  <si>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</si>
  <si>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</si>
  <si>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</si>
  <si>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</si>
  <si>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</si>
  <si>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</si>
  <si>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</si>
  <si>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</si>
  <si>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</si>
  <si>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</si>
  <si>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</si>
  <si>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</si>
  <si>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</si>
  <si>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</si>
  <si>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</si>
  <si>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</si>
  <si>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</si>
  <si>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</si>
  <si>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</si>
  <si>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</si>
  <si>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</si>
  <si>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</si>
  <si>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</si>
  <si>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</si>
  <si>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</si>
  <si>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</si>
  <si>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</si>
  <si>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</si>
  <si>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</si>
  <si>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</si>
  <si>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</si>
  <si>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</si>
  <si>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</si>
  <si>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</si>
  <si>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</si>
  <si>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</si>
  <si>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</si>
  <si>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</si>
  <si>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</si>
  <si>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</si>
  <si>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</si>
  <si>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</si>
  <si>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</si>
  <si>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</si>
  <si>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</si>
  <si>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</si>
  <si>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</si>
  <si>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</si>
  <si>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</si>
  <si>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</si>
  <si>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</si>
  <si>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</si>
  <si>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</si>
  <si>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</si>
  <si>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</si>
  <si>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</si>
  <si>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</si>
  <si>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</si>
  <si>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</si>
  <si>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</si>
  <si>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</si>
  <si>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</si>
  <si>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</si>
  <si>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</si>
  <si>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</si>
  <si>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</si>
  <si>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</si>
  <si>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</si>
  <si>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</si>
  <si>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</si>
  <si>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</si>
  <si>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</si>
  <si>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</si>
  <si>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</si>
  <si>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</si>
  <si>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</si>
  <si>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</si>
  <si>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</si>
  <si>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</si>
  <si>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</si>
  <si>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</si>
  <si>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</si>
  <si>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</si>
  <si>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</si>
  <si>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</si>
  <si>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</si>
  <si>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</si>
  <si>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</si>
  <si>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</si>
  <si>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</si>
  <si>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</si>
  <si>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</si>
  <si>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</si>
  <si>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</si>
  <si>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</si>
  <si>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</si>
  <si>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</si>
  <si>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</si>
  <si>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</si>
  <si>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</si>
  <si>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</si>
  <si>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</si>
  <si>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</si>
  <si>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</si>
  <si>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</si>
  <si>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</si>
  <si>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</si>
  <si>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</si>
  <si>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</si>
  <si>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</si>
  <si>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</si>
  <si>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</si>
  <si>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</si>
  <si>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</si>
  <si>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</si>
  <si>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</si>
  <si>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</si>
  <si>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</si>
  <si>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</si>
  <si>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</si>
  <si>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</si>
  <si>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</si>
  <si>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</si>
  <si>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</si>
  <si>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</si>
  <si>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</si>
  <si>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</si>
  <si>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</si>
  <si>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</si>
  <si>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</si>
  <si>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</si>
  <si>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</si>
  <si>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</si>
  <si>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</si>
  <si>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</si>
  <si>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</si>
  <si>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</si>
  <si>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</si>
  <si>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</si>
  <si>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</si>
  <si>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</si>
  <si>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</si>
  <si>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</si>
  <si>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</si>
  <si>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</si>
  <si>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</si>
  <si>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</si>
  <si>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</si>
  <si>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</si>
  <si>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</si>
  <si>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</si>
  <si>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</si>
  <si>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</si>
  <si>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</si>
  <si>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</si>
  <si>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</si>
  <si>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</si>
  <si>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</si>
  <si>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</si>
  <si>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</si>
  <si>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</si>
  <si>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</si>
  <si>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</si>
  <si>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</si>
  <si>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</si>
  <si>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</si>
  <si>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</si>
  <si>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</si>
  <si>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</si>
  <si>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</si>
  <si>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</si>
  <si>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</si>
  <si>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</si>
  <si>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</si>
  <si>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</si>
  <si>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</si>
  <si>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</si>
  <si>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</si>
  <si>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</si>
  <si>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</si>
  <si>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</si>
  <si>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</si>
  <si>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</si>
  <si>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</si>
  <si>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</si>
  <si>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</si>
  <si>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</si>
  <si>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</si>
  <si>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</si>
  <si>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</si>
  <si>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</si>
  <si>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</si>
  <si>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</si>
  <si>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</si>
  <si>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</si>
  <si>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</si>
  <si>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</si>
  <si>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</si>
  <si>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</si>
  <si>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</si>
  <si>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</si>
  <si>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</si>
  <si>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</si>
  <si>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</si>
  <si>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</si>
  <si>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</si>
  <si>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</si>
  <si>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</si>
  <si>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</si>
  <si>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</si>
  <si>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</si>
  <si>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</si>
  <si>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</si>
  <si>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</si>
  <si>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</si>
  <si>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</si>
  <si>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</si>
  <si>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</si>
  <si>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</si>
  <si>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</si>
  <si>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</si>
  <si>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</si>
  <si>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</si>
  <si>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</si>
  <si>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</si>
  <si>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</si>
  <si>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</si>
  <si>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</si>
  <si>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</si>
  <si>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</si>
  <si>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</si>
  <si>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</si>
  <si>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</si>
  <si>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</si>
  <si>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</si>
  <si>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</si>
  <si>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</si>
  <si>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</si>
  <si>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</si>
  <si>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</si>
  <si>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</si>
  <si>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</si>
  <si>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</si>
  <si>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</si>
  <si>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</si>
  <si>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</si>
  <si>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</si>
  <si>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</si>
  <si>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</si>
  <si>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</si>
  <si>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</si>
  <si>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</si>
  <si>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</si>
  <si>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</si>
  <si>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</si>
  <si>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</si>
  <si>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</si>
  <si>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</si>
  <si>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</si>
  <si>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</si>
  <si>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</si>
  <si>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</si>
  <si>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</si>
  <si>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</si>
  <si>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</si>
  <si>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</si>
  <si>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</si>
  <si>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</si>
  <si>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</si>
  <si>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</si>
  <si>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</si>
  <si>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</si>
  <si>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</si>
  <si>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</si>
  <si>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</si>
  <si>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</si>
  <si>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</si>
  <si>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</si>
  <si>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</si>
  <si>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</si>
  <si>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</si>
  <si>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</si>
  <si>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</si>
  <si>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</si>
  <si>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</si>
  <si>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</si>
  <si>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</si>
  <si>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</si>
  <si>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</si>
  <si>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</si>
  <si>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</si>
  <si>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</si>
  <si>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</si>
  <si>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</si>
  <si>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</si>
  <si>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</si>
  <si>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</si>
  <si>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</si>
  <si>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</si>
  <si>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</si>
  <si>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</si>
  <si>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</si>
  <si>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</si>
  <si>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</si>
  <si>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</si>
  <si>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</si>
  <si>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</si>
  <si>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</si>
  <si>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</si>
  <si>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</si>
  <si>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</si>
  <si>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</si>
  <si>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</si>
  <si>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</si>
  <si>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</si>
  <si>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</si>
  <si>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</si>
  <si>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</si>
  <si>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</si>
  <si>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</si>
  <si>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</si>
  <si>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</si>
  <si>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</si>
  <si>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</si>
  <si>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</si>
  <si>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</si>
  <si>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</si>
  <si>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</si>
  <si>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</si>
  <si>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</si>
  <si>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</si>
  <si>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</si>
  <si>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</si>
  <si>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</si>
  <si>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</si>
  <si>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</si>
  <si>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</si>
  <si>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</si>
  <si>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</si>
  <si>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</si>
  <si>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</si>
  <si>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</si>
  <si>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</si>
  <si>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</si>
  <si>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</si>
  <si>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</si>
  <si>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</si>
  <si>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</si>
  <si>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</si>
  <si>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</si>
  <si>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</si>
  <si>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</si>
  <si>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</si>
  <si>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</si>
  <si>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</si>
  <si>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</si>
  <si>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</si>
  <si>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</si>
  <si>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</si>
  <si>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</si>
  <si>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</si>
  <si>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</si>
  <si>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</si>
  <si>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</si>
  <si>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</si>
  <si>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</si>
  <si>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</si>
  <si>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</si>
  <si>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</si>
  <si>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</si>
  <si>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</si>
  <si>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</si>
  <si>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</si>
  <si>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</si>
  <si>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</si>
  <si>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</si>
  <si>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</si>
  <si>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</si>
  <si>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</si>
  <si>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</si>
  <si>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</si>
  <si>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</si>
  <si>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</si>
  <si>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</si>
  <si>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</si>
  <si>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</si>
  <si>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</si>
  <si>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</si>
  <si>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</si>
  <si>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</si>
  <si>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</si>
  <si>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</si>
  <si>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</si>
  <si>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</si>
  <si>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</si>
  <si>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</si>
  <si>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</si>
  <si>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</si>
  <si>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</si>
  <si>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</si>
  <si>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</si>
  <si>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</si>
  <si>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</si>
  <si>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</si>
  <si>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</si>
  <si>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</si>
  <si>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</si>
  <si>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</si>
  <si>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</si>
  <si>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</si>
  <si>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</si>
  <si>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</si>
  <si>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</si>
  <si>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</si>
  <si>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</si>
  <si>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</si>
  <si>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</si>
  <si>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</si>
  <si>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</si>
  <si>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</si>
  <si>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</si>
  <si>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</si>
  <si>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</si>
  <si>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</si>
  <si>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</si>
  <si>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</si>
  <si>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</si>
  <si>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</si>
  <si>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</si>
  <si>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</si>
  <si>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</si>
  <si>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</si>
  <si>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</si>
  <si>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</si>
  <si>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</si>
  <si>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</si>
  <si>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</si>
  <si>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</si>
  <si>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</si>
  <si>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</si>
  <si>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</si>
  <si>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</si>
  <si>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</si>
  <si>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</si>
  <si>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</si>
  <si>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</si>
  <si>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</si>
  <si>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</si>
  <si>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</si>
  <si>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</si>
  <si>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</si>
  <si>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</si>
  <si>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</si>
  <si>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</si>
  <si>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</si>
  <si>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</si>
  <si>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</si>
  <si>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</si>
  <si>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</si>
  <si>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</si>
  <si>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</si>
  <si>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</si>
  <si>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</si>
  <si>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</si>
  <si>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</si>
  <si>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</si>
  <si>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</si>
  <si>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</si>
  <si>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</si>
  <si>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</si>
  <si>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</si>
  <si>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</si>
  <si>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</si>
  <si>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</si>
  <si>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</si>
  <si>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</si>
  <si>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</si>
  <si>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</si>
  <si>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</si>
  <si>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</si>
  <si>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</si>
  <si>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</si>
  <si>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</si>
  <si>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</si>
  <si>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</si>
  <si>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</si>
  <si>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</si>
  <si>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</si>
  <si>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</si>
  <si>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</si>
  <si>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</si>
  <si>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</si>
  <si>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</si>
  <si>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</si>
  <si>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</si>
  <si>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</si>
  <si>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</si>
  <si>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</si>
  <si>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</si>
  <si>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</si>
  <si>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</si>
  <si>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</si>
  <si>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</si>
  <si>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</si>
  <si>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</si>
  <si>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</si>
  <si>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</si>
  <si>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</si>
  <si>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</si>
  <si>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</si>
  <si>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</si>
  <si>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</si>
  <si>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</si>
  <si>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</si>
  <si>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</si>
  <si>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</si>
  <si>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</si>
  <si>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</si>
  <si>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</si>
  <si>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</si>
  <si>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</si>
  <si>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</si>
  <si>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</si>
  <si>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</si>
  <si>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</si>
  <si>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</si>
  <si>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</si>
  <si>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</si>
  <si>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</si>
  <si>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</si>
  <si>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</si>
  <si>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</si>
  <si>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</si>
  <si>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</si>
  <si>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</si>
  <si>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</si>
  <si>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</si>
  <si>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</si>
  <si>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</si>
  <si>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</si>
  <si>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</si>
  <si>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</si>
  <si>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</si>
  <si>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</si>
  <si>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</si>
  <si>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</si>
  <si>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</si>
  <si>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</si>
  <si>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</si>
  <si>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</si>
  <si>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</si>
  <si>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</si>
  <si>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</si>
  <si>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</si>
  <si>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</si>
  <si>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</si>
  <si>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</si>
  <si>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</si>
  <si>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</si>
  <si>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</si>
  <si>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</si>
  <si>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</si>
  <si>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</si>
  <si>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</si>
  <si>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</si>
  <si>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</si>
  <si>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</si>
  <si>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</si>
  <si>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</si>
  <si>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</si>
  <si>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</si>
  <si>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</si>
  <si>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</si>
  <si>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</si>
  <si>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</si>
  <si>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</si>
  <si>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</si>
  <si>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</si>
  <si>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</si>
  <si>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</si>
  <si>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</si>
  <si>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</si>
  <si>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</si>
  <si>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</si>
  <si>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</si>
  <si>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</si>
  <si>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</si>
  <si>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</si>
  <si>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</si>
  <si>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</si>
  <si>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</si>
  <si>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</si>
  <si>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</si>
  <si>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</si>
  <si>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</si>
  <si>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</si>
  <si>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</si>
  <si>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</si>
  <si>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</si>
  <si>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</si>
  <si>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</si>
  <si>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</si>
  <si>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</si>
  <si>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</si>
  <si>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</si>
  <si>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</si>
  <si>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</si>
  <si>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</si>
  <si>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</si>
  <si>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</si>
  <si>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</si>
  <si>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</si>
  <si>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</si>
  <si>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</si>
  <si>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</si>
  <si>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</si>
  <si>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</si>
  <si>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</si>
  <si>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</si>
  <si>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</si>
  <si>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</si>
  <si>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</si>
  <si>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</si>
  <si>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</si>
  <si>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</si>
  <si>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</si>
  <si>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</si>
  <si>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</si>
  <si>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</si>
  <si>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</si>
  <si>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</si>
  <si>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</si>
  <si>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</si>
  <si>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</si>
  <si>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</si>
  <si>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</si>
  <si>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</si>
  <si>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</si>
  <si>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</si>
  <si>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</si>
  <si>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</si>
  <si>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</si>
  <si>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</si>
  <si>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</si>
  <si>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</si>
  <si>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</si>
  <si>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</si>
  <si>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</si>
  <si>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</si>
  <si>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</si>
  <si>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</si>
  <si>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</si>
  <si>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</si>
  <si>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</si>
  <si>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</si>
  <si>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</si>
  <si>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</si>
  <si>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</si>
  <si>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</si>
  <si>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</si>
  <si>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</si>
  <si>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</si>
  <si>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</si>
  <si>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</si>
  <si>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</si>
  <si>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</si>
  <si>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</si>
  <si>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</si>
  <si>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</si>
  <si>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</si>
  <si>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</si>
  <si>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</si>
  <si>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</si>
  <si>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</si>
  <si>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</si>
  <si>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</si>
  <si>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</si>
  <si>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</si>
  <si>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</si>
  <si>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</si>
  <si>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</si>
  <si>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</si>
  <si>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</si>
  <si>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</si>
  <si>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</si>
  <si>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</si>
  <si>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</si>
  <si>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</si>
  <si>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</si>
  <si>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</si>
  <si>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</si>
  <si>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</si>
  <si>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</si>
  <si>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</si>
  <si>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</si>
  <si>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</si>
  <si>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</si>
  <si>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</si>
  <si>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</si>
  <si>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</si>
  <si>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</si>
  <si>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</si>
  <si>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</si>
  <si>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</si>
  <si>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</si>
  <si>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</si>
  <si>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</si>
  <si>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</si>
  <si>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</si>
  <si>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</si>
  <si>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</si>
  <si>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</si>
  <si>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</si>
  <si>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</si>
  <si>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</si>
  <si>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</si>
  <si>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</si>
  <si>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</si>
  <si>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</si>
  <si>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</si>
  <si>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</si>
  <si>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</si>
  <si>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</si>
  <si>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</si>
  <si>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</si>
  <si>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</si>
  <si>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</si>
  <si>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</si>
  <si>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</si>
  <si>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</si>
  <si>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</si>
  <si>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</si>
  <si>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</si>
  <si>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</si>
  <si>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</si>
  <si>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</si>
  <si>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</si>
  <si>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</si>
  <si>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</si>
  <si>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</si>
  <si>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</si>
  <si>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</si>
  <si>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</si>
  <si>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</si>
  <si>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</si>
  <si>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</si>
  <si>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</si>
  <si>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</si>
  <si>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</si>
  <si>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</si>
  <si>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</si>
  <si>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</si>
  <si>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</si>
  <si>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</si>
  <si>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</si>
  <si>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</si>
  <si>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</si>
  <si>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</si>
  <si>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</si>
  <si>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</si>
  <si>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</si>
  <si>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</si>
  <si>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</si>
  <si>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</si>
  <si>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</si>
  <si>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</si>
  <si>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</si>
  <si>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</si>
  <si>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</si>
  <si>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</si>
  <si>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</si>
  <si>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</si>
  <si>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</si>
  <si>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</si>
  <si>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</si>
  <si>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</si>
  <si>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</si>
  <si>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</si>
  <si>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</si>
  <si>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</si>
  <si>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</si>
  <si>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</si>
  <si>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</si>
  <si>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</si>
  <si>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</si>
  <si>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</si>
  <si>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</si>
  <si>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</si>
  <si>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</si>
  <si>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</si>
  <si>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</si>
  <si>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</si>
  <si>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</si>
  <si>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</si>
  <si>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</si>
  <si>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</si>
  <si>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</si>
  <si>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</si>
  <si>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</si>
  <si>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</si>
  <si>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</si>
  <si>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</si>
  <si>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</si>
  <si>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</si>
  <si>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</si>
  <si>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</si>
  <si>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</si>
  <si>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</si>
  <si>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</si>
  <si>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</si>
  <si>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</si>
  <si>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</si>
  <si>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</si>
  <si>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</si>
  <si>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</si>
  <si>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</si>
  <si>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</si>
  <si>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</si>
  <si>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</si>
  <si>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</si>
  <si>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</si>
  <si>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</si>
  <si>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</si>
  <si>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</si>
  <si>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</si>
  <si>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</si>
  <si>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</si>
  <si>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</si>
  <si>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</si>
  <si>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</si>
  <si>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</si>
  <si>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</si>
  <si>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</si>
  <si>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</si>
  <si>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</si>
  <si>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</si>
  <si>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</si>
  <si>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</si>
  <si>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</si>
  <si>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</si>
  <si>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</si>
  <si>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</si>
  <si>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</si>
  <si>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</si>
  <si>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</si>
  <si>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</si>
  <si>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</si>
  <si>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</si>
  <si>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</si>
  <si>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</si>
  <si>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</si>
  <si>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</si>
  <si>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</si>
  <si>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</si>
  <si>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</si>
  <si>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</si>
  <si>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</si>
  <si>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</si>
  <si>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</si>
  <si>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</si>
  <si>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</si>
  <si>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</si>
  <si>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</si>
  <si>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</si>
  <si>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</si>
  <si>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</si>
  <si>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</si>
  <si>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</si>
  <si>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</si>
  <si>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</si>
  <si>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</si>
  <si>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</si>
  <si>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</si>
  <si>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</si>
  <si>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</si>
  <si>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</si>
  <si>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</si>
  <si>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</si>
  <si>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</si>
  <si>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</si>
  <si>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</si>
  <si>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</si>
  <si>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</si>
  <si>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</si>
  <si>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</si>
  <si>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</si>
  <si>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</si>
  <si>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</si>
  <si>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</si>
  <si>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</si>
  <si>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</si>
  <si>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</si>
  <si>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</si>
  <si>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</si>
  <si>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</si>
  <si>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</si>
  <si>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</si>
  <si>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</si>
  <si>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</si>
  <si>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</si>
  <si>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</si>
  <si>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</si>
  <si>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</si>
  <si>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</si>
  <si>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</si>
  <si>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</si>
  <si>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</si>
  <si>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</si>
  <si>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</si>
  <si>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</si>
  <si>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</si>
  <si>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</si>
  <si>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</si>
  <si>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</si>
  <si>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</si>
  <si>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</si>
  <si>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</si>
  <si>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</si>
  <si>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</si>
  <si>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</si>
  <si>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</si>
  <si>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</si>
  <si>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</si>
  <si>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</si>
  <si>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</si>
  <si>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</si>
  <si>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</si>
  <si>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</si>
  <si>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</si>
  <si>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</si>
  <si>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</si>
  <si>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</si>
  <si>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</si>
  <si>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</si>
  <si>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</si>
  <si>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</si>
  <si>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</si>
  <si>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</si>
  <si>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</si>
  <si>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</si>
  <si>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</si>
  <si>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</si>
  <si>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</si>
  <si>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</si>
  <si>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</si>
  <si>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</si>
  <si>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</si>
  <si>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</si>
  <si>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</si>
  <si>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</si>
  <si>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</si>
  <si>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</si>
  <si>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</si>
  <si>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</si>
  <si>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</si>
  <si>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</si>
  <si>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</si>
  <si>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</si>
  <si>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</si>
  <si>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</si>
  <si>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</si>
  <si>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</si>
  <si>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</si>
  <si>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</si>
  <si>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</si>
  <si>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</si>
  <si>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</si>
  <si>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</si>
  <si>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</si>
  <si>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</si>
  <si>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</si>
  <si>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</si>
  <si>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</si>
  <si>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</si>
  <si>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</si>
  <si>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</si>
  <si>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</si>
  <si>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</si>
  <si>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</si>
  <si>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</si>
  <si>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</si>
  <si>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</si>
  <si>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</si>
  <si>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</si>
  <si>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</si>
  <si>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</si>
  <si>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</si>
  <si>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</si>
  <si>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</si>
  <si>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</si>
  <si>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</si>
  <si>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</si>
  <si>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</si>
  <si>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</si>
  <si>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</si>
  <si>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</si>
  <si>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</si>
  <si>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</si>
  <si>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</si>
  <si>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</si>
  <si>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</si>
  <si>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</si>
  <si>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</si>
  <si>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</si>
  <si>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</si>
  <si>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</si>
  <si>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</si>
  <si>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</si>
  <si>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</si>
  <si>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</si>
  <si>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</si>
  <si>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</si>
  <si>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</si>
  <si>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</si>
  <si>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</si>
  <si>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</si>
  <si>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</si>
  <si>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</si>
  <si>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</si>
  <si>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</si>
  <si>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</si>
  <si>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</si>
  <si>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</si>
  <si>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</si>
  <si>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</si>
  <si>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</si>
  <si>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</si>
  <si>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</si>
  <si>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</si>
  <si>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</si>
  <si>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</si>
  <si>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</si>
  <si>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</si>
  <si>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</si>
  <si>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</si>
  <si>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</si>
  <si>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</si>
  <si>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</si>
  <si>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</si>
  <si>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</si>
  <si>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</si>
  <si>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</si>
  <si>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</si>
  <si>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</si>
  <si>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</si>
  <si>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</si>
  <si>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</si>
  <si>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</si>
  <si>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</si>
  <si>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</si>
  <si>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</si>
  <si>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</si>
  <si>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</si>
  <si>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</si>
  <si>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</si>
  <si>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</si>
  <si>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</si>
  <si>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</si>
  <si>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</si>
  <si>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</si>
  <si>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</si>
  <si>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</si>
  <si>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</si>
  <si>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</si>
  <si>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</si>
  <si>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</si>
  <si>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</si>
  <si>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</si>
  <si>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</si>
  <si>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</si>
  <si>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</si>
  <si>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</si>
  <si>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</si>
  <si>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</si>
  <si>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</si>
  <si>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</si>
  <si>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</si>
  <si>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</si>
  <si>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</si>
  <si>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</si>
  <si>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</si>
  <si>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</si>
  <si>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</si>
  <si>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</si>
  <si>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</si>
  <si>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</si>
  <si>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</si>
  <si>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</si>
  <si>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</si>
  <si>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</si>
  <si>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</si>
  <si>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</si>
  <si>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</si>
  <si>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</si>
  <si>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</si>
  <si>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</si>
  <si>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</si>
  <si>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</si>
  <si>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</si>
  <si>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</si>
  <si>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</si>
  <si>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</si>
  <si>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</si>
  <si>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</si>
  <si>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</si>
  <si>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</si>
  <si>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</si>
  <si>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</si>
  <si>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</si>
  <si>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</si>
  <si>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</si>
  <si>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</si>
  <si>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</si>
  <si>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</si>
  <si>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</si>
  <si>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</si>
  <si>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</si>
  <si>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</si>
  <si>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</si>
  <si>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</si>
  <si>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</si>
  <si>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</si>
  <si>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</si>
  <si>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</si>
  <si>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</si>
  <si>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</si>
  <si>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</si>
  <si>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</si>
  <si>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</si>
  <si>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</si>
  <si>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</si>
  <si>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</si>
  <si>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</si>
  <si>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</si>
  <si>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</si>
  <si>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</si>
  <si>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</si>
  <si>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</si>
  <si>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</si>
  <si>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</si>
  <si>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</si>
  <si>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</si>
  <si>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</si>
  <si>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</si>
  <si>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</si>
  <si>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</si>
  <si>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</si>
  <si>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</si>
  <si>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</si>
  <si>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</si>
  <si>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</si>
  <si>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</si>
  <si>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</si>
  <si>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</si>
  <si>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</si>
  <si>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</si>
  <si>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</si>
  <si>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</si>
  <si>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</si>
  <si>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</si>
  <si>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</si>
  <si>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</si>
  <si>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</si>
  <si>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</si>
  <si>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</si>
  <si>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</si>
  <si>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</si>
  <si>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</si>
  <si>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</si>
  <si>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</si>
  <si>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</si>
  <si>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</si>
  <si>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</si>
  <si>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</si>
  <si>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</si>
  <si>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</si>
  <si>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</si>
  <si>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</si>
  <si>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</si>
  <si>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</si>
  <si>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</si>
  <si>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</si>
  <si>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</si>
  <si>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</si>
  <si>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</si>
  <si>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</si>
  <si>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</si>
  <si>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</si>
  <si>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</si>
  <si>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</si>
  <si>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</si>
  <si>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</si>
  <si>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</si>
  <si>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</si>
  <si>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</si>
  <si>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</si>
  <si>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</si>
  <si>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</si>
  <si>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</si>
  <si>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</si>
  <si>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</si>
  <si>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</si>
  <si>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</si>
  <si>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</si>
  <si>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</si>
  <si>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</si>
  <si>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</si>
  <si>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</si>
  <si>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</si>
  <si>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</si>
  <si>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</si>
  <si>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</si>
  <si>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</si>
  <si>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</si>
  <si>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</si>
  <si>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</si>
  <si>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</si>
  <si>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</si>
  <si>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</si>
  <si>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</si>
  <si>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</si>
  <si>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</si>
  <si>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</si>
  <si>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</si>
  <si>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</si>
  <si>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</si>
  <si>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</si>
  <si>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</si>
  <si>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</si>
  <si>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</si>
  <si>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</si>
  <si>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</si>
  <si>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</si>
  <si>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</si>
  <si>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</si>
  <si>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</si>
  <si>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</si>
  <si>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</si>
  <si>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</si>
  <si>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</si>
  <si>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</si>
  <si>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</si>
  <si>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</si>
  <si>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</si>
  <si>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</si>
  <si>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</si>
  <si>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</si>
  <si>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</si>
  <si>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</si>
  <si>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</si>
  <si>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</si>
  <si>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</si>
  <si>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</si>
  <si>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</si>
  <si>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</si>
  <si>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</si>
  <si>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</si>
  <si>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</si>
  <si>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</si>
  <si>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</si>
  <si>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</si>
  <si>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</si>
  <si>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</si>
  <si>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</si>
  <si>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</si>
  <si>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</si>
  <si>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</si>
  <si>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</si>
  <si>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</si>
  <si>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</si>
  <si>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</si>
  <si>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</si>
  <si>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</si>
  <si>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</si>
  <si>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</si>
  <si>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</si>
  <si>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</si>
  <si>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</si>
  <si>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</si>
  <si>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</si>
  <si>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</si>
  <si>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</si>
  <si>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</si>
  <si>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</si>
  <si>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</si>
  <si>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</si>
  <si>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</si>
  <si>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</si>
  <si>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</si>
  <si>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</si>
  <si>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</si>
  <si>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</si>
  <si>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</si>
  <si>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</si>
  <si>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</si>
  <si>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</si>
  <si>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</si>
  <si>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</si>
  <si>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</si>
  <si>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</si>
  <si>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</si>
  <si>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</si>
  <si>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</si>
  <si>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</si>
  <si>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</si>
  <si>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</si>
  <si>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</si>
  <si>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</si>
  <si>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</si>
  <si>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</si>
  <si>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</si>
  <si>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</si>
  <si>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</si>
  <si>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</si>
  <si>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</si>
  <si>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</si>
  <si>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</si>
  <si>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</si>
  <si>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</si>
  <si>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</si>
  <si>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</si>
  <si>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</si>
  <si>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</si>
  <si>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</si>
  <si>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</si>
  <si>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</si>
  <si>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</si>
  <si>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</si>
  <si>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</si>
  <si>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</si>
  <si>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</si>
  <si>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</si>
  <si>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</si>
  <si>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</si>
  <si>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</si>
  <si>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</si>
  <si>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</si>
  <si>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</si>
  <si>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</si>
  <si>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</si>
  <si>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</si>
  <si>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</si>
  <si>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</si>
  <si>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</si>
  <si>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</si>
  <si>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</si>
  <si>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</si>
  <si>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</si>
  <si>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</si>
  <si>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</si>
  <si>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</si>
  <si>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</si>
  <si>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</si>
  <si>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</si>
  <si>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</si>
  <si>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</si>
  <si>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</si>
  <si>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</si>
  <si>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</si>
  <si>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</si>
  <si>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</si>
  <si>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</si>
  <si>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</si>
  <si>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</si>
  <si>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</si>
  <si>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</si>
  <si>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</si>
  <si>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</si>
  <si>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</si>
  <si>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</si>
  <si>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</si>
  <si>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</si>
  <si>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</si>
  <si>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</si>
  <si>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</si>
  <si>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</si>
  <si>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</si>
  <si>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</si>
  <si>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</si>
  <si>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</si>
  <si>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</si>
  <si>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</si>
  <si>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</si>
  <si>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</si>
  <si>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</si>
  <si>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</si>
  <si>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</si>
  <si>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</si>
  <si>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</si>
  <si>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</si>
  <si>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</si>
  <si>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</si>
  <si>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</si>
  <si>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</si>
  <si>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</si>
  <si>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</si>
  <si>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</si>
  <si>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</si>
  <si>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</si>
  <si>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</si>
  <si>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</si>
  <si>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</si>
  <si>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</si>
  <si>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</si>
  <si>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</si>
  <si>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</si>
  <si>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</si>
  <si>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</si>
  <si>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</si>
  <si>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</si>
  <si>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</si>
  <si>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</si>
  <si>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</si>
  <si>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</si>
  <si>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</si>
  <si>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</si>
  <si>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</si>
  <si>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</si>
  <si>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</si>
  <si>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</si>
  <si>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</si>
  <si>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</si>
  <si>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</si>
  <si>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</si>
  <si>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</si>
  <si>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</si>
  <si>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</si>
  <si>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</si>
  <si>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</si>
  <si>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</si>
  <si>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</si>
  <si>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</si>
  <si>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</si>
  <si>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</si>
  <si>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</si>
  <si>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</si>
  <si>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</si>
  <si>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</si>
  <si>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</si>
  <si>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</si>
  <si>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</si>
  <si>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</si>
  <si>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</si>
  <si>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</si>
  <si>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</si>
  <si>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</si>
  <si>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</si>
  <si>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</si>
  <si>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</si>
  <si>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</si>
  <si>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</si>
  <si>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</si>
  <si>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</si>
  <si>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</si>
  <si>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</si>
  <si>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</si>
  <si>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</si>
  <si>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</si>
  <si>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</si>
  <si>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</si>
  <si>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</si>
  <si>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</si>
  <si>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</si>
  <si>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</si>
  <si>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</si>
  <si>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</si>
  <si>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</si>
  <si>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</si>
  <si>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</si>
  <si>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</si>
  <si>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</si>
  <si>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</si>
  <si>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</si>
  <si>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</si>
  <si>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</si>
  <si>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</si>
  <si>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</si>
  <si>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</si>
  <si>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</si>
  <si>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</si>
  <si>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</si>
  <si>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</si>
  <si>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</si>
  <si>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</si>
  <si>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</si>
  <si>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</si>
  <si>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</si>
  <si>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</si>
  <si>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</si>
  <si>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</si>
  <si>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</si>
  <si>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</si>
  <si>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</si>
  <si>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</si>
  <si>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</si>
  <si>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</si>
  <si>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</si>
  <si>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</si>
  <si>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</si>
  <si>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</si>
  <si>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</si>
  <si>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</si>
  <si>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</si>
  <si>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</si>
  <si>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</si>
  <si>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</si>
  <si>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</si>
  <si>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</si>
  <si>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</si>
  <si>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</si>
  <si>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</si>
  <si>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</si>
  <si>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</si>
  <si>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</si>
  <si>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</si>
  <si>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</si>
  <si>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</si>
  <si>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</si>
  <si>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</si>
  <si>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</si>
  <si>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</si>
  <si>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</si>
  <si>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</si>
  <si>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</si>
  <si>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</si>
  <si>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</si>
  <si>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</si>
  <si>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</si>
  <si>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</si>
  <si>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</si>
  <si>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</si>
  <si>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</si>
  <si>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</si>
  <si>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</si>
  <si>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</si>
  <si>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</si>
  <si>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</si>
  <si>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</si>
  <si>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</si>
  <si>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</si>
  <si>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</si>
  <si>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</si>
  <si>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</si>
  <si>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</si>
  <si>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</si>
  <si>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</si>
  <si>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</si>
  <si>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</si>
  <si>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</si>
  <si>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</si>
  <si>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</si>
  <si>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</si>
  <si>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</si>
  <si>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</si>
  <si>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</si>
  <si>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</si>
  <si>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</si>
  <si>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</si>
  <si>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</si>
  <si>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</si>
  <si>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</si>
  <si>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</si>
  <si>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</si>
  <si>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</si>
  <si>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</si>
  <si>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</si>
  <si>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</si>
  <si>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</si>
  <si>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</si>
  <si>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</si>
  <si>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</si>
  <si>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</si>
  <si>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</si>
  <si>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</si>
  <si>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</si>
  <si>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</si>
  <si>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</si>
  <si>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</si>
  <si>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</si>
  <si>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</si>
  <si>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</si>
  <si>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</si>
  <si>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</si>
  <si>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</si>
  <si>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</si>
  <si>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</si>
  <si>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</si>
  <si>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</si>
  <si>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</si>
  <si>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</si>
  <si>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</si>
  <si>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</si>
  <si>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</si>
  <si>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</si>
  <si>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</si>
  <si>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</si>
  <si>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</si>
  <si>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</si>
  <si>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</si>
  <si>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</si>
  <si>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</si>
  <si>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</si>
  <si>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</si>
  <si>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</si>
  <si>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</si>
  <si>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</si>
  <si>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</si>
  <si>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</si>
  <si>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</si>
  <si>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</si>
  <si>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</si>
  <si>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</si>
  <si>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</si>
  <si>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</si>
  <si>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</si>
  <si>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</si>
  <si>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</si>
  <si>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</si>
  <si>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</si>
  <si>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</si>
  <si>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</si>
  <si>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</si>
  <si>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</si>
  <si>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</si>
  <si>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</si>
  <si>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</si>
  <si>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</si>
  <si>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</si>
  <si>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</si>
  <si>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</si>
  <si>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</si>
  <si>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</si>
  <si>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</si>
  <si>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</si>
  <si>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</si>
  <si>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</si>
  <si>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</si>
  <si>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</si>
  <si>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</si>
  <si>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</si>
  <si>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</si>
  <si>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</si>
  <si>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</si>
  <si>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</si>
  <si>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</si>
  <si>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</si>
  <si>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</si>
  <si>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</si>
  <si>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</si>
  <si>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</si>
  <si>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</si>
  <si>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</si>
  <si>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</si>
  <si>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</si>
  <si>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</si>
  <si>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</si>
  <si>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</si>
  <si>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</si>
  <si>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</si>
  <si>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</si>
  <si>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</si>
  <si>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</si>
  <si>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</si>
  <si>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</si>
  <si>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</si>
  <si>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</si>
  <si>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</si>
  <si>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</si>
  <si>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</si>
  <si>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</si>
  <si>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</si>
  <si>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</si>
  <si>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</si>
  <si>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</si>
  <si>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</si>
  <si>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</si>
  <si>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</si>
  <si>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</si>
  <si>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</si>
  <si>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</si>
  <si>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</si>
  <si>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</si>
  <si>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</si>
  <si>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</si>
  <si>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</si>
  <si>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</si>
  <si>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</si>
  <si>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</si>
  <si>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</si>
  <si>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</si>
  <si>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</si>
  <si>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</si>
  <si>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</si>
  <si>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</si>
  <si>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</si>
  <si>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</si>
  <si>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</si>
  <si>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</si>
  <si>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</si>
  <si>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</si>
  <si>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</si>
  <si>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</si>
  <si>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</si>
  <si>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</si>
  <si>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</si>
  <si>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</si>
  <si>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</si>
  <si>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</si>
  <si>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</si>
  <si>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</si>
  <si>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</si>
  <si>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</si>
  <si>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</si>
  <si>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</si>
  <si>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</si>
  <si>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</si>
  <si>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</si>
  <si>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</si>
  <si>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</si>
  <si>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</si>
  <si>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</si>
  <si>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</si>
  <si>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</si>
  <si>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</si>
  <si>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</si>
  <si>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</si>
  <si>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</si>
  <si>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</si>
  <si>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</si>
  <si>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</si>
  <si>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</si>
  <si>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</si>
  <si>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</si>
  <si>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</si>
  <si>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</si>
  <si>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</si>
  <si>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</si>
  <si>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</si>
  <si>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</si>
  <si>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</si>
  <si>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</si>
  <si>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</si>
  <si>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</si>
  <si>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</si>
  <si>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</si>
  <si>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</si>
  <si>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</si>
  <si>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</si>
  <si>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</si>
  <si>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</si>
  <si>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</si>
  <si>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</si>
  <si>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</si>
  <si>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</si>
  <si>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</si>
  <si>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</si>
  <si>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</si>
  <si>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</si>
  <si>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</si>
  <si>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</si>
  <si>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</si>
  <si>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</si>
  <si>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</si>
  <si>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</si>
  <si>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</si>
  <si>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</si>
  <si>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</si>
  <si>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</si>
  <si>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</si>
  <si>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</si>
  <si>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</si>
  <si>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</si>
  <si>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</si>
  <si>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</si>
  <si>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</si>
  <si>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</si>
  <si>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</si>
  <si>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</si>
  <si>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</si>
  <si>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</si>
  <si>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</si>
  <si>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</si>
  <si>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</si>
  <si>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</si>
  <si>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</si>
  <si>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</si>
  <si>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</si>
  <si>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</si>
  <si>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</si>
  <si>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</si>
  <si>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</si>
  <si>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</si>
  <si>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</si>
  <si>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</si>
  <si>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</si>
  <si>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</si>
  <si>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</si>
  <si>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</si>
  <si>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</si>
  <si>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</si>
  <si>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</si>
  <si>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</si>
  <si>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</si>
  <si>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</si>
  <si>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</si>
  <si>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</si>
  <si>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</si>
  <si>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</si>
  <si>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</si>
  <si>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</si>
  <si>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</si>
  <si>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</si>
  <si>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</si>
  <si>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</si>
  <si>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</si>
  <si>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</si>
  <si>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</si>
  <si>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</si>
  <si>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</si>
  <si>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</si>
  <si>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</si>
  <si>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</si>
  <si>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</si>
  <si>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</si>
  <si>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</si>
  <si>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</si>
  <si>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</si>
  <si>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</si>
  <si>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</si>
  <si>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</si>
  <si>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</si>
  <si>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</si>
  <si>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</si>
  <si>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</si>
  <si>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</si>
  <si>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</si>
  <si>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</si>
  <si>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</si>
  <si>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</si>
  <si>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</si>
  <si>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</si>
  <si>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</si>
  <si>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</si>
  <si>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</si>
  <si>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</si>
  <si>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</si>
  <si>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</si>
  <si>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</si>
  <si>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</si>
  <si>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</si>
  <si>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</si>
  <si>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</si>
  <si>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</si>
  <si>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</si>
  <si>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</si>
  <si>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</si>
  <si>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</si>
  <si>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</si>
  <si>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</si>
  <si>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</si>
  <si>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</si>
  <si>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</si>
  <si>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</si>
  <si>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</si>
  <si>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</si>
  <si>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</si>
  <si>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</si>
  <si>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</si>
  <si>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</si>
  <si>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</si>
  <si>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</si>
  <si>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</si>
  <si>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</si>
  <si>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</si>
  <si>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</si>
  <si>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</si>
  <si>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</si>
  <si>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</si>
  <si>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</si>
  <si>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</si>
  <si>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</si>
  <si>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</si>
  <si>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</si>
  <si>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</si>
  <si>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</si>
  <si>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</si>
  <si>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</si>
  <si>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</si>
  <si>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</si>
  <si>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</si>
  <si>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</si>
  <si>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</si>
  <si>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</si>
  <si>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</si>
  <si>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</si>
  <si>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</si>
  <si>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</si>
  <si>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</si>
  <si>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</si>
  <si>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</si>
  <si>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</si>
  <si>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</si>
  <si>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</si>
  <si>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</si>
  <si>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</si>
  <si>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</si>
  <si>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</si>
  <si>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</si>
  <si>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</si>
  <si>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</si>
  <si>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</si>
  <si>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</si>
  <si>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</si>
  <si>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</si>
  <si>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</si>
  <si>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</si>
  <si>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</si>
  <si>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</si>
  <si>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</si>
  <si>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</si>
  <si>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</si>
  <si>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</si>
  <si>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</si>
  <si>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</si>
  <si>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</si>
  <si>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</si>
  <si>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</si>
  <si>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</si>
  <si>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</si>
  <si>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</si>
  <si>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</si>
  <si>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</si>
  <si>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</si>
  <si>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</si>
  <si>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</si>
  <si>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</si>
  <si>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</si>
  <si>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</si>
  <si>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</si>
  <si>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</si>
  <si>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</si>
  <si>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</si>
  <si>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</si>
  <si>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</si>
  <si>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</si>
  <si>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</si>
  <si>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</si>
  <si>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</si>
  <si>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</si>
  <si>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</si>
  <si>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</si>
  <si>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</si>
  <si>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</si>
  <si>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</si>
  <si>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</si>
  <si>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</si>
  <si>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</si>
  <si>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</si>
  <si>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</si>
  <si>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</si>
  <si>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</si>
  <si>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</si>
  <si>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</si>
  <si>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</si>
  <si>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</si>
  <si>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</si>
  <si>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</si>
  <si>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</si>
  <si>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</si>
  <si>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</si>
  <si>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</si>
  <si>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</si>
  <si>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</si>
  <si>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</si>
  <si>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</si>
  <si>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</si>
  <si>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</si>
  <si>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</si>
  <si>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</si>
  <si>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</si>
  <si>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</si>
  <si>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</si>
  <si>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</si>
  <si>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</si>
  <si>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</si>
  <si>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</si>
  <si>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</si>
  <si>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</si>
  <si>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</si>
  <si>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</si>
  <si>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</si>
  <si>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</si>
  <si>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</si>
  <si>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</si>
  <si>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</si>
  <si>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</si>
  <si>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</si>
  <si>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</si>
  <si>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</si>
  <si>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</si>
  <si>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</si>
  <si>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</si>
  <si>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</si>
  <si>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</si>
  <si>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</si>
  <si>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</si>
  <si>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</si>
  <si>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</si>
  <si>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</si>
  <si>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</si>
  <si>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</si>
  <si>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</si>
  <si>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</si>
  <si>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</si>
  <si>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</si>
  <si>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</si>
  <si>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</si>
  <si>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</si>
  <si>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</si>
  <si>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</si>
  <si>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</si>
  <si>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</si>
  <si>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</si>
  <si>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</si>
  <si>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</si>
  <si>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</si>
  <si>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</si>
  <si>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</si>
  <si>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</si>
  <si>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</si>
  <si>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</si>
  <si>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</si>
  <si>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</si>
  <si>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</si>
  <si>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</si>
  <si>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</si>
  <si>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</si>
  <si>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</si>
  <si>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</si>
  <si>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</si>
  <si>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</si>
  <si>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</si>
  <si>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</si>
  <si>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</si>
  <si>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</si>
  <si>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</si>
  <si>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</si>
  <si>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</si>
  <si>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</si>
  <si>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</si>
  <si>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</si>
  <si>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</si>
  <si>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</si>
  <si>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</si>
  <si>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</si>
  <si>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</si>
  <si>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</si>
  <si>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</si>
  <si>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</si>
  <si>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</si>
  <si>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</si>
  <si>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</si>
  <si>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</si>
  <si>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</si>
  <si>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</si>
  <si>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</si>
  <si>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</si>
  <si>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</si>
  <si>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</si>
  <si>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</si>
  <si>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</si>
  <si>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</si>
  <si>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</si>
  <si>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</si>
  <si>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</si>
  <si>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</si>
  <si>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</si>
  <si>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</si>
  <si>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</si>
  <si>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</si>
  <si>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</si>
  <si>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</si>
  <si>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</si>
  <si>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</si>
  <si>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</si>
  <si>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</si>
  <si>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</si>
  <si>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</si>
  <si>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</si>
  <si>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</si>
  <si>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</si>
  <si>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</si>
  <si>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</si>
  <si>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</si>
  <si>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</si>
  <si>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</si>
  <si>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</si>
  <si>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</si>
  <si>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</si>
  <si>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</si>
  <si>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</si>
  <si>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</si>
  <si>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</si>
  <si>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</si>
  <si>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</si>
  <si>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</si>
  <si>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</si>
  <si>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</si>
  <si>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</si>
  <si>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</si>
  <si>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</si>
  <si>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</si>
  <si>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</si>
  <si>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</si>
  <si>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</si>
  <si>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</si>
  <si>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</si>
  <si>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</si>
  <si>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</si>
  <si>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</si>
  <si>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</si>
  <si>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</si>
  <si>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</si>
  <si>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</si>
  <si>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</si>
  <si>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</si>
  <si>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</si>
  <si>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</si>
  <si>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</si>
  <si>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</si>
  <si>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</si>
  <si>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</si>
  <si>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</si>
  <si>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</si>
  <si>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</si>
  <si>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</si>
  <si>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</si>
  <si>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</si>
  <si>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</si>
  <si>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</si>
  <si>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</si>
  <si>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</si>
  <si>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</si>
  <si>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</si>
  <si>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</si>
  <si>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</si>
  <si>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</si>
  <si>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</si>
  <si>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</si>
  <si>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</si>
  <si>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</si>
  <si>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</si>
  <si>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</si>
  <si>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</si>
  <si>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</si>
  <si>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</si>
  <si>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</si>
  <si>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</si>
  <si>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</si>
  <si>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</si>
  <si>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</si>
  <si>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</si>
  <si>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</si>
  <si>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</si>
  <si>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</si>
  <si>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</si>
  <si>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</si>
  <si>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</si>
  <si>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</si>
  <si>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</si>
  <si>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</si>
  <si>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</si>
  <si>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</si>
  <si>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</si>
  <si>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</si>
  <si>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</si>
  <si>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</si>
  <si>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</si>
  <si>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</si>
  <si>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</si>
  <si>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</si>
  <si>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</si>
  <si>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</si>
  <si>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</si>
  <si>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</si>
  <si>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</si>
  <si>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</si>
  <si>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</si>
  <si>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</si>
  <si>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</si>
  <si>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</si>
  <si>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</si>
  <si>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</si>
  <si>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</si>
  <si>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</si>
  <si>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</si>
  <si>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</si>
  <si>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</si>
  <si>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</si>
  <si>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</si>
  <si>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</si>
  <si>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</si>
  <si>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</si>
  <si>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</si>
  <si>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</si>
  <si>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</si>
  <si>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</si>
  <si>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</si>
  <si>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</si>
  <si>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</si>
  <si>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</si>
  <si>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</si>
  <si>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</si>
  <si>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</si>
  <si>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</si>
  <si>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</si>
  <si>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</si>
  <si>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</si>
  <si>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</si>
  <si>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</si>
  <si>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</si>
  <si>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</si>
  <si>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</si>
  <si>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</si>
  <si>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</si>
  <si>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</si>
  <si>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</si>
  <si>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</si>
  <si>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</si>
  <si>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</si>
  <si>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</si>
  <si>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</si>
  <si>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</si>
  <si>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</si>
  <si>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</si>
  <si>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</si>
  <si>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</si>
  <si>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</si>
  <si>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</si>
  <si>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</si>
  <si>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</si>
  <si>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</si>
  <si>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</si>
  <si>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</si>
  <si>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</si>
  <si>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</si>
  <si>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</si>
  <si>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</si>
  <si>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</si>
  <si>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</si>
  <si>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</si>
  <si>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</si>
  <si>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</si>
  <si>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</si>
  <si>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</si>
  <si>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</si>
  <si>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</si>
  <si>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</si>
  <si>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</si>
  <si>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</si>
  <si>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</si>
  <si>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</si>
  <si>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</si>
  <si>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</si>
  <si>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</si>
  <si>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</si>
  <si>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</si>
  <si>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</si>
  <si>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</si>
  <si>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</si>
  <si>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</si>
  <si>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</si>
  <si>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</si>
  <si>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</si>
  <si>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</si>
  <si>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</si>
  <si>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</si>
  <si>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</si>
  <si>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</si>
  <si>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</si>
  <si>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</si>
  <si>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</si>
  <si>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</si>
  <si>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</si>
  <si>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</si>
  <si>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</si>
  <si>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</si>
  <si>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</si>
  <si>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</si>
  <si>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</si>
  <si>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</si>
  <si>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</si>
  <si>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</si>
  <si>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</si>
  <si>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</si>
  <si>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</si>
  <si>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</si>
  <si>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</si>
  <si>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</si>
  <si>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</si>
  <si>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</si>
  <si>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</si>
  <si>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</si>
  <si>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</si>
  <si>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</si>
  <si>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</si>
  <si>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</si>
  <si>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</si>
  <si>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</si>
  <si>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</si>
  <si>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</si>
  <si>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</si>
  <si>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</si>
  <si>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</si>
  <si>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</si>
  <si>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</si>
  <si>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</si>
  <si>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</si>
  <si>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</si>
  <si>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</si>
  <si>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</si>
  <si>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</si>
  <si>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</si>
  <si>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</si>
  <si>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</si>
  <si>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</si>
  <si>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</si>
  <si>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</si>
  <si>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</si>
  <si>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</si>
  <si>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</si>
  <si>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</si>
  <si>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</si>
  <si>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</si>
  <si>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</si>
  <si>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</si>
  <si>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</si>
  <si>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</si>
  <si>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</si>
  <si>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</si>
  <si>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</si>
  <si>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</si>
  <si>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</si>
  <si>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</si>
  <si>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</si>
  <si>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</si>
  <si>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</si>
  <si>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</si>
  <si>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</si>
  <si>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</si>
  <si>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</si>
  <si>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</si>
  <si>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</si>
  <si>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</si>
  <si>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</si>
  <si>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</si>
  <si>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</si>
  <si>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</si>
  <si>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</si>
  <si>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</si>
  <si>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</si>
  <si>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</si>
  <si>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</si>
  <si>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</si>
  <si>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</si>
  <si>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</si>
  <si>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</si>
  <si>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</si>
  <si>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</si>
  <si>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</si>
  <si>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</si>
  <si>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</si>
  <si>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</si>
  <si>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</si>
  <si>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</si>
  <si>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</si>
  <si>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</si>
  <si>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</si>
  <si>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</si>
  <si>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</si>
  <si>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</si>
  <si>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</si>
  <si>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</si>
  <si>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</si>
  <si>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</si>
  <si>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</si>
  <si>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</si>
  <si>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</si>
  <si>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</si>
  <si>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</si>
  <si>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</si>
  <si>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</si>
  <si>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</si>
  <si>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</si>
  <si>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</si>
  <si>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</si>
  <si>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</si>
  <si>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</si>
  <si>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</si>
  <si>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</si>
  <si>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</si>
  <si>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</si>
  <si>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</si>
  <si>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</si>
  <si>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</si>
  <si>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</si>
  <si>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</si>
  <si>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</si>
  <si>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</si>
  <si>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</si>
  <si>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</si>
  <si>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</si>
  <si>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</si>
  <si>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</si>
  <si>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</si>
  <si>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</si>
  <si>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</si>
  <si>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</si>
  <si>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</si>
  <si>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</si>
  <si>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</si>
  <si>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</si>
  <si>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</si>
  <si>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</si>
  <si>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</si>
  <si>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</si>
  <si>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</si>
  <si>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</si>
  <si>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</si>
  <si>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</si>
  <si>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</si>
  <si>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</si>
  <si>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</si>
  <si>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</si>
  <si>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</si>
  <si>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</si>
  <si>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</si>
  <si>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</si>
  <si>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</si>
  <si>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</si>
  <si>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</si>
  <si>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</si>
  <si>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</si>
  <si>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</si>
  <si>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</si>
  <si>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</si>
  <si>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</si>
  <si>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</si>
  <si>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</si>
  <si>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</si>
  <si>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</si>
  <si>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</si>
  <si>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</si>
  <si>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</si>
  <si>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</si>
  <si>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</si>
  <si>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</si>
  <si>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</si>
  <si>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</si>
  <si>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</si>
  <si>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</si>
  <si>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</si>
  <si>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</si>
  <si>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</si>
  <si>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</si>
  <si>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</si>
  <si>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</si>
  <si>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</si>
  <si>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</si>
  <si>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</si>
  <si>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</si>
  <si>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</si>
  <si>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</si>
  <si>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</si>
  <si>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</si>
  <si>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</si>
  <si>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</si>
  <si>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</si>
  <si>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</si>
  <si>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</si>
  <si>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</si>
  <si>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</si>
  <si>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</si>
  <si>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</si>
  <si>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</si>
  <si>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</si>
  <si>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</si>
  <si>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</si>
  <si>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</si>
  <si>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</si>
  <si>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</si>
  <si>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</si>
  <si>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</si>
  <si>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</si>
  <si>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</si>
  <si>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</si>
  <si>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</si>
  <si>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</si>
  <si>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</si>
  <si>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</si>
  <si>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</si>
  <si>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</si>
  <si>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</si>
  <si>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</si>
  <si>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</si>
  <si>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</si>
  <si>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</si>
  <si>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</si>
  <si>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</si>
  <si>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</si>
  <si>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</si>
  <si>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</si>
  <si>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</si>
  <si>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</si>
  <si>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</si>
  <si>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</si>
  <si>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</si>
  <si>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</si>
  <si>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</si>
  <si>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</si>
  <si>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</si>
  <si>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</si>
  <si>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</si>
  <si>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</si>
  <si>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</si>
  <si>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</si>
  <si>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</si>
  <si>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</si>
  <si>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</si>
  <si>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</si>
  <si>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</si>
  <si>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</si>
  <si>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</si>
  <si>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</si>
  <si>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</si>
  <si>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</si>
  <si>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</si>
  <si>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</si>
  <si>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</si>
  <si>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</si>
  <si>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</si>
  <si>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</si>
  <si>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</si>
  <si>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</si>
  <si>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</si>
  <si>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</si>
  <si>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</si>
  <si>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</si>
  <si>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</si>
  <si>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</si>
  <si>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</si>
  <si>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</si>
  <si>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</si>
  <si>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</si>
  <si>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</si>
  <si>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</si>
  <si>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</si>
  <si>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</si>
  <si>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</si>
  <si>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</si>
  <si>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</si>
  <si>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</si>
  <si>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</si>
  <si>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</si>
  <si>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</si>
  <si>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</si>
  <si>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</si>
  <si>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</si>
  <si>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</si>
  <si>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</si>
  <si>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</si>
  <si>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</si>
  <si>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</si>
  <si>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</si>
  <si>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</si>
  <si>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</si>
  <si>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</si>
  <si>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</si>
  <si>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</si>
  <si>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</si>
  <si>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</si>
  <si>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</si>
  <si>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</si>
  <si>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</si>
  <si>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</si>
  <si>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</si>
  <si>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</si>
  <si>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</si>
  <si>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</si>
  <si>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</si>
  <si>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</si>
  <si>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</si>
  <si>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</si>
  <si>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</si>
  <si>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</si>
  <si>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</si>
  <si>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</si>
  <si>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</si>
  <si>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</si>
  <si>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</si>
  <si>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</si>
  <si>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</si>
  <si>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</si>
  <si>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</si>
  <si>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</si>
  <si>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</si>
  <si>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</si>
  <si>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</si>
  <si>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</si>
  <si>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</si>
  <si>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</si>
  <si>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</si>
  <si>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</si>
  <si>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</si>
  <si>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</si>
  <si>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</si>
  <si>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</si>
  <si>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</si>
  <si>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</si>
  <si>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</si>
  <si>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</si>
  <si>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</si>
  <si>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</si>
  <si>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</si>
  <si>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</si>
  <si>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</si>
  <si>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</si>
  <si>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</si>
  <si>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</si>
  <si>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</si>
  <si>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</si>
  <si>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</si>
  <si>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</si>
  <si>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</si>
  <si>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</si>
  <si>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</si>
  <si>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</si>
  <si>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</si>
  <si>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</si>
  <si>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</si>
  <si>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</si>
  <si>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</si>
  <si>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</si>
  <si>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</si>
  <si>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</si>
  <si>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</si>
  <si>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</si>
  <si>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</si>
  <si>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</si>
  <si>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</si>
  <si>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</si>
  <si>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</si>
  <si>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</si>
  <si>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</si>
  <si>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</si>
  <si>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</si>
  <si>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</si>
  <si>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</si>
  <si>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</si>
  <si>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</si>
  <si>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</si>
  <si>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</si>
  <si>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</si>
  <si>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</si>
  <si>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</si>
  <si>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</si>
  <si>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</si>
  <si>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</si>
  <si>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</si>
  <si>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</si>
  <si>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</si>
  <si>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</si>
  <si>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</si>
  <si>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</si>
  <si>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</si>
  <si>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</si>
  <si>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</si>
  <si>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</si>
  <si>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</si>
  <si>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</si>
  <si>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</si>
  <si>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</si>
  <si>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</si>
  <si>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</si>
  <si>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</si>
  <si>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</si>
  <si>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</si>
  <si>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</si>
  <si>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</si>
  <si>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</si>
  <si>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</si>
  <si>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</si>
  <si>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</si>
  <si>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</si>
  <si>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</si>
  <si>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</si>
  <si>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</si>
  <si>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</si>
  <si>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</si>
  <si>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</si>
  <si>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</si>
  <si>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</si>
  <si>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</si>
  <si>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</si>
  <si>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</si>
  <si>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</si>
  <si>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</si>
  <si>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</si>
  <si>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</si>
  <si>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</si>
  <si>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</si>
  <si>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</si>
  <si>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</si>
  <si>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</si>
  <si>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</si>
  <si>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</si>
  <si>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</si>
  <si>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</si>
  <si>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</si>
  <si>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</si>
  <si>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</si>
  <si>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</si>
  <si>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</si>
  <si>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</si>
  <si>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</si>
  <si>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</si>
  <si>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</si>
  <si>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</si>
  <si>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</si>
  <si>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</si>
  <si>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</si>
  <si>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</si>
  <si>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</si>
  <si>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</si>
  <si>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</si>
  <si>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</si>
  <si>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</si>
  <si>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</si>
  <si>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</si>
  <si>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</si>
  <si>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</si>
  <si>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</si>
  <si>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</si>
  <si>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</si>
  <si>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</si>
  <si>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</si>
  <si>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</si>
  <si>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</si>
  <si>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</si>
  <si>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</si>
  <si>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</si>
  <si>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</si>
  <si>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</si>
  <si>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</si>
  <si>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</si>
  <si>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</si>
  <si>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</si>
  <si>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</si>
  <si>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</si>
  <si>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</si>
  <si>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</si>
  <si>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</si>
  <si>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</si>
  <si>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</si>
  <si>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</si>
  <si>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</si>
  <si>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</si>
  <si>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</si>
  <si>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</si>
  <si>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</si>
  <si>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</si>
  <si>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</si>
  <si>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</si>
  <si>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</si>
  <si>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</si>
  <si>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</si>
  <si>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</si>
  <si>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</si>
  <si>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</si>
  <si>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</si>
  <si>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</si>
  <si>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</si>
  <si>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</si>
  <si>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</si>
  <si>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</si>
  <si>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</si>
  <si>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</si>
  <si>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</si>
  <si>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</si>
  <si>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</si>
  <si>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</si>
  <si>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</si>
  <si>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</si>
  <si>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</si>
  <si>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</si>
  <si>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</si>
  <si>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</si>
  <si>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</si>
  <si>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</si>
  <si>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</si>
  <si>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</si>
  <si>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</si>
  <si>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</si>
  <si>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</si>
  <si>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</si>
  <si>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</si>
  <si>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</si>
  <si>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</si>
  <si>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</si>
  <si>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</si>
  <si>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</si>
  <si>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</si>
  <si>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</si>
  <si>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</si>
  <si>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</si>
  <si>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</si>
  <si>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</si>
  <si>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</si>
  <si>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</si>
  <si>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</si>
  <si>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</si>
  <si>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</si>
  <si>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</si>
  <si>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</si>
  <si>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</si>
  <si>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</si>
  <si>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</si>
  <si>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</si>
  <si>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</si>
  <si>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</si>
  <si>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</si>
  <si>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</si>
  <si>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</si>
  <si>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</si>
  <si>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</si>
  <si>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</si>
  <si>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</si>
  <si>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</si>
  <si>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</si>
  <si>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</si>
  <si>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</si>
  <si>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</si>
  <si>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</si>
  <si>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</si>
  <si>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</si>
  <si>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</si>
  <si>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</si>
  <si>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</si>
  <si>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</si>
  <si>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</si>
  <si>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</si>
  <si>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</si>
  <si>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</si>
  <si>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</si>
  <si>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</si>
  <si>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</si>
  <si>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</si>
  <si>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</si>
  <si>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</si>
  <si>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</si>
  <si>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</si>
  <si>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</si>
  <si>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</si>
  <si>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</si>
  <si>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</si>
  <si>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</si>
  <si>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</si>
  <si>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</si>
  <si>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</si>
  <si>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</si>
  <si>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</si>
  <si>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</si>
  <si>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</si>
  <si>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</si>
  <si>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</si>
  <si>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</si>
  <si>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</si>
  <si>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</si>
  <si>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</si>
  <si>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</si>
  <si>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</si>
  <si>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</si>
  <si>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</si>
  <si>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</si>
  <si>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</si>
  <si>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</si>
  <si>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</si>
  <si>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</si>
  <si>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</si>
  <si>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</si>
  <si>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</si>
  <si>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</si>
  <si>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</si>
  <si>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</si>
  <si>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</si>
  <si>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</si>
  <si>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</si>
  <si>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</si>
  <si>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</si>
  <si>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</si>
  <si>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</si>
  <si>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</si>
  <si>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</si>
  <si>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</si>
  <si>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</si>
  <si>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</si>
  <si>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</si>
  <si>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</si>
  <si>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</si>
  <si>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</si>
  <si>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</si>
  <si>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</si>
  <si>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</si>
  <si>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</si>
  <si>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</si>
  <si>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</si>
  <si>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</si>
  <si>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</si>
  <si>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</si>
  <si>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</si>
  <si>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</si>
  <si>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</si>
  <si>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</si>
  <si>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</si>
  <si>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</si>
  <si>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</si>
  <si>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</si>
  <si>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</si>
  <si>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</si>
  <si>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</si>
  <si>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</si>
  <si>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</si>
  <si>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</si>
  <si>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</si>
  <si>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</si>
  <si>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</si>
  <si>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</si>
  <si>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</si>
  <si>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</si>
  <si>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</si>
  <si>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</si>
  <si>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</si>
  <si>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</si>
  <si>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</si>
  <si>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</si>
  <si>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</si>
  <si>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</si>
  <si>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</si>
  <si>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</si>
  <si>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</si>
  <si>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</si>
  <si>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</si>
  <si>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</si>
  <si>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</si>
  <si>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</si>
  <si>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</si>
  <si>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</si>
  <si>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</si>
  <si>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</si>
  <si>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</si>
  <si>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</si>
  <si>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</si>
  <si>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</si>
  <si>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</si>
  <si>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</si>
  <si>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</si>
  <si>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</si>
  <si>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</si>
  <si>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</si>
  <si>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</si>
  <si>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</si>
  <si>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</si>
  <si>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</si>
  <si>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</si>
  <si>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</si>
  <si>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</si>
  <si>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</si>
  <si>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</si>
  <si>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</si>
  <si>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</si>
  <si>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</si>
  <si>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</si>
  <si>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</si>
  <si>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</si>
  <si>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</si>
  <si>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</si>
  <si>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</si>
  <si>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</si>
  <si>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</si>
  <si>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</si>
  <si>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</si>
  <si>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</si>
  <si>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</si>
  <si>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</si>
  <si>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</si>
  <si>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</si>
  <si>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</si>
  <si>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</si>
  <si>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</si>
  <si>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</si>
  <si>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</si>
  <si>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</si>
  <si>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</si>
  <si>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</si>
  <si>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</si>
  <si>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</si>
  <si>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</si>
  <si>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</si>
  <si>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</si>
  <si>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</si>
  <si>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</si>
  <si>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</si>
  <si>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</si>
  <si>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</si>
  <si>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</si>
  <si>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</si>
  <si>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</si>
  <si>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</si>
  <si>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</si>
  <si>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</si>
  <si>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</si>
  <si>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</si>
  <si>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</si>
  <si>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</si>
  <si>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</si>
  <si>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</si>
  <si>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</si>
  <si>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</si>
  <si>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</si>
  <si>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</si>
  <si>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</si>
  <si>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</si>
  <si>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</si>
  <si>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</si>
  <si>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</si>
  <si>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</si>
  <si>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</si>
  <si>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</si>
  <si>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</si>
  <si>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</si>
  <si>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</si>
  <si>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</si>
  <si>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</si>
  <si>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</si>
  <si>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</si>
  <si>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</si>
  <si>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</si>
  <si>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</si>
  <si>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</si>
  <si>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</si>
  <si>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</si>
  <si>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</si>
  <si>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</si>
  <si>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</si>
  <si>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</si>
  <si>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</si>
  <si>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</si>
  <si>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</si>
  <si>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</si>
  <si>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</si>
  <si>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</si>
  <si>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</si>
  <si>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</si>
  <si>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</si>
  <si>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</si>
  <si>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</si>
  <si>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</si>
  <si>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</si>
  <si>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</si>
  <si>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</si>
  <si>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</si>
  <si>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</si>
  <si>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</si>
  <si>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</si>
  <si>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</si>
  <si>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</si>
  <si>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</si>
  <si>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</si>
  <si>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</si>
  <si>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</si>
  <si>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</si>
  <si>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</si>
  <si>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</si>
  <si>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</si>
  <si>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</si>
  <si>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</si>
  <si>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</si>
  <si>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</si>
  <si>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</si>
  <si>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</si>
  <si>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</si>
  <si>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</si>
  <si>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</si>
  <si>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</si>
  <si>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</si>
  <si>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</si>
  <si>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</si>
  <si>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</si>
  <si>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</si>
  <si>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</si>
  <si>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</si>
  <si>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</si>
  <si>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</si>
  <si>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</si>
  <si>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</si>
  <si>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</si>
  <si>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</si>
  <si>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</si>
  <si>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</si>
  <si>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</si>
  <si>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</si>
  <si>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</si>
  <si>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</si>
  <si>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</si>
  <si>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</si>
  <si>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</si>
  <si>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</si>
  <si>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</si>
  <si>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</si>
  <si>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</si>
  <si>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</si>
  <si>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</si>
  <si>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</si>
  <si>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</si>
  <si>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</si>
  <si>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</si>
  <si>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</si>
  <si>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</si>
  <si>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</si>
  <si>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</si>
  <si>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</si>
  <si>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</si>
  <si>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</si>
  <si>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</si>
  <si>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</si>
  <si>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</si>
  <si>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</si>
  <si>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</si>
  <si>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</si>
  <si>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</si>
  <si>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</si>
  <si>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</si>
  <si>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</si>
  <si>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</si>
  <si>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</si>
  <si>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</si>
  <si>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</si>
  <si>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</si>
  <si>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</si>
  <si>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</si>
  <si>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</si>
  <si>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</si>
  <si>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</si>
  <si>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</si>
  <si>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</si>
  <si>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</si>
  <si>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</si>
  <si>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</si>
  <si>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</si>
  <si>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</si>
  <si>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</si>
  <si>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</si>
  <si>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</si>
  <si>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</si>
  <si>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</si>
  <si>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</si>
  <si>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</si>
  <si>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</si>
  <si>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</si>
  <si>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</si>
  <si>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</si>
  <si>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</si>
  <si>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</si>
  <si>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</si>
  <si>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</si>
  <si>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</si>
  <si>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</si>
  <si>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</si>
  <si>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</si>
  <si>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</si>
  <si>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</si>
  <si>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</si>
  <si>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</si>
  <si>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</si>
  <si>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</si>
  <si>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</si>
  <si>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</si>
  <si>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</si>
  <si>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</si>
  <si>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</si>
  <si>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</si>
  <si>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</si>
  <si>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</si>
  <si>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</si>
  <si>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</si>
  <si>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</si>
  <si>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</si>
  <si>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</si>
  <si>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</si>
  <si>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</si>
  <si>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</si>
  <si>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</si>
  <si>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</si>
  <si>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</si>
  <si>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</si>
  <si>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</si>
  <si>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</si>
  <si>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</si>
  <si>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</si>
  <si>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</si>
  <si>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</si>
  <si>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</si>
  <si>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</si>
  <si>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</si>
  <si>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</si>
  <si>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</si>
  <si>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</si>
  <si>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</si>
  <si>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</si>
  <si>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</si>
  <si>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</si>
  <si>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</si>
  <si>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</si>
  <si>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</si>
  <si>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</si>
  <si>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</si>
  <si>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</si>
  <si>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</si>
  <si>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</si>
  <si>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</si>
  <si>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</si>
  <si>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</si>
  <si>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</si>
  <si>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</si>
  <si>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</si>
  <si>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</si>
  <si>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</si>
  <si>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</si>
  <si>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</si>
  <si>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</si>
  <si>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</si>
  <si>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</si>
  <si>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</si>
  <si>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</si>
  <si>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</si>
  <si>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</si>
  <si>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</si>
  <si>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</si>
  <si>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</si>
  <si>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</si>
  <si>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</si>
  <si>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</si>
  <si>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</si>
  <si>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</si>
  <si>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</si>
  <si>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</si>
  <si>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</si>
  <si>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</si>
  <si>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</si>
  <si>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</si>
  <si>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</si>
  <si>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</si>
  <si>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</si>
  <si>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</si>
  <si>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</si>
  <si>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</si>
  <si>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</si>
  <si>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</si>
  <si>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</si>
  <si>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</si>
  <si>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</si>
  <si>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</si>
  <si>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</si>
  <si>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</si>
  <si>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</si>
  <si>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</si>
  <si>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</si>
  <si>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</si>
  <si>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</si>
  <si>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</si>
  <si>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</si>
  <si>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</si>
  <si>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</si>
  <si>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</si>
  <si>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</si>
  <si>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</si>
  <si>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</si>
  <si>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</si>
  <si>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</si>
  <si>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</si>
  <si>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</si>
  <si>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</si>
  <si>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</si>
  <si>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</si>
  <si>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</si>
  <si>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</si>
  <si>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</si>
  <si>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</si>
  <si>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</si>
  <si>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</si>
  <si>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</si>
  <si>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</si>
  <si>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</si>
  <si>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</si>
  <si>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</si>
  <si>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</si>
  <si>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</si>
  <si>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</si>
  <si>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</si>
  <si>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</si>
  <si>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</si>
  <si>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</si>
  <si>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</si>
  <si>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</si>
  <si>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</si>
  <si>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</si>
  <si>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</si>
  <si>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</si>
  <si>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</si>
  <si>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</si>
  <si>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</si>
  <si>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</si>
  <si>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</si>
  <si>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</si>
  <si>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</si>
  <si>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</si>
  <si>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</si>
  <si>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</si>
  <si>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</si>
  <si>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</si>
  <si>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</si>
  <si>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</si>
  <si>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</si>
  <si>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</si>
  <si>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</si>
  <si>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</si>
  <si>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</si>
  <si>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</si>
  <si>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</si>
  <si>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</si>
  <si>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</si>
  <si>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</si>
  <si>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</si>
  <si>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</si>
  <si>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</si>
  <si>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</si>
  <si>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</si>
  <si>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</si>
  <si>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</si>
  <si>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</si>
  <si>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</si>
  <si>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</si>
  <si>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</si>
  <si>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</si>
  <si>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</si>
  <si>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</si>
  <si>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</si>
  <si>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</si>
  <si>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</si>
  <si>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</si>
  <si>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</si>
  <si>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</si>
  <si>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</si>
  <si>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</si>
  <si>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</si>
  <si>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</si>
  <si>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</si>
  <si>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</si>
  <si>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</si>
  <si>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</si>
  <si>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</si>
  <si>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</si>
  <si>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</si>
  <si>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</si>
  <si>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</si>
  <si>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</si>
  <si>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</si>
  <si>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</si>
  <si>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</si>
  <si>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</si>
  <si>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</si>
  <si>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</si>
  <si>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</si>
  <si>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</si>
  <si>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</si>
  <si>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</si>
  <si>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</si>
  <si>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</si>
  <si>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</si>
  <si>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</si>
  <si>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</si>
  <si>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</si>
  <si>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</si>
  <si>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</si>
  <si>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</si>
  <si>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</si>
  <si>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</si>
  <si>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</si>
  <si>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</si>
  <si>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</si>
  <si>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</si>
  <si>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</si>
  <si>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</si>
  <si>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</si>
  <si>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</si>
  <si>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</si>
  <si>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</si>
  <si>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</si>
  <si>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</si>
  <si>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</si>
  <si>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</si>
  <si>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</si>
  <si>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</si>
  <si>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</si>
  <si>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</si>
  <si>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</si>
  <si>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</si>
  <si>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</si>
  <si>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</si>
  <si>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</si>
  <si>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</si>
  <si>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</si>
  <si>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</si>
  <si>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</si>
  <si>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</si>
  <si>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</si>
  <si>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</si>
  <si>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</si>
  <si>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</si>
  <si>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</si>
  <si>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</si>
  <si>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</si>
  <si>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</si>
  <si>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</si>
  <si>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</si>
  <si>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</si>
  <si>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</si>
  <si>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</si>
  <si>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</si>
  <si>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</si>
  <si>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</si>
  <si>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</si>
  <si>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</si>
  <si>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</si>
  <si>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</si>
  <si>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</si>
  <si>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</si>
  <si>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</si>
  <si>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</si>
  <si>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</si>
  <si>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</si>
  <si>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</si>
  <si>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</si>
  <si>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</si>
  <si>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</si>
  <si>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</si>
  <si>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</si>
  <si>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</si>
  <si>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</si>
  <si>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</si>
  <si>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</si>
  <si>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</si>
  <si>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</si>
  <si>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</si>
  <si>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</si>
  <si>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</si>
  <si>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</si>
  <si>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</si>
  <si>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</si>
  <si>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</si>
  <si>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</si>
  <si>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</si>
  <si>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</si>
  <si>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</si>
  <si>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</si>
  <si>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</si>
  <si>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</si>
  <si>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</si>
  <si>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</si>
  <si>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</si>
  <si>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</si>
  <si>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</si>
  <si>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</si>
  <si>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</si>
  <si>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</si>
  <si>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</si>
  <si>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</si>
  <si>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</si>
  <si>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</si>
  <si>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</si>
  <si>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</si>
  <si>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</si>
  <si>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</si>
  <si>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</si>
  <si>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</si>
  <si>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</si>
  <si>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</si>
  <si>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</si>
  <si>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</si>
  <si>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</si>
  <si>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</si>
  <si>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</si>
  <si>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</si>
  <si>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</si>
  <si>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</si>
  <si>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</si>
  <si>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</si>
  <si>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</si>
  <si>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</si>
  <si>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</si>
  <si>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</si>
  <si>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</si>
  <si>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</si>
  <si>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</si>
  <si>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</si>
  <si>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</si>
  <si>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</si>
  <si>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</si>
  <si>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</si>
  <si>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</si>
  <si>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</si>
  <si>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</si>
  <si>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</si>
  <si>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</si>
  <si>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</si>
  <si>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</si>
  <si>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</si>
  <si>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</si>
  <si>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</si>
  <si>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</si>
  <si>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</si>
  <si>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</si>
  <si>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</si>
  <si>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</si>
  <si>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</si>
  <si>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</si>
  <si>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</si>
  <si>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</si>
  <si>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</si>
  <si>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</si>
  <si>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</si>
  <si>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</si>
  <si>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</si>
  <si>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</si>
  <si>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</si>
  <si>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</si>
  <si>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</si>
  <si>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</si>
  <si>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</si>
  <si>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</si>
  <si>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</si>
  <si>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</si>
  <si>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</si>
  <si>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</si>
  <si>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</si>
  <si>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</si>
  <si>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</si>
  <si>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</si>
  <si>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</si>
  <si>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</si>
  <si>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</si>
  <si>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</si>
  <si>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</si>
  <si>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</si>
  <si>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</si>
  <si>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</si>
  <si>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</si>
  <si>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</si>
  <si>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</si>
  <si>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</si>
  <si>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</si>
  <si>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</si>
  <si>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</si>
  <si>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</si>
  <si>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</si>
  <si>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</si>
  <si>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</si>
  <si>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</si>
  <si>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</si>
  <si>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</si>
  <si>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</si>
  <si>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</si>
  <si>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</si>
  <si>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</si>
  <si>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</si>
  <si>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</si>
  <si>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</si>
  <si>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</si>
  <si>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</si>
  <si>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</si>
  <si>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</si>
  <si>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</si>
  <si>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</si>
  <si>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</si>
  <si>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</si>
  <si>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</si>
  <si>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</si>
  <si>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</si>
  <si>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</si>
  <si>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</si>
  <si>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</si>
  <si>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</si>
  <si>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</si>
  <si>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</si>
  <si>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</si>
  <si>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</si>
  <si>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</si>
  <si>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</si>
  <si>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</si>
  <si>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</si>
  <si>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</si>
  <si>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</si>
  <si>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</si>
  <si>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</si>
  <si>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</si>
  <si>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</si>
  <si>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</si>
  <si>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</si>
  <si>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</si>
  <si>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</si>
  <si>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</si>
  <si>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</si>
  <si>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</si>
  <si>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</si>
  <si>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</si>
  <si>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</si>
  <si>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</si>
  <si>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</si>
  <si>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</si>
  <si>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</si>
  <si>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</si>
  <si>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</si>
  <si>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</si>
  <si>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</si>
  <si>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</si>
  <si>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</si>
  <si>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</si>
  <si>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</si>
  <si>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</si>
  <si>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</si>
  <si>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</si>
  <si>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</si>
  <si>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</si>
  <si>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</si>
  <si>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</si>
  <si>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</si>
  <si>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</si>
  <si>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</si>
  <si>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</si>
  <si>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</si>
  <si>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</si>
  <si>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</si>
  <si>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</si>
  <si>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</si>
  <si>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</si>
  <si>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</si>
  <si>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</si>
  <si>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</si>
  <si>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</si>
  <si>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</si>
  <si>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</si>
  <si>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</si>
  <si>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</si>
  <si>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</si>
  <si>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</si>
  <si>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</si>
  <si>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</si>
  <si>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</si>
  <si>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</si>
  <si>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</si>
  <si>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</si>
  <si>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</si>
  <si>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</si>
  <si>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</si>
  <si>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</si>
  <si>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</si>
  <si>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</si>
  <si>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</si>
  <si>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</si>
  <si>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</si>
  <si>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</si>
  <si>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</si>
  <si>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</si>
  <si>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</si>
  <si>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</si>
  <si>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</si>
  <si>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</si>
  <si>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</si>
  <si>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</si>
  <si>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</si>
  <si>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</si>
  <si>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</si>
  <si>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</si>
  <si>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</si>
  <si>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</si>
  <si>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</si>
  <si>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</si>
  <si>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</si>
  <si>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</si>
  <si>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</si>
  <si>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</si>
  <si>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</si>
  <si>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</si>
  <si>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</si>
  <si>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</si>
  <si>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</si>
  <si>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</si>
  <si>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</si>
  <si>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</si>
  <si>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</si>
  <si>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</si>
  <si>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</si>
  <si>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</si>
  <si>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</si>
  <si>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</si>
  <si>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</si>
  <si>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</si>
  <si>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</si>
  <si>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</si>
  <si>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</si>
  <si>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</si>
  <si>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</si>
  <si>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</si>
  <si>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</si>
  <si>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</si>
  <si>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</si>
  <si>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</si>
  <si>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</si>
  <si>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</si>
  <si>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</si>
  <si>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</si>
  <si>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</si>
  <si>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</si>
  <si>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</si>
  <si>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</si>
  <si>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</si>
  <si>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</si>
  <si>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</si>
  <si>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</si>
  <si>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</si>
  <si>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</si>
  <si>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</si>
  <si>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</si>
  <si>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</si>
  <si>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</si>
  <si>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</si>
  <si>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</si>
  <si>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</si>
  <si>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</si>
  <si>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</si>
  <si>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</si>
  <si>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</si>
  <si>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</si>
  <si>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</si>
  <si>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</si>
  <si>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</si>
  <si>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</si>
  <si>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</si>
  <si>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</si>
  <si>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</si>
  <si>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</si>
  <si>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</si>
  <si>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</si>
  <si>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</si>
  <si>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</si>
  <si>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</si>
  <si>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</si>
  <si>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</si>
  <si>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</si>
  <si>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</si>
  <si>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</si>
  <si>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</si>
  <si>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</si>
  <si>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</si>
  <si>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</si>
  <si>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</si>
  <si>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</si>
  <si>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</si>
  <si>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</si>
  <si>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</si>
  <si>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</si>
  <si>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</si>
  <si>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</si>
  <si>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</si>
  <si>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</si>
  <si>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</si>
  <si>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</si>
  <si>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</si>
  <si>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</si>
  <si>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</si>
  <si>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</si>
  <si>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</si>
  <si>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</si>
  <si>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</si>
  <si>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</si>
  <si>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</si>
  <si>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</si>
  <si>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</si>
  <si>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</si>
  <si>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</si>
  <si>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</si>
  <si>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</si>
  <si>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</si>
  <si>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</si>
  <si>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</si>
  <si>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</si>
  <si>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</si>
  <si>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</si>
  <si>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</si>
  <si>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</si>
  <si>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</si>
  <si>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</si>
  <si>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</si>
  <si>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</si>
  <si>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</si>
  <si>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</si>
  <si>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</si>
  <si>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</si>
  <si>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</si>
  <si>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</si>
  <si>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</si>
  <si>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</si>
  <si>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</si>
  <si>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</si>
  <si>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</si>
  <si>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</si>
  <si>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</si>
  <si>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</si>
  <si>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</si>
  <si>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</si>
  <si>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</si>
  <si>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</si>
  <si>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</si>
  <si>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</si>
  <si>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</si>
  <si>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</si>
  <si>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</si>
  <si>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</si>
  <si>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</si>
  <si>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</si>
  <si>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</si>
  <si>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</si>
  <si>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</si>
  <si>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</si>
  <si>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</si>
  <si>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</si>
  <si>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</si>
  <si>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</si>
  <si>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</si>
  <si>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</si>
  <si>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</si>
  <si>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</si>
  <si>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</si>
  <si>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</si>
  <si>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</si>
  <si>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</si>
  <si>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</si>
  <si>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</si>
  <si>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</si>
  <si>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</si>
  <si>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</si>
  <si>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</si>
  <si>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</si>
  <si>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</si>
  <si>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</si>
  <si>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</si>
  <si>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</si>
  <si>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</si>
  <si>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</si>
  <si>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</si>
  <si>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</si>
  <si>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</si>
  <si>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</si>
  <si>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</si>
  <si>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</si>
  <si>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</si>
  <si>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</si>
  <si>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</si>
  <si>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</si>
  <si>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</si>
  <si>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</si>
  <si>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</si>
  <si>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</si>
  <si>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</si>
  <si>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</si>
  <si>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</si>
  <si>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</si>
  <si>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</si>
  <si>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</si>
  <si>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</si>
  <si>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</si>
  <si>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</si>
  <si>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</si>
  <si>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</si>
  <si>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</si>
  <si>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</si>
  <si>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</si>
  <si>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</si>
  <si>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</si>
  <si>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</si>
  <si>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</si>
  <si>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</si>
  <si>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</si>
  <si>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</si>
  <si>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</si>
  <si>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</si>
  <si>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</si>
  <si>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</si>
  <si>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</si>
  <si>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</si>
  <si>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</si>
  <si>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</si>
  <si>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</si>
  <si>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</si>
  <si>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</si>
  <si>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</si>
  <si>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</si>
  <si>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</si>
  <si>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</si>
  <si>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</si>
  <si>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</si>
  <si>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</si>
  <si>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</si>
  <si>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</si>
  <si>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</si>
  <si>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</si>
  <si>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</si>
  <si>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</si>
  <si>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</si>
  <si>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</si>
  <si>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</si>
  <si>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</si>
  <si>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</si>
  <si>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</si>
  <si>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</si>
  <si>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</si>
  <si>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</si>
  <si>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</si>
  <si>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</si>
  <si>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</si>
  <si>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</si>
  <si>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</si>
  <si>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</si>
  <si>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</si>
  <si>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</si>
  <si>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</si>
  <si>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</si>
  <si>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</si>
  <si>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</si>
  <si>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</si>
  <si>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</si>
  <si>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</si>
  <si>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</si>
  <si>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</si>
  <si>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</si>
  <si>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</si>
  <si>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</si>
  <si>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</si>
  <si>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</si>
  <si>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</si>
  <si>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</si>
  <si>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</si>
  <si>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</si>
  <si>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</si>
  <si>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</si>
  <si>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</si>
  <si>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</si>
  <si>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</si>
  <si>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</si>
  <si>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</si>
  <si>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</si>
  <si>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</si>
  <si>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</si>
  <si>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</si>
  <si>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</si>
  <si>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</si>
  <si>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</si>
  <si>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</si>
  <si>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</si>
  <si>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</si>
  <si>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</si>
  <si>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</si>
  <si>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</si>
  <si>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</si>
  <si>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</si>
  <si>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</si>
  <si>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</si>
  <si>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</si>
  <si>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</si>
  <si>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</si>
  <si>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</si>
  <si>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</si>
  <si>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</si>
  <si>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</si>
  <si>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</si>
  <si>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</si>
  <si>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</si>
  <si>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</si>
  <si>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</si>
  <si>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</si>
  <si>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</si>
  <si>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</si>
  <si>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</si>
  <si>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</si>
  <si>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</si>
  <si>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</si>
  <si>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</si>
  <si>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</si>
  <si>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</si>
  <si>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</si>
  <si>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</si>
  <si>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</si>
  <si>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</si>
  <si>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</si>
  <si>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</si>
  <si>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</si>
  <si>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</si>
  <si>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</si>
  <si>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</si>
  <si>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</si>
  <si>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</si>
  <si>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</si>
  <si>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</si>
  <si>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</si>
  <si>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</si>
  <si>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</si>
  <si>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</si>
  <si>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</si>
  <si>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</si>
  <si>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</si>
  <si>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</si>
  <si>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</si>
  <si>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</si>
  <si>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</si>
  <si>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</si>
  <si>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</si>
  <si>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</si>
  <si>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</si>
  <si>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</si>
  <si>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</si>
  <si>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</si>
  <si>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</si>
  <si>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</si>
  <si>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</si>
  <si>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</si>
  <si>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</si>
  <si>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</si>
  <si>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</si>
  <si>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</si>
  <si>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</si>
  <si>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</si>
  <si>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</si>
  <si>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</si>
  <si>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</si>
  <si>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</si>
  <si>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</si>
  <si>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</si>
  <si>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</si>
  <si>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</si>
  <si>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</si>
  <si>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</si>
  <si>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</si>
  <si>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</si>
  <si>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</si>
  <si>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</si>
  <si>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</si>
  <si>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</si>
  <si>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</si>
  <si>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</si>
  <si>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</si>
  <si>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</si>
  <si>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</si>
  <si>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</si>
  <si>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</si>
  <si>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</si>
  <si>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</si>
  <si>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</si>
  <si>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</si>
  <si>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</si>
  <si>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</si>
  <si>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</si>
  <si>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</si>
  <si>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</si>
  <si>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</si>
  <si>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</si>
  <si>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</si>
  <si>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</si>
  <si>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</si>
  <si>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</si>
  <si>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</si>
  <si>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</si>
  <si>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</si>
  <si>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</si>
  <si>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</si>
  <si>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</si>
  <si>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</si>
  <si>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</si>
  <si>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</si>
  <si>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</si>
  <si>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</si>
  <si>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</si>
  <si>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</si>
  <si>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</si>
  <si>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</si>
  <si>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</si>
  <si>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</si>
  <si>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</si>
  <si>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</si>
  <si>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</si>
  <si>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</si>
  <si>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</si>
  <si>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</si>
  <si>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</si>
  <si>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</si>
  <si>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</si>
  <si>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</si>
  <si>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</si>
  <si>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</si>
  <si>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</si>
  <si>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</si>
  <si>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</si>
  <si>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</si>
  <si>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</si>
  <si>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</si>
  <si>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</si>
  <si>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</si>
  <si>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</si>
  <si>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</si>
  <si>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</si>
  <si>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</si>
  <si>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</si>
  <si>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</si>
  <si>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</si>
  <si>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</si>
  <si>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</si>
  <si>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</si>
  <si>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</si>
  <si>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</si>
  <si>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</si>
  <si>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</si>
  <si>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</si>
  <si>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</si>
  <si>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</si>
  <si>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</si>
  <si>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</si>
  <si>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</si>
  <si>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</si>
  <si>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</si>
  <si>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</si>
  <si>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</si>
  <si>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</si>
  <si>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</si>
  <si>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</si>
  <si>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</si>
  <si>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</si>
  <si>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</si>
  <si>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</si>
  <si>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</si>
  <si>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</si>
  <si>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</si>
  <si>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</si>
  <si>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</si>
  <si>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</si>
  <si>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</si>
  <si>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</si>
  <si>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</si>
  <si>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</si>
  <si>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</si>
  <si>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</si>
  <si>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</si>
  <si>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</si>
  <si>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</si>
  <si>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</si>
  <si>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</si>
  <si>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</si>
  <si>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</si>
  <si>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</si>
  <si>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</si>
  <si>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</si>
  <si>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</si>
  <si>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</si>
  <si>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</si>
  <si>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</si>
  <si>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</si>
  <si>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</si>
  <si>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</si>
  <si>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</si>
  <si>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</si>
  <si>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</si>
  <si>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</si>
  <si>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</si>
  <si>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</si>
  <si>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</si>
  <si>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</si>
  <si>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</si>
  <si>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</si>
  <si>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</si>
  <si>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</si>
  <si>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</si>
  <si>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</si>
  <si>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</si>
  <si>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</si>
  <si>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</si>
  <si>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</si>
  <si>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</si>
  <si>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</si>
  <si>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</si>
  <si>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</si>
  <si>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</si>
  <si>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</si>
  <si>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</si>
  <si>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</si>
  <si>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</si>
  <si>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</si>
  <si>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</si>
  <si>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</si>
  <si>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</si>
  <si>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</si>
  <si>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</si>
  <si>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</si>
  <si>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</si>
  <si>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</si>
  <si>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</si>
  <si>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</si>
  <si>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</si>
  <si>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</si>
  <si>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</si>
  <si>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</si>
  <si>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</si>
  <si>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</si>
  <si>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</si>
  <si>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</si>
  <si>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</si>
  <si>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</si>
  <si>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</si>
  <si>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</si>
  <si>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</si>
  <si>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</si>
  <si>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</si>
  <si>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</si>
  <si>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</si>
  <si>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</si>
  <si>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</si>
  <si>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</si>
  <si>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</si>
  <si>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</si>
  <si>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</si>
  <si>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</si>
  <si>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</si>
  <si>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</si>
  <si>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</si>
  <si>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</si>
  <si>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</si>
  <si>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</si>
  <si>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</si>
  <si>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</si>
  <si>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</si>
  <si>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</si>
  <si>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</si>
  <si>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</si>
  <si>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</si>
  <si>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</si>
  <si>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</si>
  <si>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</si>
  <si>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</si>
  <si>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</si>
  <si>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</si>
  <si>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</si>
  <si>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</si>
  <si>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</si>
  <si>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</si>
  <si>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</si>
  <si>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</si>
  <si>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</si>
  <si>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</si>
  <si>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</si>
  <si>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</si>
  <si>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</si>
  <si>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</si>
  <si>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</si>
  <si>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</si>
  <si>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</si>
  <si>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</si>
  <si>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</si>
  <si>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</si>
  <si>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</si>
  <si>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</si>
  <si>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</si>
  <si>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</si>
  <si>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</si>
  <si>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</si>
  <si>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</si>
  <si>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</si>
  <si>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</si>
  <si>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</si>
  <si>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</si>
  <si>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</si>
  <si>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</si>
  <si>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</si>
  <si>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</si>
  <si>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</si>
  <si>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</si>
  <si>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</si>
  <si>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</si>
  <si>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</si>
  <si>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</si>
  <si>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</si>
  <si>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</si>
  <si>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</si>
  <si>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</si>
  <si>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</si>
  <si>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</si>
  <si>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</si>
  <si>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</si>
  <si>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</si>
  <si>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</si>
  <si>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</si>
  <si>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</si>
  <si>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</si>
  <si>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</si>
  <si>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</si>
  <si>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</si>
  <si>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</si>
  <si>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</si>
  <si>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</si>
  <si>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</si>
  <si>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</si>
  <si>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</si>
  <si>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</si>
  <si>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</si>
  <si>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</si>
  <si>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</si>
  <si>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</si>
  <si>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</si>
  <si>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</si>
  <si>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</si>
  <si>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</si>
  <si>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</si>
  <si>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</si>
  <si>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</si>
  <si>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</si>
  <si>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</si>
  <si>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</si>
  <si>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</si>
  <si>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</si>
  <si>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</si>
  <si>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</si>
  <si>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</si>
  <si>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</si>
  <si>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</si>
  <si>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</si>
  <si>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</si>
  <si>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</si>
  <si>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</si>
  <si>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</si>
  <si>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</si>
  <si>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</si>
  <si>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</si>
  <si>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</si>
  <si>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</si>
  <si>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</si>
  <si>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</si>
  <si>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</si>
  <si>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</si>
  <si>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</si>
  <si>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</si>
  <si>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</si>
  <si>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</si>
  <si>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</si>
  <si>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</si>
  <si>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</si>
  <si>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</si>
  <si>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</si>
  <si>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</si>
  <si>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</si>
  <si>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</si>
  <si>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</si>
  <si>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</si>
  <si>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</si>
  <si>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</si>
  <si>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</si>
  <si>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</si>
  <si>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</si>
  <si>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</si>
  <si>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</si>
  <si>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</si>
  <si>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</si>
  <si>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</si>
  <si>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</si>
  <si>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</si>
  <si>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</si>
  <si>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</si>
  <si>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</si>
  <si>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</si>
  <si>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</si>
  <si>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</si>
  <si>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</si>
  <si>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</si>
  <si>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</si>
  <si>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</si>
  <si>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</si>
  <si>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</si>
  <si>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</si>
  <si>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</si>
  <si>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</si>
  <si>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</si>
  <si>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</si>
  <si>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</si>
  <si>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</si>
  <si>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</si>
  <si>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</si>
  <si>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</si>
  <si>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</si>
  <si>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</si>
  <si>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</si>
  <si>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</si>
  <si>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</si>
  <si>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</si>
  <si>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</si>
  <si>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</si>
  <si>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</si>
  <si>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</si>
  <si>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</si>
  <si>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</si>
  <si>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</si>
  <si>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</si>
  <si>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</si>
  <si>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</si>
  <si>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</si>
  <si>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</si>
  <si>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</si>
  <si>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</si>
  <si>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</si>
  <si>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</si>
  <si>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</si>
  <si>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</si>
  <si>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</si>
  <si>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</si>
  <si>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</si>
  <si>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</si>
  <si>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</si>
  <si>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</si>
  <si>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</si>
  <si>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</si>
  <si>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</si>
  <si>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</si>
  <si>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</si>
  <si>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</si>
  <si>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</si>
  <si>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</si>
  <si>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</si>
  <si>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</si>
  <si>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</si>
  <si>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</si>
  <si>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</si>
  <si>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</si>
  <si>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</si>
  <si>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</si>
  <si>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</si>
  <si>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</si>
  <si>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</si>
  <si>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</si>
  <si>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</si>
  <si>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</si>
  <si>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</si>
  <si>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</si>
  <si>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</si>
  <si>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</si>
  <si>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</si>
  <si>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</si>
  <si>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</si>
  <si>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</si>
  <si>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</si>
  <si>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</si>
  <si>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</si>
  <si>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</si>
  <si>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</si>
  <si>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</si>
  <si>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</si>
  <si>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</si>
  <si>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</si>
  <si>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</si>
  <si>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</si>
  <si>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</si>
  <si>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</si>
  <si>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</si>
  <si>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</si>
  <si>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</si>
  <si>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</si>
  <si>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</si>
  <si>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</si>
  <si>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</si>
  <si>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</si>
  <si>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</si>
  <si>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</si>
  <si>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</si>
  <si>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</si>
  <si>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</si>
  <si>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</si>
  <si>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</si>
  <si>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</si>
  <si>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</si>
  <si>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</si>
  <si>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</si>
  <si>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</si>
  <si>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</si>
  <si>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</si>
  <si>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</si>
  <si>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</si>
  <si>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</si>
  <si>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</si>
  <si>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</si>
  <si>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</si>
  <si>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</si>
  <si>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</si>
  <si>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</si>
  <si>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</si>
  <si>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</si>
  <si>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</si>
  <si>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</si>
  <si>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</si>
  <si>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</si>
  <si>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</si>
  <si>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</si>
  <si>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</si>
  <si>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</si>
  <si>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</si>
  <si>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</si>
  <si>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</si>
  <si>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</si>
  <si>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</si>
  <si>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</si>
  <si>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</si>
  <si>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</si>
  <si>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</si>
  <si>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</si>
  <si>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</si>
  <si>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</si>
  <si>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</si>
  <si>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</si>
  <si>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</si>
  <si>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</si>
  <si>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</si>
  <si>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</si>
  <si>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</si>
  <si>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</si>
  <si>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</si>
  <si>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</si>
  <si>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</si>
  <si>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</si>
  <si>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</si>
  <si>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</si>
  <si>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</si>
  <si>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</si>
  <si>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</si>
  <si>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</si>
  <si>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</si>
  <si>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</si>
  <si>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</si>
  <si>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</si>
  <si>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</si>
  <si>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</si>
  <si>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</si>
  <si>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</si>
  <si>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</si>
  <si>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</si>
  <si>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</si>
  <si>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</si>
  <si>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</si>
  <si>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</si>
  <si>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</si>
  <si>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</si>
  <si>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</si>
  <si>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</si>
  <si>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</si>
  <si>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</si>
  <si>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</si>
  <si>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</si>
  <si>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</si>
  <si>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</si>
  <si>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</si>
  <si>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</si>
  <si>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</si>
  <si>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</si>
  <si>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</si>
  <si>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</si>
  <si>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</si>
  <si>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</si>
  <si>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</si>
  <si>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</si>
  <si>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</si>
  <si>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</si>
  <si>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</si>
  <si>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</si>
  <si>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</si>
  <si>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</si>
  <si>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</si>
  <si>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</si>
  <si>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</si>
  <si>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</si>
  <si>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</si>
  <si>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</si>
  <si>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</si>
  <si>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</si>
  <si>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</si>
  <si>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</si>
  <si>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</si>
  <si>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</si>
  <si>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</si>
  <si>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</si>
  <si>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</si>
  <si>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</si>
  <si>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</si>
  <si>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</si>
  <si>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</si>
  <si>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</si>
  <si>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</si>
  <si>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</si>
  <si>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</si>
  <si>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</si>
  <si>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</si>
  <si>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</si>
  <si>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</si>
  <si>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</si>
  <si>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</si>
  <si>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</si>
  <si>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</si>
  <si>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</si>
  <si>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</si>
  <si>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</si>
  <si>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</si>
  <si>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</si>
  <si>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</si>
  <si>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</si>
  <si>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</si>
  <si>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</si>
  <si>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</si>
  <si>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</si>
  <si>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</si>
  <si>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</si>
  <si>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</si>
  <si>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</si>
  <si>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</si>
  <si>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</si>
  <si>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</si>
  <si>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</si>
  <si>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</si>
  <si>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</si>
  <si>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</si>
  <si>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</si>
  <si>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</si>
  <si>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</si>
  <si>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</si>
  <si>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</si>
  <si>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</si>
  <si>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</si>
  <si>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</si>
  <si>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</si>
  <si>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</si>
  <si>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</si>
  <si>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</si>
  <si>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</si>
  <si>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</si>
  <si>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</si>
  <si>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</si>
  <si>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</si>
  <si>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</si>
  <si>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</si>
  <si>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</si>
  <si>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</si>
  <si>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</si>
  <si>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</si>
  <si>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</si>
  <si>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</si>
  <si>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</si>
  <si>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</si>
  <si>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</si>
  <si>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</si>
  <si>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</si>
  <si>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</si>
  <si>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</si>
  <si>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</si>
  <si>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</si>
  <si>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</si>
  <si>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</si>
  <si>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</si>
  <si>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</si>
  <si>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</si>
  <si>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</si>
  <si>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</si>
  <si>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</si>
  <si>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</si>
  <si>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</si>
  <si>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</si>
  <si>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</si>
  <si>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</si>
  <si>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</si>
  <si>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</si>
  <si>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</si>
  <si>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</si>
  <si>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</si>
  <si>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</si>
  <si>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</si>
  <si>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</si>
  <si>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</si>
  <si>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</si>
  <si>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</si>
  <si>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</si>
  <si>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</si>
  <si>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</si>
  <si>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</si>
  <si>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</si>
  <si>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</si>
  <si>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</si>
  <si>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</si>
  <si>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</si>
  <si>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</si>
  <si>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</si>
  <si>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</si>
  <si>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</si>
  <si>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</si>
  <si>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</si>
  <si>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</si>
  <si>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</si>
  <si>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</si>
  <si>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</si>
  <si>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</si>
  <si>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</si>
  <si>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</si>
  <si>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</si>
  <si>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</si>
  <si>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</si>
  <si>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</si>
  <si>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</si>
  <si>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</si>
  <si>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</si>
  <si>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</si>
  <si>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</si>
  <si>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</si>
  <si>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</si>
  <si>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</si>
  <si>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</si>
  <si>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</si>
  <si>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</si>
  <si>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</si>
  <si>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</si>
  <si>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</si>
  <si>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</si>
  <si>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</si>
  <si>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</si>
  <si>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</si>
  <si>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</si>
  <si>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</si>
  <si>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</si>
  <si>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</si>
  <si>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</si>
  <si>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</si>
  <si>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</si>
  <si>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</si>
  <si>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</si>
  <si>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</si>
  <si>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</si>
  <si>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</si>
  <si>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</si>
  <si>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</si>
  <si>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</si>
  <si>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</si>
  <si>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</si>
  <si>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</si>
  <si>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</si>
  <si>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</si>
  <si>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</si>
  <si>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</si>
  <si>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</si>
  <si>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</si>
  <si>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</si>
  <si>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</si>
  <si>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</si>
  <si>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</si>
  <si>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</si>
  <si>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</si>
  <si>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</si>
  <si>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</si>
  <si>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</si>
  <si>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</si>
  <si>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</si>
  <si>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</si>
  <si>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</si>
  <si>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</si>
  <si>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</si>
  <si>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</si>
  <si>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</si>
  <si>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</si>
  <si>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</si>
  <si>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</si>
  <si>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</si>
  <si>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</si>
  <si>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</si>
  <si>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</si>
  <si>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</si>
  <si>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</si>
  <si>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</si>
  <si>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</si>
  <si>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</si>
  <si>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</si>
  <si>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</si>
  <si>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</si>
  <si>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</si>
  <si>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</si>
  <si>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</si>
  <si>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</si>
  <si>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</si>
  <si>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</si>
  <si>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</si>
  <si>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</si>
  <si>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</si>
  <si>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</si>
  <si>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</si>
  <si>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</si>
  <si>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</si>
  <si>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</si>
  <si>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</si>
  <si>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</si>
  <si>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</si>
  <si>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</si>
  <si>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</si>
  <si>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</si>
  <si>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</si>
  <si>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</si>
  <si>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</si>
  <si>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</si>
  <si>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</si>
  <si>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</si>
  <si>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</si>
  <si>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</si>
  <si>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</si>
  <si>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</si>
  <si>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</si>
  <si>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</si>
  <si>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</si>
  <si>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</si>
  <si>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</si>
  <si>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</si>
  <si>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</si>
  <si>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</si>
  <si>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</si>
  <si>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</si>
  <si>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</si>
  <si>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</si>
  <si>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</si>
  <si>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</si>
  <si>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</si>
  <si>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</si>
  <si>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</si>
  <si>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</si>
  <si>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</si>
  <si>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</si>
  <si>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</si>
  <si>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</si>
  <si>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</si>
  <si>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</si>
  <si>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</si>
  <si>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</si>
  <si>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</si>
  <si>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</si>
  <si>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</si>
  <si>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</si>
  <si>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</si>
  <si>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</si>
  <si>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</si>
  <si>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</si>
  <si>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</si>
  <si>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</si>
  <si>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</si>
  <si>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</si>
  <si>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</si>
  <si>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</si>
  <si>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</si>
  <si>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</si>
  <si>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</si>
  <si>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</si>
  <si>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</si>
  <si>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</si>
  <si>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</si>
  <si>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</si>
  <si>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</si>
  <si>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</si>
  <si>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</si>
  <si>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</si>
  <si>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</si>
  <si>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</si>
  <si>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</si>
  <si>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</si>
  <si>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</si>
  <si>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</si>
  <si>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</si>
  <si>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</si>
  <si>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</si>
  <si>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</si>
  <si>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</si>
  <si>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</si>
  <si>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</si>
  <si>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</si>
  <si>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</si>
  <si>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</si>
  <si>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</si>
  <si>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</si>
  <si>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</si>
  <si>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</si>
  <si>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</si>
  <si>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</si>
  <si>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</si>
  <si>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</si>
  <si>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</si>
  <si>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</si>
  <si>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</si>
  <si>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</si>
  <si>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</si>
  <si>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</si>
  <si>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</si>
  <si>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</si>
  <si>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</si>
  <si>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</si>
  <si>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</si>
  <si>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</si>
  <si>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</si>
  <si>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</si>
  <si>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</si>
  <si>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</si>
  <si>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</si>
  <si>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</si>
  <si>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</si>
  <si>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</si>
  <si>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</si>
  <si>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</si>
  <si>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</si>
  <si>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</si>
  <si>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</si>
  <si>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</si>
  <si>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</si>
  <si>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</si>
  <si>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</si>
  <si>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</si>
  <si>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</si>
  <si>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</si>
  <si>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</si>
  <si>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</si>
  <si>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</si>
  <si>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</si>
  <si>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</si>
  <si>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</si>
  <si>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</si>
  <si>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</si>
  <si>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</si>
  <si>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</si>
  <si>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</si>
  <si>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</si>
  <si>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</si>
  <si>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</si>
  <si>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</si>
  <si>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</si>
  <si>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</si>
  <si>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</si>
  <si>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</si>
  <si>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</si>
  <si>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</si>
  <si>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</si>
  <si>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</si>
  <si>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</si>
  <si>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</si>
  <si>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</si>
  <si>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</si>
  <si>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</si>
  <si>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</si>
  <si>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</si>
  <si>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</si>
  <si>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</si>
  <si>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</si>
  <si>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</si>
  <si>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</si>
  <si>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</si>
  <si>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</si>
  <si>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</si>
  <si>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</si>
  <si>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</si>
  <si>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</si>
  <si>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</si>
  <si>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</si>
  <si>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</si>
  <si>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</si>
  <si>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</si>
  <si>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</si>
  <si>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</si>
  <si>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</si>
  <si>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</si>
  <si>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</si>
  <si>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</si>
  <si>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</si>
  <si>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</si>
  <si>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</si>
  <si>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</si>
  <si>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</si>
  <si>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</si>
  <si>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</si>
  <si>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</si>
  <si>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</si>
  <si>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</si>
  <si>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</si>
  <si>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</si>
  <si>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</si>
  <si>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</si>
  <si>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</si>
  <si>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</si>
  <si>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</si>
  <si>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</si>
  <si>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</si>
  <si>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</si>
  <si>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</si>
  <si>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</si>
  <si>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</si>
  <si>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</si>
  <si>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</si>
  <si>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</si>
  <si>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</si>
  <si>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</si>
  <si>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</si>
  <si>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</si>
  <si>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</si>
  <si>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</si>
  <si>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</si>
  <si>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</si>
  <si>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</si>
  <si>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</si>
  <si>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</si>
  <si>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</si>
  <si>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</si>
  <si>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</si>
  <si>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</si>
  <si>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</si>
  <si>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</si>
  <si>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</si>
  <si>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</si>
  <si>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</si>
  <si>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</si>
  <si>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</si>
  <si>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</si>
  <si>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</si>
  <si>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</si>
  <si>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</si>
  <si>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</si>
  <si>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</si>
  <si>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</si>
  <si>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</si>
  <si>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</si>
  <si>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</si>
  <si>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</si>
  <si>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</si>
  <si>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</si>
  <si>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</si>
  <si>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</si>
  <si>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</si>
  <si>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</si>
  <si>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</si>
  <si>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</si>
  <si>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</si>
  <si>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</si>
  <si>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</si>
  <si>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</si>
  <si>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</si>
  <si>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</si>
  <si>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</si>
  <si>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</si>
  <si>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</si>
  <si>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</si>
  <si>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</si>
  <si>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</si>
  <si>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</si>
  <si>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</si>
  <si>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</si>
  <si>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</si>
  <si>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</si>
  <si>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</si>
  <si>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</si>
  <si>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</si>
  <si>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</si>
  <si>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</si>
  <si>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</si>
  <si>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</si>
  <si>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</si>
  <si>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</si>
  <si>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</si>
  <si>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</si>
  <si>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</si>
  <si>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</si>
  <si>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</si>
  <si>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</si>
  <si>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</si>
  <si>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</si>
  <si>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</si>
  <si>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</si>
  <si>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</si>
  <si>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</si>
  <si>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</si>
  <si>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</si>
  <si>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</si>
  <si>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</si>
  <si>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</si>
  <si>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</si>
  <si>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</si>
  <si>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</si>
  <si>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</si>
  <si>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</si>
  <si>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</si>
  <si>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</si>
  <si>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</si>
  <si>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</si>
  <si>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</si>
  <si>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</si>
  <si>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</si>
  <si>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</si>
  <si>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</si>
  <si>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</si>
  <si>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</si>
  <si>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</si>
  <si>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</si>
  <si>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</si>
  <si>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</si>
  <si>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</si>
  <si>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</si>
  <si>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</si>
  <si>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</si>
  <si>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</si>
  <si>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</si>
  <si>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</si>
  <si>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</si>
  <si>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</si>
  <si>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</si>
  <si>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</si>
  <si>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</si>
  <si>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</si>
  <si>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</si>
  <si>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</si>
  <si>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</si>
  <si>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</si>
  <si>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</si>
  <si>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</si>
  <si>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</si>
  <si>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</si>
  <si>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</si>
  <si>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</si>
  <si>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</si>
  <si>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</si>
  <si>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</si>
  <si>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</si>
  <si>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</si>
  <si>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</si>
  <si>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</si>
  <si>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</si>
  <si>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</si>
  <si>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</si>
  <si>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</si>
  <si>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</si>
  <si>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</si>
  <si>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</si>
  <si>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</si>
  <si>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</si>
  <si>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</si>
  <si>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</si>
  <si>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</si>
  <si>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</si>
  <si>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</si>
  <si>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</si>
  <si>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</si>
  <si>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</si>
  <si>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</si>
  <si>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</si>
  <si>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</si>
  <si>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</si>
  <si>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</si>
  <si>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</si>
  <si>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</si>
  <si>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</si>
  <si>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</si>
  <si>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</si>
  <si>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</si>
  <si>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</si>
  <si>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</si>
  <si>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</si>
  <si>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</si>
  <si>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</si>
  <si>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</si>
  <si>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</si>
  <si>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</si>
  <si>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</si>
  <si>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</si>
  <si>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</si>
  <si>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</si>
  <si>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</si>
  <si>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</si>
  <si>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</si>
  <si>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</si>
  <si>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</si>
  <si>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</si>
  <si>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</si>
  <si>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</si>
  <si>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</si>
  <si>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</si>
  <si>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</si>
  <si>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</si>
  <si>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</si>
  <si>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</si>
  <si>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</si>
  <si>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</si>
  <si>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</si>
  <si>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</si>
  <si>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</si>
  <si>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</si>
  <si>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</si>
  <si>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</si>
  <si>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</si>
  <si>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</si>
  <si>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</si>
  <si>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</si>
  <si>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</si>
  <si>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</si>
  <si>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</si>
  <si>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</si>
  <si>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</si>
  <si>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</si>
  <si>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</si>
  <si>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</si>
  <si>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</si>
  <si>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</si>
  <si>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</si>
  <si>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</si>
  <si>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</si>
  <si>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</si>
  <si>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</si>
  <si>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</si>
  <si>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</si>
  <si>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</si>
  <si>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</si>
  <si>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</si>
  <si>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</si>
  <si>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</si>
  <si>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</si>
  <si>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</si>
  <si>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</si>
  <si>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</si>
  <si>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</si>
  <si>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</si>
  <si>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</si>
  <si>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</si>
  <si>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</si>
  <si>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</si>
  <si>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</si>
  <si>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</si>
  <si>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</si>
  <si>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</si>
  <si>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</si>
  <si>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</si>
  <si>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</si>
  <si>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</si>
  <si>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</si>
  <si>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</si>
  <si>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</si>
  <si>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</si>
  <si>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</si>
  <si>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</si>
  <si>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</si>
  <si>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</si>
  <si>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</si>
  <si>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</si>
  <si>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</si>
  <si>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</si>
  <si>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</si>
  <si>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</si>
  <si>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</si>
  <si>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</si>
  <si>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</si>
  <si>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</si>
  <si>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</si>
  <si>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</si>
  <si>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</si>
  <si>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</si>
  <si>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</si>
  <si>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</si>
  <si>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</si>
  <si>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</si>
  <si>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</si>
  <si>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</si>
  <si>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</si>
  <si>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</si>
  <si>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</si>
  <si>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</si>
  <si>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</si>
  <si>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</si>
  <si>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</si>
  <si>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</si>
  <si>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</si>
  <si>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</si>
  <si>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</si>
  <si>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</si>
  <si>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</si>
  <si>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</si>
  <si>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</si>
  <si>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</si>
  <si>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</si>
  <si>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</si>
  <si>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</si>
  <si>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</si>
  <si>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</si>
  <si>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</si>
  <si>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</si>
  <si>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</si>
  <si>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</si>
  <si>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</si>
  <si>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</si>
  <si>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</si>
  <si>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</si>
  <si>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</si>
  <si>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</si>
  <si>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</si>
  <si>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</si>
  <si>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</si>
  <si>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</si>
  <si>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</si>
  <si>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</si>
  <si>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</si>
  <si>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</si>
  <si>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</si>
  <si>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</si>
  <si>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</si>
  <si>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</si>
  <si>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</si>
  <si>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</si>
  <si>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</si>
  <si>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</si>
  <si>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</si>
  <si>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</si>
  <si>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</si>
  <si>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</si>
  <si>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</si>
  <si>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</si>
  <si>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</si>
  <si>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</si>
  <si>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</si>
  <si>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</si>
  <si>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</si>
  <si>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</si>
  <si>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</si>
  <si>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</si>
  <si>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</si>
  <si>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</si>
  <si>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</si>
  <si>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</si>
  <si>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</si>
  <si>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</si>
  <si>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</si>
  <si>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</si>
  <si>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</si>
  <si>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</si>
  <si>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</si>
  <si>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</si>
  <si>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</si>
  <si>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</si>
  <si>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</si>
  <si>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</si>
  <si>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</si>
  <si>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</si>
  <si>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</si>
  <si>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</si>
  <si>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</si>
  <si>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</si>
  <si>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</si>
  <si>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</si>
  <si>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</si>
  <si>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</si>
  <si>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</si>
  <si>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</si>
  <si>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</si>
  <si>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</si>
  <si>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</si>
  <si>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</si>
  <si>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</si>
  <si>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</si>
  <si>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</si>
  <si>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</si>
  <si>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</si>
  <si>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</si>
  <si>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</si>
  <si>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</si>
  <si>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</si>
  <si>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</si>
  <si>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</si>
  <si>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</si>
  <si>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</si>
  <si>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</si>
  <si>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</si>
  <si>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</si>
  <si>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</si>
  <si>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</si>
  <si>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</si>
  <si>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</si>
  <si>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</si>
  <si>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</si>
  <si>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</si>
  <si>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</si>
  <si>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</si>
  <si>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</si>
  <si>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</si>
  <si>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</si>
  <si>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</si>
  <si>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</si>
  <si>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</si>
  <si>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</si>
  <si>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</si>
  <si>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</si>
  <si>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</si>
  <si>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</si>
  <si>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</si>
  <si>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</si>
  <si>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</si>
  <si>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</si>
  <si>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</si>
  <si>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</si>
  <si>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</si>
  <si>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</si>
  <si>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</si>
  <si>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</si>
  <si>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</si>
  <si>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</si>
  <si>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</si>
  <si>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</si>
  <si>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</si>
  <si>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</si>
  <si>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</si>
  <si>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</si>
  <si>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</si>
  <si>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</si>
  <si>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</si>
  <si>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</si>
  <si>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</si>
  <si>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</si>
  <si>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</si>
  <si>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</si>
  <si>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</si>
  <si>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</si>
  <si>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</si>
  <si>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</si>
  <si>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</si>
  <si>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</si>
  <si>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</si>
  <si>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</si>
  <si>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</si>
  <si>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</si>
  <si>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</si>
  <si>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</si>
  <si>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</si>
  <si>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</si>
  <si>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</si>
  <si>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</si>
  <si>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</si>
  <si>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</si>
  <si>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</si>
  <si>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</si>
  <si>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</si>
  <si>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</si>
  <si>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</si>
  <si>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</si>
  <si>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</si>
  <si>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</si>
  <si>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</si>
  <si>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</si>
  <si>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</si>
  <si>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</si>
  <si>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</si>
  <si>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</si>
  <si>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</si>
  <si>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</si>
  <si>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</si>
  <si>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</si>
  <si>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</si>
  <si>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</si>
  <si>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</si>
  <si>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</si>
  <si>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</si>
  <si>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</si>
  <si>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</si>
  <si>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</si>
  <si>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</si>
  <si>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</si>
  <si>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</si>
  <si>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</si>
  <si>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</si>
  <si>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</si>
  <si>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</si>
  <si>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</si>
  <si>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</si>
  <si>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</si>
  <si>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</si>
  <si>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</si>
  <si>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</si>
  <si>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</si>
  <si>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</si>
  <si>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</si>
  <si>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</si>
  <si>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</si>
  <si>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</si>
  <si>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</si>
  <si>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</si>
  <si>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</si>
  <si>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</si>
  <si>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</si>
  <si>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</si>
  <si>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</si>
  <si>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</si>
  <si>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</si>
  <si>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</si>
  <si>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</si>
  <si>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</si>
  <si>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</si>
  <si>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</si>
  <si>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</si>
  <si>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</si>
  <si>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</si>
  <si>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</si>
  <si>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</si>
  <si>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</si>
  <si>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</si>
  <si>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</si>
  <si>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</si>
  <si>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</si>
  <si>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</si>
  <si>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</si>
  <si>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</si>
  <si>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</si>
  <si>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</si>
  <si>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</si>
  <si>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</si>
  <si>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</si>
  <si>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</si>
  <si>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</si>
  <si>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</si>
  <si>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</si>
  <si>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</si>
  <si>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</si>
  <si>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</si>
  <si>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</si>
  <si>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</si>
  <si>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</si>
  <si>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</si>
  <si>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</si>
  <si>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</si>
  <si>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</si>
  <si>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</si>
  <si>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</si>
  <si>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</si>
  <si>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</si>
  <si>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</si>
  <si>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</si>
  <si>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</si>
  <si>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</si>
  <si>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</si>
  <si>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</si>
  <si>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</si>
  <si>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</si>
  <si>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</si>
  <si>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</si>
  <si>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</si>
  <si>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</si>
  <si>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</si>
  <si>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</si>
  <si>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</si>
  <si>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</si>
  <si>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</si>
  <si>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</si>
  <si>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</si>
  <si>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</si>
  <si>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</si>
  <si>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</si>
  <si>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</si>
  <si>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</si>
  <si>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</si>
  <si>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</si>
  <si>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</si>
  <si>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</si>
  <si>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</si>
  <si>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</si>
  <si>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</si>
  <si>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</si>
  <si>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</si>
  <si>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</si>
  <si>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</si>
  <si>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</si>
  <si>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</si>
  <si>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</si>
  <si>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</si>
  <si>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</si>
  <si>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</si>
  <si>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</si>
  <si>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</si>
  <si>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</si>
  <si>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</si>
  <si>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</si>
  <si>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</si>
  <si>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</si>
  <si>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</si>
  <si>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</si>
  <si>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</si>
  <si>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</si>
  <si>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</si>
  <si>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</si>
  <si>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</si>
  <si>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</si>
  <si>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</si>
  <si>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</si>
  <si>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</si>
  <si>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</si>
  <si>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</si>
  <si>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</si>
  <si>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</si>
  <si>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</si>
  <si>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</si>
  <si>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</si>
  <si>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</si>
  <si>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</si>
  <si>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</si>
  <si>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</si>
  <si>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</si>
  <si>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</si>
  <si>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</si>
  <si>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</si>
  <si>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</si>
  <si>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</si>
  <si>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</si>
  <si>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</si>
  <si>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</si>
  <si>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</si>
  <si>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</si>
  <si>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</si>
  <si>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</si>
  <si>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</si>
  <si>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</si>
  <si>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</si>
  <si>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</si>
  <si>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</si>
  <si>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</si>
  <si>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</si>
  <si>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</si>
  <si>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</si>
  <si>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</si>
  <si>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</si>
  <si>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</si>
  <si>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</si>
  <si>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</si>
  <si>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</si>
  <si>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</si>
  <si>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</si>
  <si>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</si>
  <si>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</si>
  <si>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</si>
  <si>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</si>
  <si>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</si>
  <si>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</si>
  <si>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</si>
  <si>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</si>
  <si>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</si>
  <si>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</si>
  <si>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</si>
  <si>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</si>
  <si>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</si>
  <si>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</si>
  <si>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</si>
  <si>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</si>
  <si>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</si>
  <si>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</si>
  <si>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</si>
  <si>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</si>
  <si>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</si>
  <si>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</si>
  <si>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</si>
  <si>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</si>
  <si>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</si>
  <si>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</si>
  <si>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</si>
  <si>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</si>
  <si>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</si>
  <si>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</si>
  <si>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</si>
  <si>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</si>
  <si>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</si>
  <si>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</si>
  <si>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</si>
  <si>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</si>
  <si>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</si>
  <si>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</si>
  <si>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</si>
  <si>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</si>
  <si>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</si>
  <si>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</si>
  <si>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</si>
  <si>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</si>
  <si>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</si>
  <si>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</si>
  <si>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</si>
  <si>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</si>
  <si>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</si>
  <si>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</si>
  <si>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</si>
  <si>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</si>
  <si>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</si>
  <si>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</si>
  <si>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</si>
  <si>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</si>
  <si>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</si>
  <si>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</si>
  <si>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</si>
  <si>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</si>
  <si>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</si>
  <si>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</si>
  <si>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</si>
  <si>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</si>
  <si>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</si>
  <si>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</si>
  <si>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</si>
  <si>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</si>
  <si>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</si>
  <si>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</si>
  <si>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</si>
  <si>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</si>
  <si>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</si>
  <si>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</si>
  <si>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</si>
  <si>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</si>
  <si>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</si>
  <si>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</si>
  <si>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</si>
  <si>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</si>
  <si>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</si>
  <si>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</si>
  <si>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</si>
  <si>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</si>
  <si>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</si>
  <si>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</si>
  <si>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</si>
  <si>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</si>
  <si>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</si>
  <si>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</si>
  <si>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</si>
  <si>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</si>
  <si>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</si>
  <si>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</si>
  <si>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</si>
  <si>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</si>
  <si>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</si>
  <si>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</si>
  <si>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</si>
  <si>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</si>
  <si>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</si>
  <si>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</si>
  <si>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</si>
  <si>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</si>
  <si>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</si>
  <si>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</si>
  <si>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</si>
  <si>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</si>
  <si>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</si>
  <si>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</si>
  <si>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</si>
  <si>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</si>
  <si>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</si>
  <si>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</si>
  <si>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</si>
  <si>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</si>
  <si>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</si>
  <si>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</si>
  <si>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</si>
  <si>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</si>
  <si>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</si>
  <si>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</si>
  <si>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</si>
  <si>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</si>
  <si>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</si>
  <si>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</si>
  <si>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</si>
  <si>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</si>
  <si>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</si>
  <si>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</si>
  <si>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</si>
  <si>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</si>
  <si>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</si>
  <si>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</si>
  <si>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</si>
  <si>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</si>
  <si>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</si>
  <si>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</si>
  <si>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</si>
  <si>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</si>
  <si>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</si>
  <si>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</si>
  <si>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</si>
  <si>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</si>
  <si>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</si>
  <si>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</si>
  <si>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</si>
  <si>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</si>
  <si>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</si>
  <si>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</si>
  <si>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</si>
  <si>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</si>
  <si>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</si>
  <si>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</si>
  <si>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</si>
  <si>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</si>
  <si>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</si>
  <si>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</si>
  <si>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</si>
  <si>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</si>
  <si>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</si>
  <si>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</si>
  <si>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</si>
  <si>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</si>
  <si>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</si>
  <si>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</si>
  <si>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</si>
  <si>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</si>
  <si>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</si>
  <si>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</si>
  <si>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</si>
  <si>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</si>
  <si>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</si>
  <si>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</si>
  <si>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</si>
  <si>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</si>
  <si>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</si>
  <si>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</si>
  <si>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</si>
  <si>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</si>
  <si>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</si>
  <si>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</si>
  <si>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</si>
  <si>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</si>
  <si>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</si>
  <si>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</si>
  <si>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</si>
  <si>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</si>
  <si>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</si>
  <si>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</si>
  <si>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</si>
  <si>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</si>
  <si>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</si>
  <si>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</si>
  <si>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</si>
  <si>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</si>
  <si>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</si>
  <si>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</si>
  <si>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</si>
  <si>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</si>
  <si>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</si>
  <si>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</si>
  <si>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</si>
  <si>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</si>
  <si>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</si>
  <si>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</si>
  <si>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</si>
  <si>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</si>
  <si>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</si>
  <si>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</si>
  <si>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</si>
  <si>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</si>
  <si>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</si>
  <si>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</si>
  <si>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</si>
  <si>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</si>
  <si>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</si>
  <si>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</si>
  <si>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</si>
  <si>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</si>
  <si>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</si>
  <si>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</si>
  <si>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</si>
  <si>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</si>
  <si>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</si>
  <si>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</si>
  <si>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</si>
  <si>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</si>
  <si>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</si>
  <si>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</si>
  <si>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</si>
  <si>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</si>
  <si>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</si>
  <si>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</si>
  <si>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</si>
  <si>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</si>
  <si>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</si>
  <si>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</si>
  <si>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</si>
  <si>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</si>
  <si>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</si>
  <si>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</si>
  <si>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</si>
  <si>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</si>
  <si>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</si>
  <si>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</si>
  <si>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</si>
  <si>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</si>
  <si>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</si>
  <si>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</si>
  <si>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</si>
  <si>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</si>
  <si>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</si>
  <si>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</si>
  <si>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</si>
  <si>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</si>
  <si>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</si>
  <si>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</si>
  <si>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</si>
  <si>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</si>
  <si>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</si>
  <si>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</si>
  <si>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</si>
  <si>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</si>
  <si>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</si>
  <si>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</si>
  <si>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</si>
  <si>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</si>
  <si>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</si>
  <si>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</si>
  <si>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</si>
  <si>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</si>
  <si>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</si>
  <si>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</si>
  <si>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</si>
  <si>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</si>
  <si>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</si>
  <si>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</si>
  <si>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</si>
  <si>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</si>
  <si>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</si>
  <si>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</si>
  <si>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</si>
  <si>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</si>
  <si>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</si>
  <si>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</si>
  <si>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</si>
  <si>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</si>
  <si>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</si>
  <si>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</si>
  <si>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</si>
  <si>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</si>
  <si>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</si>
  <si>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</si>
  <si>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</si>
  <si>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</si>
  <si>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</si>
  <si>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</si>
  <si>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</si>
  <si>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</si>
  <si>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</si>
  <si>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</si>
  <si>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</si>
  <si>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</si>
  <si>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</si>
  <si>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</si>
  <si>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</si>
  <si>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</si>
  <si>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</si>
  <si>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</si>
  <si>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</si>
  <si>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</si>
  <si>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</si>
  <si>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</si>
  <si>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</si>
  <si>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</si>
  <si>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</si>
  <si>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</si>
  <si>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</si>
  <si>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</si>
  <si>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</si>
  <si>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</si>
  <si>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</si>
  <si>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</si>
  <si>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</si>
  <si>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</si>
  <si>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</si>
  <si>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</si>
  <si>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</si>
  <si>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</si>
  <si>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</si>
  <si>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</si>
  <si>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</si>
  <si>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</si>
  <si>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</si>
  <si>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</si>
  <si>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</si>
  <si>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</si>
  <si>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</si>
  <si>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</si>
  <si>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</si>
  <si>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</si>
  <si>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</si>
  <si>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</si>
  <si>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</si>
  <si>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</si>
  <si>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</si>
  <si>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</si>
  <si>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</si>
  <si>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</si>
  <si>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</si>
  <si>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</si>
  <si>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</si>
  <si>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</si>
  <si>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</si>
  <si>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</si>
  <si>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</si>
  <si>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</si>
  <si>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</si>
  <si>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</si>
  <si>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</si>
  <si>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</si>
  <si>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</si>
  <si>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</si>
  <si>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</si>
  <si>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</si>
  <si>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</si>
  <si>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</si>
  <si>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</si>
  <si>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</si>
  <si>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</si>
  <si>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</si>
  <si>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</si>
  <si>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</si>
  <si>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</si>
  <si>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</si>
  <si>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</si>
  <si>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</si>
  <si>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</si>
  <si>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</si>
  <si>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</si>
  <si>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</si>
  <si>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</si>
  <si>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</si>
  <si>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</si>
  <si>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</si>
  <si>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</si>
  <si>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</si>
  <si>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</si>
  <si>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</si>
  <si>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</si>
  <si>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</si>
  <si>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</si>
  <si>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</si>
  <si>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</si>
  <si>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</si>
  <si>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</si>
  <si>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</si>
  <si>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</si>
  <si>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</si>
  <si>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</si>
  <si>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</si>
  <si>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</si>
  <si>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</si>
  <si>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</si>
  <si>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</si>
  <si>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</si>
  <si>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</si>
  <si>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</si>
  <si>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</si>
  <si>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</si>
  <si>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</si>
  <si>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</si>
  <si>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</si>
  <si>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</si>
  <si>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</si>
  <si>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</si>
  <si>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</si>
  <si>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</si>
  <si>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</si>
  <si>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</si>
  <si>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</si>
  <si>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</si>
  <si>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</si>
  <si>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</si>
  <si>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</si>
  <si>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</si>
  <si>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</si>
  <si>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</si>
  <si>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</si>
  <si>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</si>
  <si>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</si>
  <si>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</si>
  <si>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</si>
  <si>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</si>
  <si>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</si>
  <si>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</si>
  <si>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</si>
  <si>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</si>
  <si>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</si>
  <si>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</si>
  <si>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</si>
  <si>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</si>
  <si>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</si>
  <si>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</si>
  <si>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</si>
  <si>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</si>
  <si>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</si>
  <si>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</si>
  <si>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</si>
  <si>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</si>
  <si>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</si>
  <si>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</si>
  <si>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</si>
  <si>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</si>
  <si>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</si>
  <si>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</si>
  <si>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</si>
  <si>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</si>
  <si>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</si>
  <si>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</si>
  <si>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</si>
  <si>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</si>
  <si>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</si>
  <si>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</si>
  <si>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</si>
  <si>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</si>
  <si>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</si>
  <si>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</si>
  <si>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</si>
  <si>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</si>
  <si>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</si>
  <si>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</si>
  <si>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</si>
  <si>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</si>
  <si>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</si>
  <si>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</si>
  <si>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</si>
  <si>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</si>
  <si>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</si>
  <si>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</si>
  <si>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</si>
  <si>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</si>
  <si>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</si>
  <si>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</si>
  <si>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</si>
  <si>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</si>
  <si>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</si>
  <si>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</si>
  <si>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</si>
  <si>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</si>
  <si>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</si>
  <si>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</si>
  <si>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</si>
  <si>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</si>
  <si>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</si>
  <si>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</si>
  <si>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</si>
  <si>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</si>
  <si>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</si>
  <si>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</si>
  <si>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</si>
  <si>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</si>
  <si>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</si>
  <si>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</si>
  <si>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</si>
  <si>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</si>
  <si>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</si>
  <si>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</si>
  <si>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</si>
  <si>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</si>
  <si>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</si>
  <si>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</si>
  <si>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</si>
  <si>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</si>
  <si>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</si>
  <si>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</si>
  <si>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</si>
  <si>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</si>
  <si>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</si>
  <si>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</si>
  <si>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</si>
  <si>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</si>
  <si>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</si>
  <si>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</si>
  <si>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</si>
  <si>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</si>
  <si>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</si>
  <si>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</si>
  <si>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</si>
  <si>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</si>
  <si>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</si>
  <si>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</si>
  <si>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</si>
  <si>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</si>
  <si>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</si>
  <si>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</si>
  <si>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</si>
  <si>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</si>
  <si>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</si>
  <si>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</si>
  <si>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</si>
  <si>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</si>
  <si>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</si>
  <si>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</si>
  <si>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</si>
  <si>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</si>
  <si>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</si>
  <si>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</si>
  <si>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</si>
  <si>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</si>
  <si>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</si>
  <si>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</si>
  <si>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</si>
  <si>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</si>
  <si>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</si>
  <si>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</si>
  <si>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</si>
  <si>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</si>
  <si>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</si>
  <si>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</si>
  <si>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</si>
  <si>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</si>
  <si>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</si>
  <si>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</si>
  <si>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</si>
  <si>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</si>
  <si>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</si>
  <si>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</si>
  <si>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</si>
  <si>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</si>
  <si>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</si>
  <si>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</si>
  <si>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</si>
  <si>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</si>
  <si>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</si>
  <si>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</si>
  <si>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</si>
  <si>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</si>
  <si>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</si>
  <si>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</si>
  <si>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</si>
  <si>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</si>
  <si>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</si>
  <si>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</si>
  <si>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</si>
  <si>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</si>
  <si>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</si>
  <si>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</si>
  <si>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</si>
  <si>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</si>
  <si>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</si>
  <si>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</si>
  <si>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</si>
  <si>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</si>
  <si>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</si>
  <si>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</si>
  <si>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</si>
  <si>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</si>
  <si>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</si>
  <si>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</si>
  <si>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</si>
  <si>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</si>
  <si>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</si>
  <si>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</si>
  <si>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</si>
  <si>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</si>
  <si>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</si>
  <si>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</si>
  <si>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</si>
  <si>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</si>
  <si>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</si>
  <si>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</si>
  <si>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</si>
  <si>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</si>
  <si>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</si>
  <si>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</si>
  <si>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</si>
  <si>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</si>
  <si>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</si>
  <si>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</si>
  <si>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</si>
  <si>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</si>
  <si>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</si>
  <si>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</si>
  <si>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</si>
  <si>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</si>
  <si>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</si>
  <si>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</si>
  <si>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</si>
  <si>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</si>
  <si>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</si>
  <si>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</si>
  <si>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</si>
  <si>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</si>
  <si>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</si>
  <si>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</si>
  <si>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</si>
  <si>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</si>
  <si>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</si>
  <si>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</si>
  <si>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</si>
  <si>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</si>
  <si>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</si>
  <si>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</si>
  <si>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</si>
  <si>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</si>
  <si>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</si>
  <si>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</si>
  <si>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</si>
  <si>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</si>
  <si>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</si>
  <si>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</si>
  <si>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</si>
  <si>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</si>
  <si>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</si>
  <si>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</si>
  <si>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</si>
  <si>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</si>
  <si>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</si>
  <si>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</si>
  <si>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</si>
  <si>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</si>
  <si>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</si>
  <si>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</si>
  <si>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</si>
  <si>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</si>
  <si>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</si>
  <si>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</si>
  <si>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</si>
  <si>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</si>
  <si>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</si>
  <si>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</si>
  <si>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</si>
  <si>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</si>
  <si>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</si>
  <si>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</si>
  <si>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</si>
  <si>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</si>
  <si>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</si>
  <si>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</si>
  <si>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</si>
  <si>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</si>
  <si>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</si>
  <si>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</si>
  <si>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</si>
  <si>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</si>
  <si>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</si>
  <si>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</si>
  <si>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</si>
  <si>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</si>
  <si>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</si>
  <si>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</si>
  <si>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</si>
  <si>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</si>
  <si>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</si>
  <si>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</si>
  <si>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</si>
  <si>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</si>
  <si>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</si>
  <si>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</si>
  <si>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</si>
  <si>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</si>
  <si>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</si>
  <si>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</si>
  <si>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</si>
  <si>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</si>
  <si>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</si>
  <si>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</si>
  <si>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</si>
  <si>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</si>
  <si>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</si>
  <si>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</si>
  <si>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</si>
  <si>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</si>
  <si>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</si>
  <si>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</si>
  <si>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</si>
  <si>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</si>
  <si>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</si>
  <si>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</si>
  <si>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</si>
  <si>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</si>
  <si>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</si>
  <si>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</si>
  <si>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</si>
  <si>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</si>
  <si>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</si>
  <si>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</si>
  <si>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</si>
  <si>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</si>
  <si>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</si>
  <si>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</si>
  <si>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</si>
  <si>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</si>
  <si>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</si>
  <si>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</si>
  <si>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</si>
  <si>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</si>
  <si>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</si>
  <si>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</si>
  <si>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</si>
  <si>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</si>
  <si>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</si>
  <si>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</si>
  <si>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</si>
  <si>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</si>
  <si>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</si>
  <si>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</si>
  <si>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</si>
  <si>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</si>
  <si>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</si>
  <si>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</si>
  <si>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</si>
  <si>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</si>
  <si>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</si>
  <si>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</si>
  <si>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</si>
  <si>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</si>
  <si>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</si>
  <si>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</si>
  <si>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</si>
  <si>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</si>
  <si>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</si>
  <si>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</si>
  <si>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</si>
  <si>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</si>
  <si>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</si>
  <si>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</si>
  <si>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</si>
  <si>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</si>
  <si>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</si>
  <si>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</si>
  <si>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</si>
  <si>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</si>
  <si>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</si>
  <si>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</si>
  <si>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</si>
  <si>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</si>
  <si>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</si>
  <si>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</si>
  <si>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</si>
  <si>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</si>
  <si>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</si>
  <si>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</si>
  <si>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</si>
  <si>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</si>
  <si>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</si>
  <si>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</si>
  <si>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</si>
  <si>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</si>
  <si>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</si>
  <si>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</si>
  <si>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</si>
  <si>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</si>
  <si>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</si>
  <si>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</si>
  <si>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</si>
  <si>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</si>
  <si>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</si>
  <si>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</si>
  <si>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</si>
  <si>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</si>
  <si>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</si>
  <si>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</si>
  <si>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</si>
  <si>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</si>
  <si>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</si>
  <si>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</si>
  <si>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</si>
  <si>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</si>
  <si>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</si>
  <si>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</si>
  <si>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</si>
  <si>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</si>
  <si>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</si>
  <si>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</si>
  <si>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</si>
  <si>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</si>
  <si>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</si>
  <si>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</si>
  <si>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</si>
  <si>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</si>
  <si>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</si>
  <si>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</si>
  <si>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</si>
  <si>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</si>
  <si>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</si>
  <si>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</si>
  <si>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</si>
  <si>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</si>
  <si>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</si>
  <si>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</si>
  <si>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</si>
  <si>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</si>
  <si>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</si>
  <si>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</si>
  <si>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</si>
  <si>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</si>
  <si>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</si>
  <si>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</si>
  <si>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</si>
  <si>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</si>
  <si>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</si>
  <si>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</si>
  <si>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</si>
  <si>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</si>
  <si>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</si>
  <si>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</si>
  <si>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</si>
  <si>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</si>
  <si>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</si>
  <si>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</si>
  <si>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</si>
  <si>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</si>
  <si>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</si>
  <si>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</si>
  <si>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</si>
  <si>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</si>
  <si>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</si>
  <si>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</si>
  <si>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</si>
  <si>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</si>
  <si>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</si>
  <si>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</si>
  <si>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</si>
  <si>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</si>
  <si>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</si>
  <si>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</si>
  <si>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</si>
  <si>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</si>
  <si>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</si>
  <si>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</si>
  <si>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</si>
  <si>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</si>
  <si>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</si>
  <si>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</si>
  <si>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</si>
  <si>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</si>
  <si>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</si>
  <si>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</si>
  <si>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</si>
  <si>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</si>
  <si>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</si>
  <si>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</si>
  <si>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</si>
  <si>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</si>
  <si>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</si>
  <si>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</si>
  <si>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</si>
  <si>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</si>
  <si>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</si>
  <si>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</si>
  <si>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</si>
  <si>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</si>
  <si>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</si>
  <si>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</si>
  <si>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</si>
  <si>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</si>
  <si>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</si>
  <si>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</si>
  <si>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</si>
  <si>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</si>
  <si>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</si>
  <si>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</si>
  <si>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</si>
  <si>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</si>
  <si>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</si>
  <si>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</si>
  <si>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</si>
  <si>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</si>
  <si>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</si>
  <si>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</si>
  <si>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</si>
  <si>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</si>
  <si>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</si>
  <si>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</si>
  <si>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</si>
  <si>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</si>
  <si>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</si>
  <si>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</si>
  <si>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</si>
  <si>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</si>
  <si>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</si>
  <si>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</si>
  <si>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</si>
  <si>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</si>
  <si>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</si>
  <si>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</si>
  <si>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</si>
  <si>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</si>
  <si>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</si>
  <si>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</si>
  <si>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</si>
  <si>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</si>
  <si>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</si>
  <si>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</si>
  <si>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</si>
  <si>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</si>
  <si>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</si>
  <si>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</si>
  <si>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</si>
  <si>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</si>
  <si>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</si>
  <si>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</si>
  <si>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</si>
  <si>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</si>
  <si>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</si>
  <si>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</si>
  <si>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</si>
  <si>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</si>
  <si>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</si>
  <si>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</si>
  <si>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</si>
  <si>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</si>
  <si>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</si>
  <si>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</si>
  <si>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</si>
  <si>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</si>
  <si>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</si>
  <si>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</si>
  <si>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</si>
  <si>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</si>
  <si>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</si>
  <si>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</si>
  <si>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</si>
  <si>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</si>
  <si>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</si>
  <si>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</si>
  <si>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</si>
  <si>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</si>
  <si>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</si>
  <si>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</si>
  <si>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</si>
  <si>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</si>
  <si>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</si>
  <si>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</si>
  <si>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</si>
  <si>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</si>
  <si>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</si>
  <si>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</si>
  <si>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</si>
  <si>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</si>
  <si>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</si>
  <si>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</si>
  <si>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</si>
  <si>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</si>
  <si>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</si>
  <si>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</si>
  <si>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</si>
  <si>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</si>
  <si>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</si>
  <si>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</si>
  <si>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</si>
  <si>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</si>
  <si>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</si>
  <si>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</si>
  <si>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</si>
  <si>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</si>
  <si>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</si>
  <si>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</si>
  <si>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</si>
  <si>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</si>
  <si>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</si>
  <si>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</si>
  <si>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</si>
  <si>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</si>
  <si>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</si>
  <si>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</si>
  <si>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</si>
  <si>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</si>
  <si>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</si>
  <si>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</si>
  <si>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</si>
  <si>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</si>
  <si>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</si>
  <si>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</si>
  <si>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</si>
  <si>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</si>
  <si>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</si>
  <si>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</si>
  <si>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</si>
  <si>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</si>
  <si>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</si>
  <si>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</si>
  <si>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</si>
  <si>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</si>
  <si>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</si>
  <si>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</si>
  <si>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</si>
  <si>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</si>
  <si>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</si>
  <si>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</si>
  <si>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</si>
  <si>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</si>
  <si>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</si>
  <si>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</si>
  <si>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</si>
  <si>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</si>
  <si>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</si>
  <si>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</si>
  <si>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</si>
  <si>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</si>
  <si>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</si>
  <si>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</si>
  <si>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</si>
  <si>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</si>
  <si>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</si>
  <si>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</si>
  <si>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</si>
  <si>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</si>
  <si>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</si>
  <si>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</si>
  <si>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</si>
  <si>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</si>
  <si>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</si>
  <si>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</si>
  <si>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</si>
  <si>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</si>
  <si>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</si>
  <si>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</si>
  <si>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</si>
  <si>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</si>
  <si>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</si>
  <si>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</si>
  <si>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</si>
  <si>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</si>
  <si>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</si>
  <si>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</si>
  <si>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</si>
  <si>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</si>
  <si>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</si>
  <si>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</si>
  <si>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</si>
  <si>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</si>
  <si>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</si>
  <si>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</si>
  <si>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</si>
  <si>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</si>
  <si>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</si>
  <si>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</si>
  <si>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</si>
  <si>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</si>
  <si>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</si>
  <si>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</si>
  <si>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</si>
  <si>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</si>
  <si>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</si>
  <si>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</si>
  <si>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</si>
  <si>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</si>
  <si>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</si>
  <si>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</si>
  <si>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</si>
  <si>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</si>
  <si>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</si>
  <si>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</si>
  <si>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</si>
  <si>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</si>
  <si>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</si>
  <si>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</si>
  <si>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</si>
  <si>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</si>
  <si>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</si>
  <si>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</si>
  <si>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</si>
  <si>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</si>
  <si>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</si>
  <si>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</si>
  <si>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</si>
  <si>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</si>
  <si>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</si>
  <si>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</si>
  <si>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</si>
  <si>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</si>
  <si>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</si>
  <si>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</si>
  <si>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</si>
  <si>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</si>
  <si>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</si>
  <si>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</si>
  <si>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</si>
  <si>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</si>
  <si>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</si>
  <si>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</si>
  <si>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</si>
  <si>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</si>
  <si>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</si>
  <si>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</si>
  <si>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</si>
  <si>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</si>
  <si>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</si>
  <si>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</si>
  <si>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</si>
  <si>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</si>
  <si>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</si>
  <si>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</si>
  <si>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</si>
  <si>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</si>
  <si>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</si>
  <si>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</si>
  <si>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</si>
  <si>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</si>
  <si>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</si>
  <si>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</si>
  <si>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</si>
  <si>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</si>
  <si>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</si>
  <si>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</si>
  <si>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</si>
  <si>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</si>
  <si>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</si>
  <si>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</si>
  <si>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</si>
  <si>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</si>
  <si>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</si>
  <si>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</si>
  <si>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</si>
  <si>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</si>
  <si>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</si>
  <si>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</si>
  <si>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</si>
  <si>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</si>
  <si>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</si>
  <si>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</si>
  <si>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</si>
  <si>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</si>
  <si>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</si>
  <si>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</si>
  <si>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</si>
  <si>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</si>
  <si>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</si>
  <si>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</si>
  <si>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</si>
  <si>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</si>
  <si>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</si>
  <si>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</si>
  <si>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</si>
  <si>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</si>
  <si>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</si>
  <si>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</si>
  <si>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</si>
  <si>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</si>
  <si>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</si>
  <si>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</si>
  <si>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</si>
  <si>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</si>
  <si>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</si>
  <si>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</si>
  <si>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</si>
  <si>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</si>
  <si>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</si>
  <si>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</si>
  <si>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</si>
  <si>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</si>
  <si>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</si>
  <si>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</si>
  <si>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</si>
  <si>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</si>
  <si>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</si>
  <si>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</si>
  <si>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</si>
  <si>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</si>
  <si>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</si>
  <si>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</si>
  <si>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</si>
  <si>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</si>
  <si>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</si>
  <si>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</si>
  <si>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</si>
  <si>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</si>
  <si>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</si>
  <si>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</si>
  <si>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</si>
  <si>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</si>
  <si>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</si>
  <si>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</si>
  <si>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</si>
  <si>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</si>
  <si>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</si>
  <si>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</si>
  <si>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</si>
  <si>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</si>
  <si>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</si>
  <si>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</si>
  <si>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</si>
  <si>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</si>
  <si>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</si>
  <si>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</si>
  <si>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</si>
  <si>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</si>
  <si>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</si>
  <si>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</si>
  <si>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</si>
  <si>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</si>
  <si>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</si>
  <si>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</si>
  <si>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</si>
  <si>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</si>
  <si>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</si>
  <si>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</si>
  <si>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</si>
  <si>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</si>
  <si>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</si>
  <si>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</si>
  <si>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</si>
  <si>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</si>
  <si>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</si>
  <si>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</si>
  <si>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</si>
  <si>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</si>
  <si>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</si>
  <si>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</si>
  <si>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</si>
  <si>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</si>
  <si>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</si>
  <si>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</si>
  <si>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</si>
  <si>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</si>
  <si>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</si>
  <si>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</si>
  <si>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</si>
  <si>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</si>
  <si>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</si>
  <si>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</si>
  <si>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</si>
  <si>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</si>
  <si>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</si>
  <si>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</si>
  <si>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</si>
  <si>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</si>
  <si>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</si>
  <si>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</si>
  <si>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</si>
  <si>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</si>
  <si>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</si>
  <si>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</si>
  <si>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</si>
  <si>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</si>
  <si>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</si>
  <si>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</si>
  <si>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</si>
  <si>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</si>
  <si>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</si>
  <si>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</si>
  <si>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</si>
  <si>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</si>
  <si>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</si>
  <si>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</si>
  <si>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</si>
  <si>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</si>
  <si>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</si>
  <si>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</si>
  <si>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</si>
  <si>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</si>
  <si>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</si>
  <si>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</si>
  <si>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</si>
  <si>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</si>
  <si>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</si>
  <si>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</si>
  <si>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</si>
  <si>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</si>
  <si>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</si>
  <si>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</si>
  <si>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</si>
  <si>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</si>
  <si>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</si>
  <si>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</si>
  <si>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</si>
  <si>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</si>
  <si>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</si>
  <si>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</si>
  <si>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</si>
  <si>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</si>
  <si>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</si>
  <si>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</si>
  <si>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</si>
  <si>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</si>
  <si>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</si>
  <si>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</si>
  <si>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</si>
  <si>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</si>
  <si>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</si>
  <si>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</si>
  <si>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</si>
  <si>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</si>
  <si>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</si>
  <si>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</si>
  <si>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</si>
  <si>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</si>
  <si>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</si>
  <si>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</si>
  <si>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</si>
  <si>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</si>
  <si>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</si>
  <si>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</si>
  <si>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</si>
  <si>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</si>
  <si>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</si>
  <si>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</si>
  <si>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</si>
  <si>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</si>
  <si>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</si>
  <si>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</si>
  <si>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</si>
  <si>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</si>
  <si>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</si>
  <si>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</si>
  <si>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</si>
  <si>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</si>
  <si>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</si>
  <si>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</si>
  <si>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</si>
  <si>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</si>
  <si>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</si>
  <si>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</si>
  <si>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</si>
  <si>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</si>
  <si>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</si>
  <si>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</si>
  <si>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</si>
  <si>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</si>
  <si>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</si>
  <si>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</si>
  <si>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</si>
  <si>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</si>
  <si>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</si>
  <si>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</si>
  <si>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</si>
  <si>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</si>
  <si>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</si>
  <si>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</si>
  <si>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</si>
  <si>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</si>
  <si>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</si>
  <si>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</si>
  <si>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</si>
  <si>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</si>
  <si>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</si>
  <si>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</si>
  <si>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</si>
  <si>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</si>
  <si>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</si>
  <si>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</si>
  <si>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</si>
  <si>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</si>
  <si>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</si>
  <si>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</si>
  <si>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</si>
  <si>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</si>
  <si>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</si>
  <si>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</si>
  <si>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</si>
  <si>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</si>
  <si>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</si>
  <si>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</si>
  <si>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</si>
  <si>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</si>
  <si>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</si>
  <si>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</si>
  <si>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</si>
  <si>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</si>
  <si>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</si>
  <si>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</si>
  <si>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</si>
  <si>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</si>
  <si>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</si>
  <si>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</si>
  <si>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</si>
  <si>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</si>
  <si>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</si>
  <si>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</si>
  <si>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</si>
  <si>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</si>
  <si>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</si>
  <si>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</si>
  <si>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</si>
  <si>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</si>
  <si>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</si>
  <si>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</si>
  <si>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</si>
  <si>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</si>
  <si>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</si>
  <si>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</si>
  <si>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</si>
  <si>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</si>
  <si>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</si>
  <si>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</si>
  <si>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</si>
  <si>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</si>
  <si>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</si>
  <si>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</si>
  <si>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</si>
  <si>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</si>
  <si>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</si>
  <si>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</si>
  <si>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</si>
  <si>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</si>
  <si>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</si>
  <si>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</si>
  <si>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</si>
  <si>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</si>
  <si>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</si>
  <si>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</si>
  <si>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</si>
  <si>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</si>
  <si>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</si>
  <si>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</si>
  <si>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</si>
  <si>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</si>
  <si>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</si>
  <si>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</si>
  <si>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</si>
  <si>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</si>
  <si>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</si>
  <si>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</si>
  <si>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</si>
  <si>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</si>
  <si>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</si>
  <si>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</si>
  <si>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</si>
  <si>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</si>
  <si>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</si>
  <si>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</si>
  <si>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</si>
  <si>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</si>
  <si>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</si>
  <si>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</si>
  <si>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</si>
  <si>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</si>
  <si>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</si>
  <si>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</si>
  <si>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</si>
  <si>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</si>
  <si>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</si>
  <si>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</si>
  <si>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</si>
  <si>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</si>
  <si>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</si>
  <si>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</si>
  <si>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</si>
  <si>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</si>
  <si>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</si>
  <si>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</si>
  <si>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</si>
  <si>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</si>
  <si>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</si>
  <si>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</si>
  <si>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</si>
  <si>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</si>
  <si>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</si>
  <si>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</si>
  <si>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</si>
  <si>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</si>
  <si>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</si>
  <si>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</si>
  <si>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</si>
  <si>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</si>
  <si>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</si>
  <si>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</si>
  <si>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</si>
  <si>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</si>
  <si>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</si>
  <si>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</si>
  <si>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</si>
  <si>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</si>
  <si>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</si>
  <si>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</si>
  <si>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</si>
  <si>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</si>
  <si>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</si>
  <si>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</si>
  <si>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</si>
  <si>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</si>
  <si>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</si>
  <si>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</si>
  <si>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</si>
  <si>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</si>
  <si>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</si>
  <si>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</si>
  <si>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</si>
  <si>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</si>
  <si>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</si>
  <si>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</si>
  <si>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</si>
  <si>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</si>
  <si>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</si>
  <si>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</si>
  <si>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</si>
  <si>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</si>
  <si>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</si>
  <si>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</si>
  <si>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</si>
  <si>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</si>
  <si>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</si>
  <si>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</si>
  <si>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</si>
  <si>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</si>
  <si>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</si>
  <si>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</si>
  <si>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</si>
  <si>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</si>
  <si>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</si>
  <si>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</si>
  <si>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</si>
  <si>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</si>
  <si>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</si>
  <si>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</si>
  <si>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</si>
  <si>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</si>
  <si>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</si>
  <si>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</si>
  <si>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</si>
  <si>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</si>
  <si>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</si>
  <si>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</si>
  <si>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</si>
  <si>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</si>
  <si>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</si>
  <si>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</si>
  <si>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</si>
  <si>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</si>
  <si>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</si>
  <si>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</si>
  <si>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</si>
  <si>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</si>
  <si>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</si>
  <si>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</si>
  <si>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</si>
  <si>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</si>
  <si>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</si>
  <si>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</si>
  <si>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</si>
  <si>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</si>
  <si>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</si>
  <si>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</si>
  <si>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</si>
  <si>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</si>
  <si>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</si>
  <si>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</si>
  <si>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</si>
  <si>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</si>
  <si>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</si>
  <si>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</si>
  <si>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</si>
  <si>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</si>
  <si>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</si>
  <si>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</si>
  <si>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</si>
  <si>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</si>
  <si>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</si>
  <si>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</si>
  <si>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</si>
  <si>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</si>
  <si>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</si>
  <si>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</si>
  <si>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</si>
  <si>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</si>
  <si>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</si>
  <si>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</si>
  <si>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</si>
  <si>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</si>
  <si>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</si>
  <si>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</si>
  <si>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</si>
  <si>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</si>
  <si>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</si>
  <si>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</si>
  <si>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</si>
  <si>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</si>
  <si>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</si>
  <si>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</si>
  <si>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</si>
  <si>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</si>
  <si>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</si>
  <si>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</si>
  <si>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</si>
  <si>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</si>
  <si>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</si>
  <si>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</si>
  <si>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</si>
  <si>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</si>
  <si>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</si>
  <si>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</si>
  <si>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</si>
  <si>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</si>
  <si>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</si>
  <si>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</si>
  <si>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</si>
  <si>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</si>
  <si>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</si>
  <si>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</si>
  <si>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</si>
  <si>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</si>
  <si>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</si>
  <si>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</si>
  <si>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</si>
  <si>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</si>
  <si>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</si>
  <si>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</si>
  <si>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</si>
  <si>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</si>
  <si>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</si>
  <si>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</si>
  <si>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</si>
  <si>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</si>
  <si>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</si>
  <si>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</si>
  <si>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</si>
  <si>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</si>
  <si>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</si>
  <si>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</si>
  <si>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</si>
  <si>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</si>
  <si>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</si>
  <si>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</si>
  <si>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</si>
  <si>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</si>
  <si>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</si>
  <si>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</si>
  <si>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</si>
  <si>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</si>
  <si>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</si>
  <si>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</si>
  <si>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</si>
  <si>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</si>
  <si>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</si>
  <si>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</si>
  <si>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</si>
  <si>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</si>
  <si>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</si>
  <si>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</si>
  <si>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</si>
  <si>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</si>
  <si>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</si>
  <si>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</si>
  <si>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</si>
  <si>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</si>
  <si>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</si>
  <si>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</si>
  <si>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</si>
  <si>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</si>
  <si>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</si>
  <si>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</si>
  <si>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</si>
  <si>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</si>
  <si>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</si>
  <si>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</si>
  <si>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</si>
  <si>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</si>
  <si>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</si>
  <si>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</si>
  <si>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</si>
  <si>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</si>
  <si>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</si>
  <si>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</si>
  <si>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</si>
  <si>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</si>
  <si>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</si>
  <si>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</si>
  <si>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</si>
  <si>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</si>
  <si>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</si>
  <si>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</si>
  <si>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</si>
  <si>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</si>
  <si>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</si>
  <si>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</si>
  <si>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</si>
  <si>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</si>
  <si>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</si>
  <si>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</si>
  <si>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</si>
  <si>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</si>
  <si>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</si>
  <si>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</si>
  <si>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</si>
  <si>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</si>
  <si>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</si>
  <si>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</si>
  <si>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</si>
  <si>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</si>
  <si>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</si>
  <si>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</si>
  <si>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</si>
  <si>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</si>
  <si>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</si>
  <si>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</si>
  <si>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</si>
  <si>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</si>
  <si>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</si>
  <si>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</si>
  <si>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</si>
  <si>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</si>
  <si>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</si>
  <si>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</si>
  <si>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</si>
  <si>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</si>
  <si>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</si>
  <si>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</si>
  <si>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</si>
  <si>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</si>
  <si>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</si>
  <si>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</si>
  <si>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</si>
  <si>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</si>
  <si>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</si>
  <si>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</si>
  <si>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</si>
  <si>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</si>
  <si>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</si>
  <si>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</si>
  <si>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</si>
  <si>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</si>
  <si>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</si>
  <si>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</si>
  <si>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</si>
  <si>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</si>
  <si>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</si>
  <si>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</si>
  <si>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</si>
  <si>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</si>
  <si>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</si>
  <si>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</si>
  <si>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</si>
  <si>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</si>
  <si>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</si>
  <si>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</si>
  <si>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</si>
  <si>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</si>
  <si>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</si>
  <si>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</si>
  <si>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</si>
  <si>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</si>
  <si>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</si>
  <si>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</si>
  <si>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</si>
  <si>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</si>
  <si>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</si>
  <si>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</si>
  <si>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</si>
  <si>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</si>
  <si>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</si>
  <si>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</si>
  <si>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</si>
  <si>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</si>
  <si>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</si>
  <si>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</si>
  <si>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</si>
  <si>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</si>
  <si>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</si>
  <si>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</si>
  <si>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</si>
  <si>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</si>
  <si>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</si>
  <si>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</si>
  <si>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</si>
  <si>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</si>
  <si>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</si>
  <si>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</si>
  <si>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</si>
  <si>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</si>
  <si>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</si>
  <si>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</si>
  <si>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</si>
  <si>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</si>
  <si>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</si>
  <si>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</si>
  <si>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</si>
  <si>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</si>
  <si>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</si>
  <si>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</si>
  <si>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</si>
  <si>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</si>
  <si>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</si>
  <si>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</si>
  <si>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</si>
  <si>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</si>
  <si>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</si>
  <si>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</si>
  <si>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</si>
  <si>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</si>
  <si>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</si>
  <si>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</si>
  <si>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</si>
  <si>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</si>
  <si>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</si>
  <si>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</si>
  <si>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</si>
  <si>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</si>
  <si>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</si>
  <si>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</si>
  <si>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</si>
  <si>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</si>
  <si>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</si>
  <si>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</si>
  <si>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</si>
  <si>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</si>
  <si>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</si>
  <si>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</si>
  <si>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</si>
  <si>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</si>
  <si>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</si>
  <si>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</si>
  <si>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</si>
  <si>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</si>
  <si>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</si>
  <si>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</si>
  <si>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</si>
  <si>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</si>
  <si>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</si>
  <si>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</si>
  <si>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</si>
  <si>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</si>
  <si>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</si>
  <si>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</si>
  <si>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</si>
  <si>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</si>
  <si>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</si>
  <si>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</si>
  <si>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</si>
  <si>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</si>
  <si>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</si>
  <si>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</si>
  <si>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</si>
  <si>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</si>
  <si>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</si>
  <si>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</si>
  <si>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</si>
  <si>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</si>
  <si>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</si>
  <si>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</si>
  <si>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</si>
  <si>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</si>
  <si>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</si>
  <si>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</si>
  <si>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</si>
  <si>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</si>
  <si>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</si>
  <si>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</si>
  <si>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</si>
  <si>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</si>
  <si>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</si>
  <si>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</si>
  <si>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</si>
  <si>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</si>
  <si>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</si>
  <si>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</si>
  <si>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</si>
  <si>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</si>
  <si>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</si>
  <si>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</si>
  <si>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</si>
  <si>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</si>
  <si>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</si>
  <si>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</si>
  <si>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</si>
  <si>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</si>
  <si>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</si>
  <si>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</si>
  <si>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</si>
  <si>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</si>
  <si>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</si>
  <si>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</si>
  <si>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</si>
  <si>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</si>
  <si>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</si>
  <si>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</si>
  <si>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</si>
  <si>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</si>
  <si>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</si>
  <si>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</si>
  <si>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</si>
  <si>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</si>
  <si>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</si>
  <si>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</si>
  <si>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</si>
  <si>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</si>
  <si>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</si>
  <si>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</si>
  <si>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</si>
  <si>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</si>
  <si>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</si>
  <si>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</si>
  <si>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</si>
  <si>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</si>
  <si>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</si>
  <si>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</si>
  <si>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</si>
  <si>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</si>
  <si>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</si>
  <si>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</si>
  <si>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</si>
  <si>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</si>
  <si>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</si>
  <si>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</si>
  <si>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</si>
  <si>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</si>
  <si>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</si>
  <si>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</si>
  <si>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</si>
  <si>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</si>
  <si>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</si>
  <si>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</si>
  <si>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</si>
  <si>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</si>
  <si>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</si>
  <si>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</si>
  <si>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</si>
  <si>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</si>
  <si>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</si>
  <si>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</si>
  <si>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</si>
  <si>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</si>
  <si>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</si>
  <si>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</si>
  <si>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</si>
  <si>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</si>
  <si>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</si>
  <si>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</si>
  <si>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</si>
  <si>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</si>
  <si>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</si>
  <si>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</si>
  <si>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</si>
  <si>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</si>
  <si>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</si>
  <si>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</si>
  <si>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</si>
  <si>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</si>
  <si>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</si>
  <si>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</si>
  <si>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</si>
  <si>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</si>
  <si>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</si>
  <si>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</si>
  <si>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</si>
  <si>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</si>
  <si>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</si>
  <si>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</si>
  <si>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</si>
  <si>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</si>
  <si>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</si>
  <si>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</si>
  <si>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</si>
  <si>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</si>
  <si>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</si>
  <si>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</si>
  <si>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</si>
  <si>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</si>
  <si>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</si>
  <si>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</si>
  <si>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</si>
  <si>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</si>
  <si>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</si>
  <si>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</si>
  <si>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</si>
  <si>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</si>
  <si>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</si>
  <si>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</si>
  <si>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</si>
  <si>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</si>
  <si>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</si>
  <si>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</si>
  <si>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</si>
  <si>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</si>
  <si>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</si>
  <si>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</si>
  <si>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</si>
  <si>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</si>
  <si>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</si>
  <si>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</si>
  <si>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</si>
  <si>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</si>
  <si>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</si>
  <si>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</si>
  <si>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</si>
  <si>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</si>
  <si>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</si>
  <si>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</si>
  <si>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</si>
  <si>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</si>
  <si>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</si>
  <si>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</si>
  <si>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</si>
  <si>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</si>
  <si>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</si>
  <si>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</si>
  <si>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</si>
  <si>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</si>
  <si>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</si>
  <si>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</si>
  <si>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</si>
  <si>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</si>
  <si>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</si>
  <si>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</si>
  <si>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</si>
  <si>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</si>
  <si>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</si>
  <si>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</si>
  <si>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</si>
  <si>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</si>
  <si>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</si>
  <si>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</si>
  <si>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</si>
  <si>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</si>
  <si>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</si>
  <si>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</si>
  <si>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</si>
  <si>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</si>
  <si>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</si>
  <si>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</si>
  <si>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</si>
  <si>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</si>
  <si>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</si>
  <si>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</si>
  <si>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</si>
  <si>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</si>
  <si>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</si>
  <si>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</si>
  <si>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</si>
  <si>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</si>
  <si>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</si>
  <si>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</si>
  <si>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</si>
  <si>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</si>
  <si>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</si>
  <si>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</si>
  <si>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</si>
  <si>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</si>
  <si>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</si>
  <si>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</si>
  <si>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</si>
  <si>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</si>
  <si>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</si>
  <si>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</si>
  <si>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</si>
  <si>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</si>
  <si>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</si>
  <si>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</si>
  <si>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</si>
  <si>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</si>
  <si>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</si>
  <si>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</si>
  <si>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</si>
  <si>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</si>
  <si>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</si>
  <si>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</si>
  <si>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</si>
  <si>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</si>
  <si>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</si>
  <si>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</si>
  <si>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</si>
  <si>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</si>
  <si>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</si>
  <si>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</si>
  <si>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</si>
  <si>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</si>
  <si>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</si>
  <si>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</si>
  <si>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</si>
  <si>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</si>
  <si>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</si>
  <si>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</si>
  <si>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</si>
  <si>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</si>
  <si>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</si>
  <si>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</si>
  <si>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</si>
  <si>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</si>
  <si>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</si>
  <si>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</si>
  <si>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</si>
  <si>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</si>
  <si>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</si>
  <si>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</si>
  <si>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</si>
  <si>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</si>
  <si>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</si>
  <si>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</si>
  <si>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</si>
  <si>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</si>
  <si>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</si>
  <si>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</si>
  <si>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</si>
  <si>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</si>
  <si>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</si>
  <si>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</si>
  <si>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</si>
  <si>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</si>
  <si>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</si>
  <si>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</si>
  <si>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</si>
  <si>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</si>
  <si>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</si>
  <si>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</si>
  <si>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</si>
  <si>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</si>
  <si>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</si>
  <si>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</si>
  <si>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</si>
  <si>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</si>
  <si>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</si>
  <si>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</si>
  <si>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</si>
  <si>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</si>
  <si>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</si>
  <si>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</si>
  <si>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</si>
  <si>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</si>
  <si>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</si>
  <si>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</si>
  <si>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</si>
  <si>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</si>
  <si>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</si>
  <si>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</si>
  <si>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</si>
  <si>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</si>
  <si>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</si>
  <si>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</si>
  <si>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</si>
  <si>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</si>
  <si>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</si>
  <si>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</si>
  <si>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</si>
  <si>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</si>
  <si>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</si>
  <si>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</si>
  <si>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</si>
  <si>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</si>
  <si>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</si>
  <si>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</si>
  <si>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</si>
  <si>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</si>
  <si>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</si>
  <si>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</si>
  <si>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</si>
  <si>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</si>
  <si>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</si>
  <si>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</si>
  <si>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</si>
  <si>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</si>
  <si>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</si>
  <si>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</si>
  <si>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</si>
  <si>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</si>
  <si>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</si>
  <si>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</si>
  <si>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</si>
  <si>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</si>
  <si>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</si>
  <si>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</si>
  <si>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</si>
  <si>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</si>
  <si>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</si>
  <si>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</si>
  <si>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</si>
  <si>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</si>
  <si>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</si>
  <si>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</si>
  <si>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</si>
  <si>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</si>
  <si>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</si>
  <si>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</si>
  <si>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</si>
  <si>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</si>
  <si>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</si>
  <si>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</si>
  <si>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</si>
  <si>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</si>
  <si>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</si>
  <si>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</si>
  <si>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</si>
  <si>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</si>
  <si>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</si>
  <si>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</si>
  <si>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</si>
  <si>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</si>
  <si>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</si>
  <si>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</si>
  <si>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</si>
  <si>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</si>
  <si>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</si>
  <si>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</si>
  <si>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</si>
  <si>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</si>
  <si>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</si>
  <si>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</si>
  <si>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</si>
  <si>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</si>
  <si>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</si>
  <si>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</si>
  <si>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</si>
  <si>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</si>
  <si>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</si>
  <si>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</si>
  <si>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</si>
  <si>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</si>
  <si>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</si>
  <si>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</si>
  <si>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</si>
  <si>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</si>
  <si>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</si>
  <si>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</si>
  <si>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</si>
  <si>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</si>
  <si>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</si>
  <si>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</si>
  <si>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</si>
  <si>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</si>
  <si>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</si>
  <si>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</si>
  <si>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</si>
  <si>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</si>
  <si>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</si>
  <si>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</si>
  <si>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</si>
  <si>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</si>
  <si>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</si>
  <si>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</si>
  <si>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</si>
  <si>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</si>
  <si>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</si>
  <si>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</si>
  <si>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</si>
  <si>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</si>
  <si>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</si>
  <si>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</si>
  <si>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</si>
  <si>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</si>
  <si>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</si>
  <si>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</si>
  <si>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</si>
  <si>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</si>
  <si>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</si>
  <si>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</si>
  <si>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</si>
  <si>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</si>
  <si>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</si>
  <si>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</si>
  <si>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</si>
  <si>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</si>
  <si>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</si>
  <si>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</si>
  <si>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</si>
  <si>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</si>
  <si>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</si>
  <si>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</si>
  <si>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</si>
  <si>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</si>
  <si>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</si>
  <si>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</si>
  <si>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</si>
  <si>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</si>
  <si>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</si>
  <si>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</si>
  <si>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</si>
  <si>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</si>
  <si>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</si>
  <si>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</si>
  <si>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</si>
  <si>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</si>
  <si>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</si>
  <si>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</si>
  <si>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</si>
  <si>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</si>
  <si>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</si>
  <si>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</si>
  <si>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</si>
  <si>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</si>
  <si>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</si>
  <si>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</si>
  <si>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</si>
  <si>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</si>
  <si>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</si>
  <si>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</si>
  <si>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</si>
  <si>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</si>
  <si>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</si>
  <si>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</si>
  <si>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</si>
  <si>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</si>
  <si>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</si>
  <si>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</si>
  <si>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</si>
  <si>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</si>
  <si>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</si>
  <si>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</si>
  <si>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</si>
  <si>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</si>
  <si>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</si>
  <si>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</si>
  <si>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</si>
  <si>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</si>
  <si>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</si>
  <si>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</si>
  <si>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</si>
  <si>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</si>
  <si>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</si>
  <si>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</si>
  <si>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</si>
  <si>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</si>
  <si>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</si>
  <si>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</si>
  <si>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</si>
  <si>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</si>
  <si>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</si>
  <si>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</si>
  <si>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</si>
  <si>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</si>
  <si>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</si>
  <si>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</si>
  <si>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</si>
  <si>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</si>
  <si>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</si>
  <si>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</si>
  <si>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</si>
  <si>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</si>
  <si>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</si>
  <si>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</si>
  <si>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</si>
  <si>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</si>
  <si>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</si>
  <si>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</si>
  <si>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</si>
  <si>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</si>
  <si>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</si>
  <si>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</si>
  <si>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</si>
  <si>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</si>
  <si>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</si>
  <si>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</si>
  <si>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</si>
  <si>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</si>
  <si>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</si>
  <si>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</si>
  <si>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</si>
  <si>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</si>
  <si>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</si>
  <si>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</si>
  <si>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</si>
  <si>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</si>
  <si>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</si>
  <si>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</si>
  <si>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</si>
  <si>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</si>
  <si>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</si>
  <si>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</si>
  <si>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</si>
  <si>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</si>
  <si>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</si>
  <si>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</si>
  <si>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</si>
  <si>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</si>
  <si>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</si>
  <si>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</si>
  <si>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</si>
  <si>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</si>
  <si>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</si>
  <si>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</si>
  <si>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</si>
  <si>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</si>
  <si>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</si>
  <si>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</si>
  <si>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</si>
  <si>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</si>
  <si>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</si>
  <si>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</si>
  <si>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</si>
  <si>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</si>
  <si>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</si>
  <si>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</si>
  <si>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</si>
  <si>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</si>
  <si>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</si>
  <si>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</si>
  <si>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</si>
  <si>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</si>
  <si>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</si>
  <si>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</si>
  <si>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</si>
  <si>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</si>
  <si>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</si>
  <si>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</si>
  <si>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</si>
  <si>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</si>
  <si>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</si>
  <si>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</si>
  <si>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</si>
  <si>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</si>
  <si>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</si>
  <si>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</si>
  <si>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</si>
  <si>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</si>
  <si>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</si>
  <si>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</si>
  <si>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</si>
  <si>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</si>
  <si>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</si>
  <si>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</si>
  <si>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</si>
  <si>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</si>
  <si>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</si>
  <si>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</si>
  <si>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</si>
  <si>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</si>
  <si>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</si>
  <si>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</si>
  <si>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</si>
  <si>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</si>
  <si>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</si>
  <si>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</si>
  <si>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</si>
  <si>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</si>
  <si>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</si>
  <si>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</si>
  <si>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</si>
  <si>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</si>
  <si>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</si>
  <si>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</si>
  <si>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</si>
  <si>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</si>
  <si>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</si>
  <si>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</si>
  <si>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</si>
  <si>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</si>
  <si>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</si>
  <si>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</si>
  <si>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</si>
  <si>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</si>
  <si>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</si>
  <si>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</si>
  <si>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</si>
  <si>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</si>
  <si>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</si>
  <si>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</si>
  <si>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</si>
  <si>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</si>
  <si>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</si>
  <si>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</si>
  <si>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</si>
  <si>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</si>
  <si>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</si>
  <si>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</si>
  <si>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</si>
  <si>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</si>
  <si>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</si>
  <si>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</si>
  <si>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</si>
  <si>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</si>
  <si>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</si>
  <si>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</si>
  <si>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</si>
  <si>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</si>
  <si>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</si>
  <si>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</si>
  <si>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</si>
  <si>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</si>
  <si>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</si>
  <si>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</si>
  <si>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</si>
  <si>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</si>
  <si>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</si>
  <si>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</si>
  <si>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</si>
  <si>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</si>
  <si>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</si>
  <si>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</si>
  <si>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</si>
  <si>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</si>
  <si>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</si>
  <si>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</si>
  <si>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</si>
  <si>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</si>
  <si>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</si>
  <si>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</si>
  <si>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</si>
  <si>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</si>
  <si>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</si>
  <si>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</si>
  <si>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</si>
  <si>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</si>
  <si>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</si>
  <si>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</si>
  <si>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</si>
  <si>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</si>
  <si>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</si>
  <si>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</si>
  <si>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</si>
  <si>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</si>
  <si>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</si>
  <si>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</si>
  <si>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</si>
  <si>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</si>
  <si>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</si>
  <si>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</si>
  <si>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</si>
  <si>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</si>
  <si>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</si>
  <si>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</si>
  <si>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</si>
  <si>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</si>
  <si>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</si>
  <si>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</si>
  <si>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</si>
  <si>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</si>
  <si>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</si>
  <si>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</si>
  <si>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</si>
  <si>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</si>
  <si>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</si>
  <si>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</si>
  <si>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</si>
  <si>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</si>
  <si>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</si>
  <si>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</si>
  <si>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</si>
  <si>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</si>
  <si>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</si>
  <si>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</si>
  <si>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</si>
  <si>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</si>
  <si>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</si>
  <si>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</si>
  <si>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</si>
  <si>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</si>
  <si>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</si>
  <si>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</si>
  <si>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</si>
  <si>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</si>
  <si>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</si>
  <si>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</si>
  <si>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</si>
  <si>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</si>
  <si>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</si>
  <si>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</si>
  <si>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</si>
  <si>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</si>
  <si>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</si>
  <si>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</si>
  <si>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</si>
  <si>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</si>
  <si>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</si>
  <si>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</si>
  <si>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</si>
  <si>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</si>
  <si>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</si>
  <si>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</si>
  <si>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</si>
  <si>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</si>
  <si>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</si>
  <si>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</si>
  <si>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</si>
  <si>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</si>
  <si>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</si>
  <si>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</si>
  <si>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</si>
  <si>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</si>
  <si>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</si>
  <si>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</si>
  <si>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</si>
  <si>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</si>
  <si>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</si>
  <si>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</si>
  <si>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</si>
  <si>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</si>
  <si>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</si>
  <si>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</si>
  <si>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</si>
  <si>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</si>
  <si>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</si>
  <si>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</si>
  <si>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</si>
  <si>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</si>
  <si>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</si>
  <si>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</si>
  <si>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</si>
  <si>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</si>
  <si>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</si>
  <si>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</si>
  <si>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</si>
  <si>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</si>
  <si>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</si>
  <si>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</si>
  <si>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</si>
  <si>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</si>
  <si>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</si>
  <si>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</si>
  <si>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</si>
  <si>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</si>
  <si>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</si>
  <si>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</si>
  <si>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</si>
  <si>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</si>
  <si>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</si>
  <si>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</si>
  <si>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</si>
  <si>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</si>
  <si>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</si>
  <si>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</si>
  <si>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</si>
  <si>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</si>
  <si>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</si>
  <si>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</si>
  <si>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</si>
  <si>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</si>
  <si>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</si>
  <si>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</si>
  <si>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</si>
  <si>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</si>
  <si>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</si>
  <si>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</si>
  <si>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</si>
  <si>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</si>
  <si>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</si>
  <si>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</si>
  <si>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</si>
  <si>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</si>
  <si>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</si>
  <si>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</si>
  <si>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</si>
  <si>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</si>
  <si>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</si>
  <si>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</si>
  <si>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</si>
  <si>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</si>
  <si>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</si>
  <si>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</si>
  <si>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</si>
  <si>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</si>
  <si>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</si>
  <si>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</si>
  <si>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</si>
  <si>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</si>
  <si>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</si>
  <si>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</si>
  <si>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</si>
  <si>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</si>
  <si>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</si>
  <si>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</si>
  <si>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</si>
  <si>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</si>
  <si>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</si>
  <si>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</si>
  <si>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</si>
  <si>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</si>
  <si>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</si>
  <si>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</si>
  <si>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</si>
  <si>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</si>
  <si>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</si>
  <si>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</si>
  <si>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</si>
  <si>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</si>
  <si>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</si>
  <si>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</si>
  <si>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</si>
  <si>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</si>
  <si>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</si>
  <si>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</si>
  <si>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</si>
  <si>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</si>
  <si>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</si>
  <si>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</si>
  <si>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</si>
  <si>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</si>
  <si>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</si>
  <si>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</si>
  <si>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</si>
  <si>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</si>
  <si>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</si>
  <si>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</si>
  <si>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</si>
  <si>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</si>
  <si>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</si>
  <si>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</si>
  <si>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</si>
  <si>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</si>
  <si>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</si>
  <si>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</si>
  <si>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</si>
  <si>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</si>
  <si>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</si>
  <si>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</si>
  <si>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</si>
  <si>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</si>
  <si>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</si>
  <si>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</si>
  <si>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</si>
  <si>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</si>
  <si>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</si>
  <si>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</si>
  <si>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</si>
  <si>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</si>
  <si>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</si>
  <si>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</si>
  <si>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</si>
  <si>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</si>
  <si>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</si>
  <si>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</si>
  <si>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</si>
  <si>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</si>
  <si>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</si>
  <si>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</si>
  <si>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</si>
  <si>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</si>
  <si>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</si>
  <si>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</si>
  <si>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</si>
  <si>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</si>
  <si>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</si>
  <si>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</si>
  <si>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</si>
  <si>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</si>
  <si>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</si>
  <si>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</si>
  <si>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</si>
  <si>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</si>
  <si>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</si>
  <si>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</si>
  <si>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</si>
  <si>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</si>
  <si>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</si>
  <si>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</si>
  <si>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</si>
  <si>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</si>
  <si>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</si>
  <si>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</si>
  <si>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</si>
  <si>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</si>
  <si>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</si>
  <si>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</si>
  <si>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</si>
  <si>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</si>
  <si>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</si>
  <si>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</si>
  <si>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</si>
  <si>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</si>
  <si>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</si>
  <si>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</si>
  <si>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</si>
  <si>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</si>
  <si>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</si>
  <si>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</si>
  <si>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</si>
  <si>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</si>
  <si>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</si>
  <si>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</si>
  <si>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</si>
  <si>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</si>
  <si>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</si>
  <si>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</si>
  <si>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</si>
  <si>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</si>
  <si>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</si>
  <si>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</si>
  <si>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</si>
  <si>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</si>
  <si>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</si>
  <si>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</si>
  <si>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</si>
  <si>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</si>
  <si>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</si>
  <si>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</si>
  <si>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</si>
  <si>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</si>
  <si>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</si>
  <si>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</si>
  <si>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</si>
  <si>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</si>
  <si>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</si>
  <si>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</si>
  <si>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</si>
  <si>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</si>
  <si>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</si>
  <si>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</si>
  <si>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</si>
  <si>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</si>
  <si>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</si>
  <si>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</si>
  <si>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</si>
  <si>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</si>
  <si>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</si>
  <si>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</si>
  <si>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</si>
  <si>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</si>
  <si>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</si>
  <si>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</si>
  <si>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</si>
  <si>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</si>
  <si>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</si>
  <si>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</si>
  <si>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</si>
  <si>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</si>
  <si>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</si>
  <si>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</si>
  <si>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</si>
  <si>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</si>
  <si>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</si>
  <si>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</si>
  <si>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</si>
  <si>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</si>
  <si>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</si>
  <si>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</si>
  <si>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</si>
  <si>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</si>
  <si>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</si>
  <si>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</si>
  <si>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</si>
  <si>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</si>
  <si>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</si>
  <si>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</si>
  <si>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</si>
  <si>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</si>
  <si>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</si>
  <si>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</si>
  <si>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</si>
  <si>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</si>
  <si>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</si>
  <si>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</si>
  <si>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</si>
  <si>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</si>
  <si>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</si>
  <si>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</si>
  <si>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</si>
  <si>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</si>
  <si>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</si>
  <si>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</si>
  <si>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</si>
  <si>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</si>
  <si>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</si>
  <si>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</si>
  <si>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</si>
  <si>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</si>
  <si>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</si>
  <si>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</si>
  <si>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</si>
  <si>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</si>
  <si>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</si>
  <si>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</si>
  <si>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</si>
  <si>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</si>
  <si>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</si>
  <si>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</si>
  <si>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</si>
  <si>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</si>
  <si>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</si>
  <si>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</si>
  <si>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</si>
  <si>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</si>
  <si>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</si>
  <si>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</si>
  <si>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</si>
  <si>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</si>
  <si>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</si>
  <si>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</si>
  <si>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</si>
  <si>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</si>
  <si>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</si>
  <si>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</si>
  <si>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</si>
  <si>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</si>
  <si>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</si>
  <si>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</si>
  <si>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</si>
  <si>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</si>
  <si>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</si>
  <si>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</si>
  <si>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</si>
  <si>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</si>
  <si>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</si>
  <si>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</si>
  <si>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</si>
  <si>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</si>
  <si>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</si>
  <si>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</si>
  <si>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</si>
  <si>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</si>
  <si>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</si>
  <si>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</si>
  <si>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</si>
  <si>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</si>
  <si>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</si>
  <si>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</si>
  <si>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</si>
  <si>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</si>
  <si>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</si>
  <si>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</si>
  <si>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</si>
  <si>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</si>
  <si>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</si>
  <si>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</si>
  <si>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</si>
  <si>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</si>
  <si>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</si>
  <si>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</si>
  <si>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</si>
  <si>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</si>
  <si>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</si>
  <si>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</si>
  <si>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</si>
  <si>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</si>
  <si>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</si>
  <si>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</si>
  <si>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</si>
  <si>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</si>
  <si>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</si>
  <si>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</si>
  <si>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</si>
  <si>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</si>
  <si>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</si>
  <si>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</si>
  <si>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</si>
  <si>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</si>
  <si>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</si>
  <si>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</si>
  <si>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</si>
  <si>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</si>
  <si>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</si>
  <si>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</si>
  <si>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</si>
  <si>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</si>
  <si>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</si>
  <si>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</si>
  <si>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</si>
  <si>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</si>
  <si>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</si>
  <si>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</si>
  <si>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</si>
  <si>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</si>
  <si>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</si>
  <si>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</si>
  <si>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</si>
  <si>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</si>
  <si>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</si>
  <si>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</si>
  <si>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</si>
  <si>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</si>
  <si>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</si>
  <si>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</si>
  <si>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</si>
  <si>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</si>
  <si>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</si>
  <si>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</si>
  <si>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</si>
  <si>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</si>
  <si>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</si>
  <si>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</si>
  <si>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</si>
  <si>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</si>
  <si>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</si>
  <si>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</si>
  <si>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</si>
  <si>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</si>
  <si>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</si>
  <si>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</si>
  <si>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</si>
  <si>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</si>
  <si>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</si>
  <si>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</si>
  <si>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</si>
  <si>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</si>
  <si>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</si>
  <si>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</si>
  <si>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</si>
  <si>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</si>
  <si>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</si>
  <si>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</si>
  <si>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</si>
  <si>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</si>
  <si>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</si>
  <si>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</si>
  <si>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</si>
  <si>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</si>
  <si>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</si>
  <si>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</si>
  <si>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</si>
  <si>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</si>
  <si>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</si>
  <si>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</si>
  <si>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</si>
  <si>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</si>
  <si>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</si>
  <si>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</si>
  <si>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</si>
  <si>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</si>
  <si>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</si>
  <si>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</si>
  <si>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</si>
  <si>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</si>
  <si>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</si>
  <si>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</si>
  <si>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</si>
  <si>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</si>
  <si>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</si>
  <si>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</si>
  <si>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</si>
  <si>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</si>
  <si>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</si>
  <si>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</si>
  <si>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</si>
  <si>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</si>
  <si>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</si>
  <si>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</si>
  <si>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</si>
  <si>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</si>
  <si>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</si>
  <si>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</si>
  <si>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</si>
  <si>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</si>
  <si>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</si>
  <si>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</si>
  <si>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</si>
  <si>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</si>
  <si>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</si>
  <si>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</si>
  <si>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</si>
  <si>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</si>
  <si>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</si>
  <si>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</si>
  <si>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</si>
  <si>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</si>
  <si>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</si>
  <si>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</si>
  <si>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</si>
  <si>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</si>
  <si>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</si>
  <si>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</si>
  <si>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</si>
  <si>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</si>
  <si>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</si>
  <si>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</si>
  <si>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</si>
  <si>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</si>
  <si>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</si>
  <si>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</si>
  <si>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</si>
  <si>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</si>
  <si>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</si>
  <si>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</si>
  <si>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</si>
  <si>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</si>
  <si>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</si>
  <si>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</si>
  <si>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</si>
  <si>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</si>
  <si>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</si>
  <si>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</si>
  <si>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</si>
  <si>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</si>
  <si>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</si>
  <si>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</si>
  <si>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</si>
  <si>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</si>
  <si>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</si>
  <si>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</si>
  <si>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</si>
  <si>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</si>
  <si>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</si>
  <si>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</si>
  <si>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</si>
  <si>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</si>
  <si>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</si>
  <si>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</si>
  <si>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</si>
  <si>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</si>
  <si>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</si>
  <si>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</si>
  <si>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</si>
  <si>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</si>
  <si>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</si>
  <si>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</si>
  <si>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</si>
  <si>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</si>
  <si>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</si>
  <si>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</si>
  <si>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</si>
  <si>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</si>
  <si>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</si>
  <si>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</si>
  <si>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</si>
  <si>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</si>
  <si>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</si>
  <si>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</si>
  <si>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</si>
  <si>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</si>
  <si>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</si>
  <si>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</si>
  <si>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</si>
  <si>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</si>
  <si>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</si>
  <si>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</si>
  <si>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</si>
  <si>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</si>
  <si>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</si>
  <si>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</si>
  <si>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</si>
  <si>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</si>
  <si>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</si>
  <si>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</si>
  <si>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</si>
  <si>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</si>
  <si>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</si>
  <si>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</si>
  <si>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</si>
  <si>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</si>
  <si>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</si>
  <si>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</si>
  <si>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</si>
  <si>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</si>
  <si>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</si>
  <si>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</si>
  <si>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</si>
  <si>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</si>
  <si>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</si>
  <si>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</si>
  <si>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</si>
  <si>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</si>
  <si>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</si>
  <si>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</si>
  <si>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</si>
  <si>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</si>
  <si>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</si>
  <si>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</si>
  <si>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</si>
  <si>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</si>
  <si>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</si>
  <si>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</si>
  <si>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</si>
  <si>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</si>
  <si>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</si>
  <si>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</si>
  <si>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</si>
  <si>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</si>
  <si>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</si>
  <si>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</si>
  <si>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</si>
  <si>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</si>
  <si>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</si>
  <si>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</si>
  <si>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</si>
  <si>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</si>
  <si>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</si>
  <si>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</si>
  <si>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</si>
  <si>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</si>
  <si>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</si>
  <si>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</si>
  <si>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</si>
  <si>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</si>
  <si>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</si>
  <si>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</si>
  <si>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</si>
  <si>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</si>
  <si>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</si>
  <si>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</si>
  <si>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</si>
  <si>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</si>
  <si>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</si>
  <si>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</si>
  <si>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</si>
  <si>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</si>
  <si>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</si>
  <si>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</si>
  <si>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</si>
  <si>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</si>
  <si>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</si>
  <si>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</si>
  <si>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</si>
  <si>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</si>
  <si>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</si>
  <si>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</si>
  <si>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</si>
  <si>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</si>
  <si>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</si>
  <si>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</si>
  <si>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</si>
  <si>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</si>
  <si>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</si>
  <si>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</si>
  <si>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</si>
  <si>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</si>
  <si>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</si>
  <si>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</si>
  <si>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</si>
  <si>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</si>
  <si>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</si>
  <si>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</si>
  <si>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</si>
  <si>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</si>
  <si>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</si>
  <si>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</si>
  <si>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</si>
  <si>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</si>
  <si>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</si>
  <si>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</si>
  <si>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</si>
  <si>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</si>
  <si>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</si>
  <si>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</si>
  <si>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</si>
  <si>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</si>
  <si>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</si>
  <si>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</si>
  <si>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</si>
  <si>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</si>
  <si>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</si>
  <si>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</si>
  <si>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</si>
  <si>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</si>
  <si>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</si>
  <si>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</si>
  <si>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</si>
  <si>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</si>
  <si>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</si>
  <si>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</si>
  <si>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</si>
  <si>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</si>
  <si>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</si>
  <si>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</si>
  <si>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</si>
  <si>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</si>
  <si>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</si>
  <si>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</si>
  <si>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</si>
  <si>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</si>
  <si>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</si>
  <si>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</si>
  <si>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</si>
  <si>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</si>
  <si>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</si>
  <si>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</si>
  <si>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</si>
  <si>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</si>
  <si>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</si>
  <si>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</si>
  <si>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</si>
  <si>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</si>
  <si>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</si>
  <si>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</si>
  <si>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</si>
  <si>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</si>
  <si>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</si>
  <si>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</si>
  <si>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</si>
  <si>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</si>
  <si>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</si>
  <si>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</si>
  <si>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</si>
  <si>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</si>
  <si>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</si>
  <si>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</si>
  <si>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</si>
  <si>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</si>
  <si>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</si>
  <si>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</si>
  <si>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</si>
  <si>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</si>
  <si>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</si>
  <si>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</si>
  <si>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</si>
  <si>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</si>
  <si>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</si>
  <si>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</si>
  <si>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</si>
  <si>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</si>
  <si>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</si>
  <si>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</si>
  <si>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</si>
  <si>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</si>
  <si>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</si>
  <si>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</si>
  <si>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</si>
  <si>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</si>
  <si>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</si>
  <si>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</si>
  <si>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</si>
  <si>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</si>
  <si>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</si>
  <si>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</si>
  <si>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</si>
  <si>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</si>
  <si>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</si>
  <si>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</si>
  <si>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</si>
  <si>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</si>
  <si>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</si>
  <si>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</si>
  <si>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</si>
  <si>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</si>
  <si>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</si>
  <si>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</si>
  <si>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</si>
  <si>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</si>
  <si>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</si>
  <si>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</si>
  <si>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</si>
  <si>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</si>
  <si>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</si>
  <si>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</si>
  <si>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</si>
  <si>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</si>
  <si>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</si>
  <si>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</si>
  <si>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</si>
  <si>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</si>
  <si>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</si>
  <si>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</si>
  <si>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</si>
  <si>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</si>
  <si>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</si>
  <si>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</si>
  <si>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</si>
  <si>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</si>
  <si>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</si>
  <si>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</si>
  <si>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</si>
  <si>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</si>
  <si>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</si>
  <si>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</si>
  <si>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</si>
  <si>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</si>
  <si>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</si>
  <si>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</si>
  <si>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</si>
  <si>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</si>
  <si>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</si>
  <si>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</si>
  <si>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</si>
  <si>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</si>
  <si>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</si>
  <si>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</si>
  <si>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</si>
  <si>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</si>
  <si>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</si>
  <si>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</si>
  <si>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</si>
  <si>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</si>
  <si>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</si>
  <si>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</si>
  <si>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</si>
  <si>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</si>
  <si>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</si>
  <si>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</si>
  <si>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</si>
  <si>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</si>
  <si>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</si>
  <si>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</si>
  <si>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</si>
  <si>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</si>
  <si>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</si>
  <si>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</si>
  <si>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</si>
  <si>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</si>
  <si>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</si>
  <si>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</si>
  <si>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</si>
  <si>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</si>
  <si>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</si>
  <si>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</si>
  <si>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</si>
  <si>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</si>
  <si>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</si>
  <si>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</si>
  <si>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</si>
  <si>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</si>
  <si>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</si>
  <si>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</si>
  <si>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</si>
  <si>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</si>
  <si>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</si>
  <si>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</si>
  <si>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</si>
  <si>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</si>
  <si>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</si>
  <si>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</si>
  <si>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</si>
  <si>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</si>
  <si>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</si>
  <si>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</si>
  <si>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</si>
  <si>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</si>
  <si>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</si>
  <si>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</si>
  <si>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</si>
  <si>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</si>
  <si>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</si>
  <si>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</si>
  <si>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</si>
  <si>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</si>
  <si>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</si>
  <si>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</si>
  <si>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</si>
  <si>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</si>
  <si>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</si>
  <si>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</si>
  <si>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</si>
  <si>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</si>
  <si>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</si>
  <si>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</si>
  <si>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</si>
  <si>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</si>
  <si>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</si>
  <si>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</si>
  <si>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</si>
  <si>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</si>
  <si>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</si>
  <si>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</si>
  <si>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</si>
  <si>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</si>
  <si>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</si>
  <si>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</si>
  <si>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</si>
  <si>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</si>
  <si>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</si>
  <si>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</si>
  <si>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</si>
  <si>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</si>
  <si>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</si>
  <si>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</si>
  <si>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</si>
  <si>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</si>
  <si>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</si>
  <si>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</si>
  <si>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</si>
  <si>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</si>
  <si>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</si>
  <si>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</si>
  <si>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</si>
  <si>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</si>
  <si>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</si>
  <si>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</si>
  <si>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</si>
  <si>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</si>
  <si>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</si>
  <si>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</si>
  <si>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</si>
  <si>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</si>
  <si>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</si>
  <si>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</si>
  <si>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</si>
  <si>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</si>
  <si>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</si>
  <si>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</si>
  <si>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</si>
  <si>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</si>
  <si>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</si>
  <si>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</si>
  <si>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</si>
  <si>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</si>
  <si>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</si>
  <si>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</si>
  <si>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</si>
  <si>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</si>
  <si>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</si>
  <si>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</si>
  <si>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</si>
  <si>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</si>
  <si>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</si>
  <si>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</si>
  <si>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</si>
  <si>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</si>
  <si>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</si>
  <si>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</si>
  <si>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</si>
  <si>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</si>
  <si>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</si>
  <si>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</si>
  <si>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</si>
  <si>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</si>
  <si>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</si>
  <si>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</si>
  <si>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</si>
  <si>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</si>
  <si>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</si>
  <si>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</si>
  <si>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</si>
  <si>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</si>
  <si>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</si>
  <si>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</si>
  <si>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</si>
  <si>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</si>
  <si>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</si>
  <si>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</si>
  <si>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</si>
  <si>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</si>
  <si>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</si>
  <si>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</si>
  <si>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</si>
  <si>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</si>
  <si>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</si>
  <si>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</si>
  <si>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</si>
  <si>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</si>
  <si>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</si>
  <si>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</si>
  <si>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</si>
  <si>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</si>
  <si>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</si>
  <si>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</si>
  <si>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</si>
  <si>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</si>
  <si>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</si>
  <si>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</si>
  <si>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</si>
  <si>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</si>
  <si>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</si>
  <si>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</si>
  <si>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</si>
  <si>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</si>
  <si>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</si>
  <si>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</si>
  <si>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</si>
  <si>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</si>
  <si>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</si>
  <si>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</si>
  <si>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</si>
  <si>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</si>
  <si>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</si>
  <si>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</si>
  <si>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</si>
  <si>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</si>
  <si>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</si>
  <si>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</si>
  <si>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</si>
  <si>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</si>
  <si>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</si>
  <si>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</si>
  <si>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</si>
  <si>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</si>
  <si>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</si>
  <si>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</si>
  <si>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</si>
  <si>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</si>
  <si>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</si>
  <si>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</si>
  <si>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</si>
  <si>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</si>
  <si>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</si>
  <si>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</si>
  <si>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</si>
  <si>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</si>
  <si>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</si>
  <si>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</si>
  <si>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</si>
  <si>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</si>
  <si>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</si>
  <si>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</si>
  <si>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</si>
  <si>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</si>
  <si>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</si>
  <si>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</si>
  <si>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</si>
  <si>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</si>
  <si>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</si>
  <si>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</si>
  <si>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</si>
  <si>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</si>
  <si>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</si>
  <si>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</si>
  <si>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</si>
  <si>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</si>
  <si>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</si>
  <si>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</si>
  <si>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</si>
  <si>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</si>
  <si>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</si>
  <si>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</si>
  <si>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</si>
  <si>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</si>
  <si>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</si>
  <si>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</si>
  <si>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</si>
  <si>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</si>
  <si>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</si>
  <si>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</si>
  <si>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</si>
  <si>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</si>
  <si>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</si>
  <si>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</si>
  <si>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</si>
  <si>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</si>
  <si>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</si>
  <si>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</si>
  <si>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</si>
  <si>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</si>
  <si>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</si>
  <si>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</si>
  <si>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</si>
  <si>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</si>
  <si>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</si>
  <si>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</si>
  <si>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</si>
  <si>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</si>
  <si>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</si>
  <si>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</si>
  <si>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</si>
  <si>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</si>
  <si>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</si>
  <si>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</si>
  <si>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</si>
  <si>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</si>
  <si>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</si>
  <si>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</si>
  <si>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</si>
  <si>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</si>
  <si>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</si>
  <si>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</si>
  <si>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</si>
  <si>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</si>
  <si>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</si>
  <si>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</si>
  <si>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</si>
  <si>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</si>
  <si>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</si>
  <si>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</si>
  <si>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</si>
  <si>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</si>
  <si>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</si>
  <si>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</si>
  <si>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</si>
  <si>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</si>
  <si>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</si>
  <si>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</si>
  <si>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</si>
  <si>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</si>
  <si>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</si>
  <si>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</si>
  <si>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</si>
  <si>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</si>
  <si>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</si>
  <si>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</si>
  <si>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</si>
  <si>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</si>
  <si>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</si>
  <si>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</si>
  <si>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</si>
  <si>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</si>
  <si>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</si>
  <si>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</si>
  <si>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</si>
  <si>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</si>
  <si>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</si>
  <si>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</si>
  <si>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</si>
  <si>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</si>
  <si>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</si>
  <si>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</si>
  <si>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</si>
  <si>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</si>
  <si>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</si>
  <si>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</si>
  <si>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</si>
  <si>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</si>
  <si>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</si>
  <si>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</si>
  <si>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</si>
  <si>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</si>
  <si>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</si>
  <si>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</si>
  <si>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</si>
  <si>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</si>
  <si>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</si>
  <si>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</si>
  <si>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</si>
  <si>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</si>
  <si>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</si>
  <si>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</si>
  <si>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</si>
  <si>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</si>
  <si>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</si>
  <si>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</si>
  <si>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</si>
  <si>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</si>
  <si>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</si>
  <si>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</si>
  <si>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</si>
  <si>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</si>
  <si>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</si>
  <si>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</si>
  <si>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</si>
  <si>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</si>
  <si>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</si>
  <si>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</si>
  <si>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</si>
  <si>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</si>
  <si>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</si>
  <si>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</si>
  <si>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</si>
  <si>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</si>
  <si>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</si>
  <si>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</si>
  <si>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</si>
  <si>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</si>
  <si>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</si>
  <si>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</si>
  <si>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</si>
  <si>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</si>
  <si>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</si>
  <si>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</si>
  <si>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</si>
  <si>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</si>
  <si>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</si>
  <si>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</si>
  <si>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</si>
  <si>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</si>
  <si>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</si>
  <si>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</si>
  <si>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</si>
  <si>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</si>
  <si>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</si>
  <si>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</si>
  <si>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</si>
  <si>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</si>
  <si>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</si>
  <si>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</si>
  <si>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</si>
  <si>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</si>
  <si>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</si>
  <si>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</si>
  <si>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</si>
  <si>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</si>
  <si>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</si>
  <si>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</si>
  <si>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</si>
  <si>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</si>
  <si>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</si>
  <si>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</si>
  <si>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</si>
  <si>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</si>
  <si>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</si>
  <si>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</si>
  <si>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</si>
  <si>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</si>
  <si>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</si>
  <si>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</si>
  <si>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</si>
  <si>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</si>
  <si>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</si>
  <si>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</si>
  <si>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</si>
  <si>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</si>
  <si>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</si>
  <si>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</si>
  <si>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</si>
  <si>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</si>
  <si>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</si>
  <si>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</si>
  <si>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</si>
  <si>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</si>
  <si>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</si>
  <si>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</si>
  <si>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</si>
  <si>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</si>
  <si>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</si>
  <si>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</si>
  <si>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</si>
  <si>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</si>
  <si>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</si>
  <si>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</si>
  <si>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</si>
  <si>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</si>
  <si>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</si>
  <si>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</si>
  <si>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</si>
  <si>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</si>
  <si>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</si>
  <si>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</si>
  <si>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</si>
  <si>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</si>
  <si>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</si>
  <si>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</si>
  <si>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</si>
  <si>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</si>
  <si>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</si>
  <si>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</si>
  <si>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</si>
  <si>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</si>
  <si>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</si>
  <si>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</si>
  <si>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</si>
  <si>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</si>
  <si>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</si>
  <si>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</si>
  <si>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</si>
  <si>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</si>
  <si>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</si>
  <si>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</si>
  <si>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</si>
  <si>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</si>
  <si>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</si>
  <si>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</si>
  <si>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</si>
  <si>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</si>
  <si>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</si>
  <si>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</si>
  <si>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</si>
  <si>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</si>
  <si>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</si>
  <si>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</si>
  <si>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</si>
  <si>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</si>
  <si>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</si>
  <si>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</si>
  <si>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</si>
  <si>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</si>
  <si>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</si>
  <si>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</si>
  <si>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</si>
  <si>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</si>
  <si>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</si>
  <si>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</si>
  <si>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</si>
  <si>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</si>
  <si>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</si>
  <si>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</si>
  <si>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</si>
  <si>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</si>
  <si>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</si>
  <si>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</si>
  <si>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</si>
  <si>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</si>
  <si>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</si>
  <si>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</si>
  <si>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</si>
  <si>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</si>
  <si>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</si>
  <si>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</si>
  <si>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</si>
  <si>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</si>
  <si>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</si>
  <si>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</si>
  <si>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</si>
  <si>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</si>
  <si>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</si>
  <si>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</si>
  <si>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</si>
  <si>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</si>
  <si>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</si>
  <si>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</si>
  <si>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</si>
  <si>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</si>
  <si>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</si>
  <si>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</si>
  <si>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</si>
  <si>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</si>
  <si>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</si>
  <si>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</si>
  <si>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</si>
  <si>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</si>
  <si>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</si>
  <si>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</si>
  <si>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</si>
  <si>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</si>
  <si>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</si>
  <si>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</si>
  <si>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</si>
  <si>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</si>
  <si>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</si>
  <si>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</si>
  <si>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</si>
  <si>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</si>
  <si>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</si>
  <si>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</si>
  <si>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</si>
  <si>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</si>
  <si>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</si>
  <si>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</si>
  <si>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</si>
  <si>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</si>
  <si>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</si>
  <si>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</si>
  <si>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</si>
  <si>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</si>
  <si>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</si>
  <si>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</si>
  <si>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</si>
  <si>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</si>
  <si>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</si>
  <si>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</si>
  <si>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</si>
  <si>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</si>
  <si>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</si>
  <si>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</si>
  <si>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</si>
  <si>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</si>
  <si>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</si>
  <si>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</si>
  <si>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</si>
  <si>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</si>
  <si>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</si>
  <si>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</si>
  <si>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</si>
  <si>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</si>
  <si>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</si>
  <si>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</si>
  <si>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</si>
  <si>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</si>
  <si>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</si>
  <si>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</si>
  <si>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</si>
  <si>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</si>
  <si>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</si>
  <si>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</si>
  <si>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</si>
  <si>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</si>
  <si>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</si>
  <si>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</si>
  <si>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</si>
  <si>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</si>
  <si>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</si>
  <si>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</si>
  <si>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</si>
  <si>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</si>
  <si>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</si>
  <si>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</si>
  <si>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</si>
  <si>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</si>
  <si>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</si>
  <si>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</si>
  <si>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</si>
  <si>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</si>
  <si>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</si>
  <si>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</si>
  <si>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</si>
  <si>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</si>
  <si>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</si>
  <si>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</si>
  <si>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</si>
  <si>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</si>
  <si>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</si>
  <si>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</si>
  <si>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</si>
  <si>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</si>
  <si>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</si>
  <si>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</si>
  <si>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</si>
  <si>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</si>
  <si>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</si>
  <si>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</si>
  <si>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</si>
  <si>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</si>
  <si>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</si>
  <si>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</si>
  <si>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</si>
  <si>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</si>
  <si>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</si>
  <si>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</si>
  <si>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</si>
  <si>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</si>
  <si>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</si>
  <si>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</si>
  <si>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</si>
  <si>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</si>
  <si>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</si>
  <si>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</si>
  <si>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</si>
  <si>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</si>
  <si>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</si>
  <si>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</si>
  <si>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</si>
  <si>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</si>
  <si>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</si>
  <si>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</si>
  <si>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</si>
  <si>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</si>
  <si>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</si>
  <si>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</si>
  <si>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</si>
  <si>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</si>
  <si>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</si>
  <si>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</si>
  <si>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</si>
  <si>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</si>
  <si>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</si>
  <si>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</si>
  <si>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</si>
  <si>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</si>
  <si>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</si>
  <si>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</si>
  <si>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</si>
  <si>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</si>
  <si>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</si>
  <si>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</si>
  <si>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</si>
  <si>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</si>
  <si>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</si>
  <si>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</si>
  <si>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</si>
  <si>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</si>
  <si>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</si>
  <si>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</si>
  <si>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</si>
  <si>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</si>
  <si>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</si>
  <si>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</si>
  <si>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</si>
  <si>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</si>
  <si>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</si>
  <si>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</si>
  <si>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</si>
  <si>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</si>
  <si>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</si>
  <si>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</si>
  <si>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</si>
  <si>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</si>
  <si>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</si>
  <si>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</si>
  <si>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</si>
  <si>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</si>
  <si>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</si>
  <si>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</si>
  <si>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</si>
  <si>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</si>
  <si>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</si>
  <si>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</si>
  <si>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</si>
  <si>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</si>
  <si>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</si>
  <si>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</si>
  <si>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</si>
  <si>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</si>
  <si>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</si>
  <si>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</si>
  <si>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</si>
  <si>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</si>
  <si>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</si>
  <si>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</si>
  <si>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</si>
  <si>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</si>
  <si>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</si>
  <si>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</si>
  <si>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</si>
  <si>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</si>
  <si>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</si>
  <si>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</si>
  <si>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</si>
  <si>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</si>
  <si>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</si>
  <si>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</si>
  <si>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</si>
  <si>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</si>
  <si>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</si>
  <si>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</si>
  <si>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</si>
  <si>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</si>
  <si>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</si>
  <si>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</si>
  <si>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</si>
  <si>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</si>
  <si>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</si>
  <si>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</si>
  <si>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</si>
  <si>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</si>
  <si>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</si>
  <si>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</si>
  <si>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</si>
  <si>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</si>
  <si>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</si>
  <si>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</si>
  <si>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</si>
  <si>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</si>
  <si>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</si>
  <si>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</si>
  <si>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</si>
  <si>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</si>
  <si>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</si>
  <si>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</si>
  <si>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</si>
  <si>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</si>
  <si>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</si>
  <si>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</si>
  <si>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</si>
  <si>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</si>
  <si>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</si>
  <si>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</si>
  <si>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</si>
  <si>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</si>
  <si>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</si>
  <si>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</si>
  <si>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</si>
  <si>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</si>
  <si>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</si>
  <si>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</si>
  <si>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</si>
  <si>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</si>
  <si>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</si>
  <si>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</si>
  <si>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</si>
  <si>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</si>
  <si>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</si>
  <si>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</si>
  <si>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</si>
  <si>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</si>
  <si>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</si>
  <si>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</si>
  <si>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</si>
  <si>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</si>
  <si>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</si>
  <si>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</si>
  <si>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</si>
  <si>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</si>
  <si>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</si>
  <si>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</si>
  <si>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</si>
  <si>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</si>
  <si>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</si>
  <si>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</si>
  <si>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</si>
  <si>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</si>
  <si>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</si>
  <si>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</si>
  <si>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</si>
  <si>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</si>
  <si>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</si>
  <si>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</si>
  <si>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</si>
  <si>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</si>
  <si>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</si>
  <si>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</si>
  <si>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</si>
  <si>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</si>
  <si>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</si>
  <si>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</si>
  <si>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</si>
  <si>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</si>
  <si>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</si>
  <si>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</si>
  <si>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</si>
  <si>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</si>
  <si>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</si>
  <si>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</si>
  <si>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</si>
  <si>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</si>
  <si>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</si>
  <si>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</si>
  <si>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</si>
  <si>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</si>
  <si>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</si>
  <si>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</si>
  <si>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</si>
  <si>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</si>
  <si>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</si>
  <si>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</si>
  <si>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</si>
  <si>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</si>
  <si>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</si>
  <si>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</si>
  <si>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</si>
  <si>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</si>
  <si>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</si>
  <si>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</si>
  <si>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</si>
  <si>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</si>
  <si>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</si>
  <si>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</si>
  <si>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</si>
  <si>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</si>
  <si>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</si>
  <si>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</si>
  <si>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</si>
  <si>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</si>
  <si>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</si>
  <si>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</si>
  <si>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</si>
  <si>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</si>
  <si>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</si>
  <si>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</si>
  <si>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</si>
  <si>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</si>
  <si>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</si>
  <si>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</si>
  <si>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</si>
  <si>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</si>
  <si>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</si>
  <si>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</si>
  <si>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</si>
  <si>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</si>
  <si>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</si>
  <si>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</si>
  <si>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</si>
  <si>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</si>
  <si>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</si>
  <si>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</si>
  <si>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</si>
  <si>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</si>
  <si>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</si>
  <si>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</si>
  <si>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</si>
  <si>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</si>
  <si>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</si>
  <si>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</si>
  <si>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</si>
  <si>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</si>
  <si>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</si>
  <si>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</si>
  <si>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</si>
  <si>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</si>
  <si>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</si>
  <si>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</si>
  <si>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</si>
  <si>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</si>
  <si>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</si>
  <si>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</si>
  <si>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</si>
  <si>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</si>
  <si>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</si>
  <si>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</si>
  <si>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</si>
  <si>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</si>
  <si>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</si>
  <si>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</si>
  <si>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</si>
  <si>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</si>
  <si>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</si>
  <si>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</si>
  <si>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</si>
  <si>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</si>
  <si>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</si>
  <si>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</si>
  <si>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</si>
  <si>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</si>
  <si>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</si>
  <si>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</si>
  <si>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</si>
  <si>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</si>
  <si>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</si>
  <si>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</si>
  <si>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</si>
  <si>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</si>
  <si>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</si>
  <si>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</si>
  <si>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</si>
  <si>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</si>
  <si>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</si>
  <si>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</si>
  <si>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</si>
  <si>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</si>
  <si>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</si>
  <si>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</si>
  <si>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</si>
  <si>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</si>
  <si>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</si>
  <si>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</si>
  <si>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</si>
  <si>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</si>
  <si>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</si>
  <si>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</si>
  <si>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</si>
  <si>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</si>
  <si>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</si>
  <si>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</si>
  <si>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</si>
  <si>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</si>
  <si>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</si>
  <si>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</si>
  <si>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</si>
  <si>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</si>
  <si>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</si>
  <si>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</si>
  <si>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</si>
  <si>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</si>
  <si>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</si>
  <si>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</si>
  <si>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</si>
  <si>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</si>
  <si>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</si>
  <si>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</si>
  <si>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</si>
  <si>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</si>
  <si>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</si>
  <si>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</si>
  <si>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</si>
  <si>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</si>
  <si>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</si>
  <si>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</si>
  <si>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</si>
  <si>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</si>
  <si>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</si>
  <si>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</si>
  <si>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</si>
  <si>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</si>
  <si>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</si>
  <si>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</si>
  <si>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</si>
  <si>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</si>
  <si>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</si>
  <si>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</si>
  <si>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</si>
  <si>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</si>
  <si>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</si>
  <si>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</si>
  <si>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</si>
  <si>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</si>
  <si>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</si>
  <si>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</si>
  <si>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</si>
  <si>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</si>
  <si>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</si>
  <si>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</si>
  <si>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</si>
  <si>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</si>
  <si>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</si>
  <si>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</si>
  <si>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</si>
  <si>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</si>
  <si>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</si>
  <si>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</si>
  <si>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</si>
  <si>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</si>
  <si>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</si>
  <si>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</si>
  <si>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</si>
  <si>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</si>
  <si>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</si>
  <si>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</si>
  <si>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</si>
  <si>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</si>
  <si>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</si>
  <si>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</si>
  <si>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</si>
  <si>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</si>
  <si>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</si>
  <si>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</si>
  <si>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</si>
  <si>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</si>
  <si>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</si>
  <si>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</si>
  <si>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</si>
  <si>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</si>
  <si>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</si>
  <si>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</si>
  <si>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</si>
  <si>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</si>
  <si>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</si>
  <si>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</si>
  <si>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</si>
  <si>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</si>
  <si>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</si>
  <si>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</si>
  <si>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</si>
  <si>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</si>
  <si>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</si>
  <si>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</si>
  <si>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</si>
  <si>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</si>
  <si>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</si>
  <si>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</si>
  <si>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</si>
  <si>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</si>
  <si>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</si>
  <si>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</si>
  <si>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</si>
  <si>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</si>
  <si>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</si>
  <si>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</si>
  <si>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</si>
  <si>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</si>
  <si>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</si>
  <si>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</si>
  <si>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</si>
  <si>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</si>
  <si>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</si>
  <si>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</si>
  <si>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</si>
  <si>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</si>
  <si>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</si>
  <si>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</si>
  <si>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</si>
  <si>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</si>
  <si>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</si>
  <si>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</si>
  <si>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</si>
  <si>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</si>
  <si>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</si>
  <si>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</si>
  <si>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</si>
  <si>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</si>
  <si>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</si>
  <si>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</si>
  <si>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</si>
  <si>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</si>
  <si>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</si>
  <si>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</si>
  <si>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</si>
  <si>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</si>
  <si>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</si>
  <si>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</si>
  <si>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</si>
  <si>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</si>
  <si>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</si>
  <si>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</si>
  <si>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</si>
  <si>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</si>
  <si>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</si>
  <si>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</si>
  <si>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</si>
  <si>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</si>
  <si>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</si>
  <si>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</si>
  <si>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</si>
  <si>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</si>
  <si>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</si>
  <si>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</si>
  <si>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</si>
  <si>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</si>
  <si>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</si>
  <si>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</si>
  <si>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</si>
  <si>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</si>
  <si>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</si>
  <si>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</si>
  <si>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</si>
  <si>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</si>
  <si>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</si>
  <si>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</si>
  <si>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</si>
  <si>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</si>
  <si>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</si>
  <si>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</si>
  <si>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</si>
  <si>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</si>
  <si>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</si>
  <si>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</si>
  <si>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</si>
  <si>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</si>
  <si>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</si>
  <si>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</si>
  <si>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</si>
  <si>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</si>
  <si>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</si>
  <si>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</si>
  <si>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</si>
  <si>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</si>
  <si>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</si>
  <si>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</si>
  <si>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</si>
  <si>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</si>
  <si>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</si>
  <si>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</si>
  <si>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</si>
  <si>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</si>
  <si>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</si>
  <si>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</si>
  <si>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</si>
  <si>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</si>
  <si>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</si>
  <si>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</si>
  <si>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</si>
  <si>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</si>
  <si>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</si>
  <si>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</si>
  <si>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</si>
  <si>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</si>
  <si>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</si>
  <si>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</si>
  <si>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</si>
  <si>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</si>
  <si>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</si>
  <si>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</si>
  <si>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</si>
  <si>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</si>
  <si>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</si>
  <si>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</si>
  <si>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</si>
  <si>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</si>
  <si>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</si>
  <si>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</si>
  <si>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</si>
  <si>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</si>
  <si>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</si>
  <si>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</si>
  <si>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</si>
  <si>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</si>
  <si>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</si>
  <si>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</si>
  <si>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</si>
  <si>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</si>
  <si>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</si>
  <si>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</si>
  <si>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</si>
  <si>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</si>
  <si>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</si>
  <si>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</si>
  <si>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</si>
  <si>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</si>
  <si>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</si>
  <si>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</si>
  <si>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</si>
  <si>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</si>
  <si>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</si>
  <si>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</si>
  <si>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</si>
  <si>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</si>
  <si>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</si>
  <si>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</si>
  <si>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</si>
  <si>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</si>
  <si>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</si>
  <si>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</si>
  <si>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</si>
  <si>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</si>
  <si>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</si>
  <si>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</si>
  <si>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</si>
  <si>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</si>
  <si>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</si>
  <si>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</si>
  <si>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</si>
  <si>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</si>
  <si>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</si>
  <si>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</si>
  <si>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</si>
  <si>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</si>
  <si>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</si>
  <si>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</si>
  <si>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</si>
  <si>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</si>
  <si>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</si>
  <si>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</si>
  <si>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</si>
  <si>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</si>
  <si>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</si>
  <si>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</si>
  <si>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</si>
  <si>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</si>
  <si>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</si>
  <si>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</si>
  <si>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</si>
  <si>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</si>
  <si>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</si>
  <si>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</si>
  <si>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</si>
  <si>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</si>
  <si>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</si>
  <si>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</si>
  <si>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</si>
  <si>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</si>
  <si>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</si>
  <si>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</si>
  <si>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</si>
  <si>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</si>
  <si>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</si>
  <si>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</si>
  <si>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</si>
  <si>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</si>
  <si>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</si>
  <si>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</si>
  <si>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</si>
  <si>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</si>
  <si>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</si>
  <si>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</si>
  <si>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</si>
  <si>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</si>
  <si>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</si>
  <si>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</si>
  <si>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</si>
  <si>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</si>
  <si>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</si>
  <si>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</si>
  <si>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</si>
  <si>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</si>
  <si>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</si>
  <si>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</si>
  <si>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</si>
  <si>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</si>
  <si>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</si>
  <si>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</si>
  <si>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</si>
  <si>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</si>
  <si>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</si>
  <si>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</si>
  <si>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</si>
  <si>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</si>
  <si>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</si>
  <si>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</si>
  <si>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</si>
  <si>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</si>
  <si>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</si>
  <si>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</si>
  <si>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</si>
  <si>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</si>
  <si>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</si>
  <si>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</si>
  <si>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</si>
  <si>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</si>
  <si>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</si>
  <si>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</si>
  <si>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</si>
  <si>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</si>
  <si>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</si>
  <si>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</si>
  <si>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</si>
  <si>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</si>
  <si>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</si>
  <si>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</si>
  <si>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</si>
  <si>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</si>
  <si>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</si>
  <si>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</si>
  <si>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</si>
  <si>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</si>
  <si>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</si>
  <si>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</si>
  <si>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</si>
  <si>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</si>
  <si>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</si>
  <si>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</si>
  <si>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</si>
  <si>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</si>
  <si>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</si>
  <si>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</si>
  <si>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</si>
  <si>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</si>
  <si>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</si>
  <si>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</si>
  <si>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</si>
  <si>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</si>
  <si>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</si>
  <si>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</si>
  <si>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</si>
  <si>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</si>
  <si>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</si>
  <si>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</si>
  <si>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</si>
  <si>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</si>
  <si>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</si>
  <si>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</si>
  <si>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</si>
  <si>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</si>
  <si>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</si>
  <si>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</si>
  <si>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</si>
  <si>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</si>
  <si>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</si>
  <si>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</si>
  <si>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</si>
  <si>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</si>
  <si>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</si>
  <si>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</si>
  <si>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</si>
  <si>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</si>
  <si>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</si>
  <si>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</si>
  <si>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</si>
  <si>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</si>
  <si>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</si>
  <si>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</si>
  <si>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</si>
  <si>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</si>
  <si>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</si>
  <si>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</si>
  <si>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</si>
  <si>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</si>
  <si>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</si>
  <si>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</si>
  <si>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</si>
  <si>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</si>
  <si>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</si>
  <si>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</si>
  <si>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</si>
  <si>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</si>
  <si>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</si>
  <si>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</si>
  <si>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</si>
  <si>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</si>
  <si>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</si>
  <si>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</si>
  <si>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</si>
  <si>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</si>
  <si>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</si>
  <si>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</si>
  <si>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</si>
  <si>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</si>
  <si>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</si>
  <si>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</si>
  <si>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</si>
  <si>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</si>
  <si>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</si>
  <si>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</si>
  <si>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</si>
  <si>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</si>
  <si>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</si>
  <si>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</si>
  <si>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</si>
  <si>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</si>
  <si>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</si>
  <si>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</si>
  <si>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</si>
  <si>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</si>
  <si>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</si>
  <si>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</si>
  <si>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</si>
  <si>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</si>
  <si>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</si>
  <si>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</si>
  <si>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</si>
  <si>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</si>
  <si>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</si>
  <si>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</si>
  <si>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</si>
  <si>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</si>
  <si>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</si>
  <si>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</si>
  <si>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</si>
  <si>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</si>
  <si>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</si>
  <si>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</si>
  <si>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</si>
  <si>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</si>
  <si>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</si>
  <si>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</si>
  <si>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</si>
  <si>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</si>
  <si>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</si>
  <si>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</si>
  <si>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</si>
  <si>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</si>
  <si>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</si>
  <si>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</si>
  <si>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</si>
  <si>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</si>
  <si>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</si>
  <si>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</si>
  <si>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</si>
  <si>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</si>
  <si>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</si>
  <si>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</si>
  <si>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</si>
  <si>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</si>
  <si>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</si>
  <si>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</si>
  <si>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</si>
  <si>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</si>
  <si>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</si>
  <si>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</si>
  <si>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</si>
  <si>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</si>
  <si>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</si>
  <si>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</si>
  <si>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</si>
  <si>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</si>
  <si>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</si>
  <si>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</si>
  <si>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</si>
  <si>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</si>
  <si>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</si>
  <si>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</si>
  <si>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</si>
  <si>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</si>
  <si>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</si>
  <si>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</si>
  <si>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</si>
  <si>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</si>
  <si>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</si>
  <si>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</si>
  <si>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</si>
  <si>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</si>
  <si>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</si>
  <si>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</si>
  <si>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</si>
  <si>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</si>
  <si>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</si>
  <si>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</si>
  <si>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</si>
  <si>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</si>
  <si>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</si>
  <si>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</si>
  <si>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</si>
  <si>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</si>
  <si>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</si>
  <si>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</si>
  <si>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</si>
  <si>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</si>
  <si>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</si>
  <si>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</si>
  <si>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</si>
  <si>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</si>
  <si>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</si>
  <si>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</si>
  <si>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</si>
  <si>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</si>
  <si>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</si>
  <si>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</si>
  <si>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</si>
  <si>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</si>
  <si>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</si>
  <si>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</si>
  <si>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</si>
  <si>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</si>
  <si>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</si>
  <si>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</si>
  <si>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</si>
  <si>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</si>
  <si>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</si>
  <si>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</si>
  <si>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</si>
  <si>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</si>
  <si>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</si>
  <si>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</si>
  <si>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</si>
  <si>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</si>
  <si>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</si>
  <si>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</si>
  <si>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</si>
  <si>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</si>
  <si>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</si>
  <si>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</si>
  <si>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</si>
  <si>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</si>
  <si>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</si>
  <si>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</si>
  <si>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</si>
  <si>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</si>
  <si>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</si>
  <si>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</si>
  <si>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</si>
  <si>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</si>
  <si>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</si>
  <si>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</si>
  <si>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</si>
  <si>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</si>
  <si>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</si>
  <si>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</si>
  <si>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</si>
  <si>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</si>
  <si>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</si>
  <si>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</si>
  <si>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</si>
  <si>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</si>
  <si>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</si>
  <si>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</si>
  <si>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</si>
  <si>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</si>
  <si>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</si>
  <si>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</si>
  <si>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</si>
  <si>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</si>
  <si>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</si>
  <si>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</si>
  <si>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</si>
  <si>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</si>
  <si>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</si>
  <si>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</si>
  <si>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</si>
  <si>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</si>
  <si>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</si>
  <si>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</si>
  <si>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</si>
  <si>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</si>
  <si>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</si>
  <si>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</si>
  <si>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</si>
  <si>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</si>
  <si>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</si>
  <si>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</si>
  <si>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</si>
  <si>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</si>
  <si>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</si>
  <si>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</si>
  <si>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</si>
  <si>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</si>
  <si>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</si>
  <si>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</si>
  <si>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</si>
  <si>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</si>
  <si>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</si>
  <si>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</si>
  <si>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</si>
  <si>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</si>
  <si>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</si>
  <si>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</si>
  <si>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</si>
  <si>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</si>
  <si>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</si>
  <si>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</si>
  <si>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</si>
  <si>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</si>
  <si>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</si>
  <si>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</si>
  <si>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</si>
  <si>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</si>
  <si>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</si>
  <si>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</si>
  <si>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</si>
  <si>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</si>
  <si>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</si>
  <si>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</si>
  <si>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</si>
  <si>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</si>
  <si>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</si>
  <si>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</si>
  <si>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</si>
  <si>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</si>
  <si>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</si>
  <si>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</si>
  <si>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</si>
  <si>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</si>
  <si>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</si>
  <si>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</si>
  <si>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</si>
  <si>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</si>
  <si>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</si>
  <si>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</si>
  <si>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</si>
  <si>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</si>
  <si>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</si>
  <si>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</si>
  <si>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</si>
  <si>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</si>
  <si>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</si>
  <si>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</si>
  <si>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</si>
  <si>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</si>
  <si>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</si>
  <si>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</si>
  <si>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</si>
  <si>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</si>
  <si>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</si>
  <si>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</si>
  <si>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</si>
  <si>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</si>
  <si>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</si>
  <si>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</si>
  <si>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</si>
  <si>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</si>
  <si>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</si>
  <si>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</si>
  <si>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</si>
  <si>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</si>
  <si>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</si>
  <si>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</si>
  <si>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</si>
  <si>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</si>
  <si>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</si>
  <si>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</si>
  <si>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</si>
  <si>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</si>
  <si>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</si>
  <si>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</si>
  <si>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</si>
  <si>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</si>
  <si>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</si>
  <si>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</si>
  <si>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</si>
  <si>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</si>
  <si>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</si>
  <si>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</si>
  <si>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</si>
  <si>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</si>
  <si>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</si>
  <si>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</si>
  <si>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</si>
  <si>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</si>
  <si>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</si>
  <si>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</si>
  <si>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</si>
  <si>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</si>
  <si>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</si>
  <si>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</si>
  <si>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</si>
  <si>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</si>
  <si>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</si>
  <si>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</si>
  <si>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</si>
  <si>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</si>
  <si>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</si>
  <si>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</si>
  <si>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</si>
  <si>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</si>
  <si>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</si>
  <si>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</si>
  <si>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</si>
  <si>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</si>
  <si>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</si>
  <si>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</si>
  <si>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</si>
  <si>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</si>
  <si>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</si>
  <si>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</si>
  <si>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</si>
  <si>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</si>
  <si>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</si>
  <si>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</si>
  <si>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</si>
  <si>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</si>
  <si>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</si>
  <si>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</si>
  <si>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</si>
  <si>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</si>
  <si>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</si>
  <si>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</si>
  <si>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</si>
  <si>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</si>
  <si>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</si>
  <si>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</si>
  <si>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</si>
  <si>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</si>
  <si>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</si>
  <si>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</si>
  <si>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</si>
  <si>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</si>
  <si>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</si>
  <si>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</si>
  <si>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</si>
  <si>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</si>
  <si>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</si>
  <si>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</si>
  <si>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</si>
  <si>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</si>
  <si>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</si>
  <si>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</si>
  <si>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</si>
  <si>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</si>
  <si>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</si>
  <si>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</si>
  <si>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</si>
  <si>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</si>
  <si>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</si>
  <si>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</si>
  <si>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</si>
  <si>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</si>
  <si>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</si>
  <si>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</si>
  <si>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</si>
  <si>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</si>
  <si>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</si>
  <si>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</si>
  <si>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</si>
  <si>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</si>
  <si>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</si>
  <si>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</si>
  <si>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</si>
  <si>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</si>
  <si>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</si>
  <si>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</si>
  <si>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</si>
  <si>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</si>
  <si>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</si>
  <si>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</si>
  <si>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</si>
  <si>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</si>
  <si>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</si>
  <si>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</si>
  <si>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</si>
  <si>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</si>
  <si>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</si>
  <si>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</si>
  <si>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</si>
  <si>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</si>
  <si>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</si>
  <si>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</si>
  <si>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</si>
  <si>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</si>
  <si>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</si>
  <si>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</si>
  <si>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</si>
  <si>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</si>
  <si>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</si>
  <si>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</si>
  <si>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</si>
  <si>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</si>
  <si>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</si>
  <si>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</si>
  <si>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</si>
  <si>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</si>
  <si>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</si>
  <si>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</si>
  <si>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</si>
  <si>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</si>
  <si>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</si>
  <si>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</si>
  <si>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</si>
  <si>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</si>
  <si>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</si>
  <si>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</si>
  <si>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</si>
  <si>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</si>
  <si>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</si>
  <si>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</si>
  <si>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</si>
  <si>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</si>
  <si>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</si>
  <si>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</si>
  <si>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</si>
  <si>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</si>
  <si>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</si>
  <si>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</si>
  <si>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</si>
  <si>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</si>
  <si>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</si>
  <si>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</si>
  <si>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</si>
  <si>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</si>
  <si>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</si>
  <si>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</si>
  <si>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</si>
  <si>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</si>
  <si>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</si>
  <si>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</si>
  <si>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</si>
  <si>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</si>
  <si>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</si>
  <si>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</si>
  <si>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</si>
  <si>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</si>
  <si>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</si>
  <si>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</si>
  <si>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</si>
  <si>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</si>
  <si>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</si>
  <si>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</si>
  <si>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</si>
  <si>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</si>
  <si>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</si>
  <si>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</si>
  <si>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</si>
  <si>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</si>
  <si>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</si>
  <si>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</si>
  <si>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</si>
  <si>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</si>
  <si>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</si>
  <si>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</si>
  <si>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</si>
  <si>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</si>
  <si>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</si>
  <si>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</si>
  <si>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</si>
  <si>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</si>
  <si>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</si>
  <si>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</si>
  <si>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</si>
  <si>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</si>
  <si>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</si>
  <si>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</si>
  <si>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</si>
  <si>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</si>
  <si>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</si>
  <si>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</si>
  <si>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</si>
  <si>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</si>
  <si>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</si>
  <si>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</si>
  <si>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</si>
  <si>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</si>
  <si>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</si>
  <si>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</si>
  <si>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</si>
  <si>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</si>
  <si>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</si>
  <si>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</si>
  <si>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</si>
  <si>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</si>
  <si>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</si>
  <si>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</si>
  <si>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</si>
  <si>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</si>
  <si>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</si>
  <si>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</si>
  <si>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</si>
  <si>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</si>
  <si>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</si>
  <si>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</si>
  <si>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</si>
  <si>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</si>
  <si>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</si>
  <si>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</si>
  <si>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</si>
  <si>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</si>
  <si>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</si>
  <si>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</si>
  <si>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</si>
  <si>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</si>
  <si>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</si>
  <si>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</si>
  <si>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</si>
  <si>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</si>
  <si>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</si>
  <si>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</si>
  <si>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</si>
  <si>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</si>
  <si>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</si>
  <si>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</si>
  <si>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</si>
  <si>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</si>
  <si>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</si>
  <si>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</si>
  <si>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</si>
  <si>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</si>
  <si>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</si>
  <si>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</si>
  <si>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</si>
  <si>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</si>
  <si>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</si>
  <si>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</si>
  <si>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</si>
  <si>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</si>
  <si>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</si>
  <si>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</si>
  <si>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</si>
  <si>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</si>
  <si>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</si>
  <si>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</si>
  <si>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</si>
  <si>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</si>
  <si>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</si>
  <si>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</si>
  <si>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</si>
  <si>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</si>
  <si>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</si>
  <si>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</si>
  <si>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</si>
  <si>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</si>
  <si>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</si>
  <si>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</si>
  <si>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</si>
  <si>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</si>
  <si>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</si>
  <si>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</si>
  <si>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</si>
  <si>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</si>
  <si>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</si>
  <si>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</si>
  <si>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</si>
  <si>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</si>
  <si>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</si>
  <si>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</si>
  <si>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</si>
  <si>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</si>
  <si>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</si>
  <si>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</si>
  <si>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</si>
  <si>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</si>
  <si>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</si>
  <si>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</si>
  <si>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</si>
  <si>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</si>
  <si>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</si>
  <si>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</si>
  <si>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</si>
  <si>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</si>
  <si>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</si>
  <si>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</si>
  <si>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</si>
  <si>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</si>
  <si>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</si>
  <si>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</si>
  <si>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</si>
  <si>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</si>
  <si>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</si>
  <si>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</si>
  <si>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</si>
  <si>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</si>
  <si>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</si>
  <si>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</si>
  <si>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</si>
  <si>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</si>
  <si>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</si>
  <si>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</si>
  <si>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</si>
  <si>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</si>
  <si>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</si>
  <si>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</si>
  <si>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</si>
  <si>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</si>
  <si>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</si>
  <si>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</si>
  <si>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</si>
  <si>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</si>
  <si>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</si>
  <si>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</si>
  <si>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</si>
  <si>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</si>
  <si>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</si>
  <si>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</si>
  <si>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</si>
  <si>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</si>
  <si>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</si>
  <si>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</si>
  <si>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</si>
  <si>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</si>
  <si>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</si>
  <si>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</si>
  <si>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</si>
  <si>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</si>
  <si>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</si>
  <si>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</si>
  <si>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</si>
  <si>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</si>
  <si>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</si>
  <si>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</si>
  <si>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</si>
  <si>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</si>
  <si>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</si>
  <si>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</si>
  <si>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</si>
  <si>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</si>
  <si>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</si>
  <si>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</si>
  <si>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</si>
  <si>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</si>
  <si>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</si>
  <si>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</si>
  <si>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</si>
  <si>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</si>
  <si>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</si>
  <si>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</si>
  <si>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</si>
  <si>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</si>
  <si>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</si>
  <si>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</si>
  <si>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</si>
  <si>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</si>
  <si>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</si>
  <si>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</si>
  <si>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</si>
  <si>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</si>
  <si>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</si>
  <si>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</si>
  <si>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</si>
  <si>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</si>
  <si>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</si>
  <si>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</si>
  <si>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</si>
  <si>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</si>
  <si>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</si>
  <si>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</si>
  <si>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</si>
  <si>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</si>
  <si>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</si>
  <si>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</si>
  <si>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</si>
  <si>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</si>
  <si>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</si>
  <si>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</si>
  <si>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</si>
  <si>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</si>
  <si>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</si>
  <si>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</si>
  <si>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</si>
  <si>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</si>
  <si>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</si>
  <si>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</si>
  <si>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</si>
  <si>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</si>
  <si>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</si>
  <si>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</si>
  <si>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</si>
  <si>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</si>
  <si>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</si>
  <si>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</si>
  <si>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</si>
  <si>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</si>
  <si>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</si>
  <si>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</si>
  <si>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</si>
  <si>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</si>
  <si>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</si>
  <si>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</si>
  <si>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</si>
  <si>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</si>
  <si>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</si>
  <si>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</si>
  <si>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</si>
  <si>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</si>
  <si>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</si>
  <si>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</si>
  <si>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</si>
  <si>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</si>
  <si>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</si>
  <si>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</si>
  <si>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</si>
  <si>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</si>
  <si>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</si>
  <si>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</si>
  <si>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</si>
  <si>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</si>
  <si>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</si>
  <si>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</si>
  <si>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</si>
  <si>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</si>
  <si>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</si>
  <si>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</si>
  <si>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</si>
  <si>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</si>
  <si>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</si>
  <si>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</si>
  <si>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</si>
  <si>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</si>
  <si>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</si>
  <si>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</si>
  <si>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</si>
  <si>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</si>
  <si>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</si>
  <si>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</si>
  <si>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</si>
  <si>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</si>
  <si>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</si>
  <si>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</si>
  <si>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</si>
  <si>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</si>
  <si>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</si>
  <si>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</si>
  <si>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</si>
  <si>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</si>
  <si>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</si>
  <si>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</si>
  <si>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</si>
  <si>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</si>
  <si>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</si>
  <si>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</si>
  <si>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</si>
  <si>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</si>
  <si>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</si>
  <si>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</si>
  <si>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</si>
  <si>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</si>
  <si>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</si>
  <si>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</si>
  <si>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</si>
  <si>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</si>
  <si>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</si>
  <si>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</si>
  <si>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</si>
  <si>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</si>
  <si>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</si>
  <si>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</si>
  <si>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</si>
  <si>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</si>
  <si>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</si>
  <si>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</si>
  <si>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</si>
  <si>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</si>
  <si>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</si>
  <si>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</si>
  <si>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</si>
  <si>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</si>
  <si>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</si>
  <si>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</si>
  <si>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</si>
  <si>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</si>
  <si>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</si>
  <si>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</si>
  <si>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</si>
  <si>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</si>
  <si>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</si>
  <si>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</si>
  <si>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</si>
  <si>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</si>
  <si>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</si>
  <si>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</si>
  <si>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</si>
  <si>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</si>
  <si>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</si>
  <si>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</si>
  <si>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</si>
  <si>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</si>
  <si>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</si>
  <si>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</si>
  <si>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</si>
  <si>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</si>
  <si>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</si>
  <si>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</si>
  <si>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</si>
  <si>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</si>
  <si>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</si>
  <si>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</si>
  <si>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</si>
  <si>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</si>
  <si>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</si>
  <si>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</si>
  <si>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</si>
  <si>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</si>
  <si>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</si>
  <si>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</si>
  <si>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</si>
  <si>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</si>
  <si>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</si>
  <si>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</si>
  <si>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</si>
  <si>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</si>
  <si>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</si>
  <si>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</si>
  <si>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</si>
  <si>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</si>
  <si>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</si>
  <si>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</si>
  <si>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</si>
  <si>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</si>
  <si>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</si>
  <si>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</si>
  <si>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</si>
  <si>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</si>
  <si>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</si>
  <si>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</si>
  <si>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</si>
  <si>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</si>
  <si>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</si>
  <si>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</si>
  <si>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</si>
  <si>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</si>
  <si>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</si>
  <si>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</si>
  <si>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</si>
  <si>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</si>
  <si>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</si>
  <si>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</si>
  <si>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</si>
  <si>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</si>
  <si>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</si>
  <si>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</si>
  <si>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</si>
  <si>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</si>
  <si>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</si>
  <si>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</si>
  <si>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</si>
  <si>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</si>
  <si>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</si>
  <si>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</si>
  <si>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</si>
  <si>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</si>
  <si>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</si>
  <si>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</si>
  <si>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</si>
  <si>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</si>
  <si>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</si>
  <si>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</si>
  <si>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</si>
  <si>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</si>
  <si>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</si>
  <si>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</si>
  <si>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</si>
  <si>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</si>
  <si>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</si>
  <si>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</si>
  <si>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</si>
  <si>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</si>
  <si>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</si>
  <si>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</si>
  <si>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</si>
  <si>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</si>
  <si>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</si>
  <si>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</si>
  <si>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</si>
  <si>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</si>
  <si>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</si>
  <si>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</si>
  <si>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</si>
  <si>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</si>
  <si>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</si>
  <si>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</si>
  <si>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</si>
  <si>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</si>
  <si>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</si>
  <si>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</si>
  <si>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</si>
  <si>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</si>
  <si>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</si>
  <si>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</si>
  <si>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</si>
  <si>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</si>
  <si>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</si>
  <si>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</si>
  <si>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</si>
  <si>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</si>
  <si>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</si>
  <si>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</si>
  <si>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</si>
  <si>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</si>
  <si>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</si>
  <si>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</si>
  <si>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</si>
  <si>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</si>
  <si>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</si>
  <si>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</si>
  <si>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</si>
  <si>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</si>
  <si>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</si>
  <si>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</si>
  <si>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</si>
  <si>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</si>
  <si>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</si>
  <si>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</si>
  <si>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</si>
  <si>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</si>
  <si>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</si>
  <si>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</si>
  <si>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</si>
  <si>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</si>
  <si>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</si>
  <si>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</si>
  <si>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</si>
  <si>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</si>
  <si>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</si>
  <si>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</si>
  <si>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</si>
  <si>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</si>
  <si>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</si>
  <si>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</si>
  <si>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</si>
  <si>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</si>
  <si>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</si>
  <si>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</si>
  <si>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</si>
  <si>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</si>
  <si>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</si>
  <si>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</si>
  <si>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</si>
  <si>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</si>
  <si>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</si>
  <si>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</si>
  <si>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</si>
  <si>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</si>
  <si>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</si>
  <si>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</si>
  <si>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</si>
  <si>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</si>
  <si>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</si>
  <si>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</si>
  <si>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</si>
  <si>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</si>
  <si>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</si>
  <si>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</si>
  <si>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</si>
  <si>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</si>
  <si>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</si>
  <si>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</si>
  <si>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</si>
  <si>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</si>
  <si>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</si>
  <si>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</si>
  <si>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</si>
  <si>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</si>
  <si>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</si>
  <si>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</si>
  <si>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</si>
  <si>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</si>
  <si>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</si>
  <si>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</si>
  <si>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</si>
  <si>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</si>
  <si>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</si>
  <si>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</si>
  <si>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</si>
  <si>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</si>
  <si>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</si>
  <si>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</si>
  <si>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</si>
  <si>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</si>
  <si>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</si>
  <si>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</si>
  <si>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</si>
  <si>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</si>
  <si>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</si>
  <si>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</si>
  <si>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</si>
  <si>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</si>
  <si>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</si>
  <si>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</si>
  <si>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</si>
  <si>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</si>
  <si>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</si>
  <si>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</si>
  <si>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</si>
  <si>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</si>
  <si>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</si>
  <si>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</si>
  <si>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</si>
  <si>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</si>
  <si>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</si>
  <si>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</si>
  <si>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</si>
  <si>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</si>
  <si>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</si>
  <si>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</si>
  <si>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</si>
  <si>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</si>
  <si>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</si>
  <si>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</si>
  <si>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</si>
  <si>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</si>
  <si>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</si>
  <si>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</si>
  <si>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</si>
  <si>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</si>
  <si>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</si>
  <si>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</si>
  <si>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</si>
  <si>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</si>
  <si>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</si>
  <si>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</si>
  <si>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</si>
  <si>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</si>
  <si>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</si>
  <si>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</si>
  <si>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</si>
  <si>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</si>
  <si>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</si>
  <si>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</si>
  <si>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</si>
  <si>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</si>
  <si>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</si>
  <si>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</si>
  <si>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</si>
  <si>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</si>
  <si>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</si>
  <si>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</si>
  <si>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</si>
  <si>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</si>
  <si>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</si>
  <si>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</si>
  <si>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</si>
  <si>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</si>
  <si>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</si>
  <si>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</si>
  <si>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</si>
  <si>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</si>
  <si>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</si>
  <si>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</si>
  <si>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</si>
  <si>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</si>
  <si>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</si>
  <si>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</si>
  <si>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</si>
  <si>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</si>
  <si>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</si>
  <si>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</si>
  <si>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</si>
  <si>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</si>
  <si>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</si>
  <si>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</si>
  <si>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</si>
  <si>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</si>
  <si>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</si>
  <si>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</si>
  <si>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</si>
  <si>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</si>
  <si>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</si>
  <si>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</si>
  <si>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</si>
  <si>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</si>
  <si>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</si>
  <si>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</si>
  <si>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</si>
  <si>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</si>
  <si>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</si>
  <si>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</si>
  <si>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</si>
  <si>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</si>
  <si>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</si>
  <si>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</si>
  <si>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</si>
  <si>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</si>
  <si>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</si>
  <si>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</si>
  <si>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</si>
  <si>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</si>
  <si>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</si>
  <si>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</si>
  <si>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</si>
  <si>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</si>
  <si>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</si>
  <si>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</si>
  <si>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</si>
  <si>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</si>
  <si>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</si>
  <si>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</si>
  <si>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</si>
  <si>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</si>
  <si>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</si>
  <si>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</si>
  <si>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</si>
  <si>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</si>
  <si>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</si>
  <si>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</si>
  <si>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</si>
  <si>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</si>
  <si>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</si>
  <si>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</si>
  <si>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</si>
  <si>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</si>
  <si>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</si>
  <si>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</si>
  <si>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</si>
  <si>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</si>
  <si>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</si>
  <si>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</si>
  <si>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</si>
  <si>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</si>
  <si>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</si>
  <si>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</si>
  <si>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</si>
  <si>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</si>
  <si>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</si>
  <si>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</si>
  <si>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</si>
  <si>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</si>
  <si>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</si>
  <si>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</si>
  <si>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</si>
  <si>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</si>
  <si>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</si>
  <si>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</si>
  <si>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</si>
  <si>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</si>
  <si>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</si>
  <si>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</si>
  <si>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</si>
  <si>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</si>
  <si>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</si>
  <si>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</si>
  <si>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</si>
  <si>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</si>
  <si>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</si>
  <si>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</si>
  <si>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</si>
  <si>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</si>
  <si>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</si>
  <si>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</si>
  <si>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</si>
  <si>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</si>
  <si>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</si>
  <si>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</si>
  <si>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</si>
  <si>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</si>
  <si>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</si>
  <si>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</si>
  <si>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</si>
  <si>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</si>
  <si>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</si>
  <si>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</si>
  <si>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</si>
  <si>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</si>
  <si>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</si>
  <si>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</si>
  <si>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</si>
  <si>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</si>
  <si>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</si>
  <si>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</si>
  <si>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</si>
  <si>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</si>
  <si>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</si>
  <si>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</si>
  <si>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</si>
  <si>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</si>
  <si>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</si>
  <si>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</si>
  <si>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</si>
  <si>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</si>
  <si>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</si>
  <si>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</si>
  <si>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</si>
  <si>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</si>
  <si>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</si>
  <si>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</si>
  <si>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</si>
  <si>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</si>
  <si>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</si>
  <si>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</si>
  <si>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</si>
  <si>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</si>
  <si>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</si>
  <si>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</si>
  <si>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</si>
  <si>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</si>
  <si>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</si>
  <si>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</si>
  <si>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</si>
  <si>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</si>
  <si>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</si>
  <si>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</si>
  <si>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</si>
  <si>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</si>
  <si>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</si>
  <si>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</si>
  <si>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</si>
  <si>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</si>
  <si>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</si>
  <si>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</si>
  <si>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</si>
  <si>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</si>
  <si>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</si>
  <si>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</si>
  <si>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</si>
  <si>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</si>
  <si>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</si>
  <si>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</si>
  <si>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</si>
  <si>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</si>
  <si>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</si>
  <si>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</si>
  <si>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</si>
  <si>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</si>
  <si>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</si>
  <si>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</si>
  <si>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</si>
  <si>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</si>
  <si>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</si>
  <si>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</si>
  <si>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</si>
  <si>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</si>
  <si>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</si>
  <si>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</si>
  <si>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</si>
  <si>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</si>
  <si>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</si>
  <si>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</si>
  <si>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</si>
  <si>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</si>
  <si>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</si>
  <si>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</si>
  <si>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</si>
  <si>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</si>
  <si>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</si>
  <si>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</si>
  <si>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</si>
  <si>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</si>
  <si>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</si>
  <si>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</si>
  <si>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</si>
  <si>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</si>
  <si>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</si>
  <si>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</si>
  <si>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</si>
  <si>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</si>
  <si>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</si>
  <si>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</si>
  <si>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</si>
  <si>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</si>
  <si>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</si>
  <si>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</si>
  <si>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</si>
  <si>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</si>
  <si>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</si>
  <si>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</si>
  <si>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</si>
  <si>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</si>
  <si>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</si>
  <si>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</si>
  <si>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</si>
  <si>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</si>
  <si>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</si>
  <si>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</si>
  <si>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</si>
  <si>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</si>
  <si>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</si>
  <si>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</si>
  <si>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</si>
  <si>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</si>
  <si>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</si>
  <si>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</si>
  <si>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</si>
  <si>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</si>
  <si>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</si>
  <si>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</si>
  <si>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</si>
  <si>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</si>
  <si>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</si>
  <si>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</si>
  <si>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</si>
  <si>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</si>
  <si>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</si>
  <si>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</si>
  <si>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</si>
  <si>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</si>
  <si>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</si>
  <si>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</si>
  <si>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</si>
  <si>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</si>
  <si>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</si>
  <si>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</si>
  <si>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</si>
  <si>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</si>
  <si>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</si>
  <si>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</si>
  <si>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</si>
  <si>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</si>
  <si>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</si>
  <si>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</si>
  <si>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</si>
  <si>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</si>
  <si>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</si>
  <si>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</si>
  <si>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</si>
  <si>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</si>
  <si>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</si>
  <si>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</si>
  <si>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</si>
  <si>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</si>
  <si>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</si>
  <si>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</si>
  <si>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</si>
  <si>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</si>
  <si>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</si>
  <si>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</si>
  <si>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</si>
  <si>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</si>
  <si>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</si>
  <si>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</si>
  <si>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</si>
  <si>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</si>
  <si>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</si>
  <si>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</si>
  <si>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</si>
  <si>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</si>
  <si>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</si>
  <si>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</si>
  <si>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</si>
  <si>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</si>
  <si>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</si>
  <si>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</si>
  <si>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</si>
  <si>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</si>
  <si>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</si>
  <si>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</si>
  <si>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</si>
  <si>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</si>
  <si>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</si>
  <si>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</si>
  <si>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</si>
  <si>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</si>
  <si>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</si>
  <si>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</si>
  <si>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</si>
  <si>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</si>
  <si>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</si>
  <si>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</si>
  <si>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</si>
  <si>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</si>
  <si>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</si>
  <si>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</si>
  <si>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</si>
  <si>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</si>
  <si>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</si>
  <si>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</si>
  <si>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</si>
  <si>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</si>
  <si>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</si>
  <si>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</si>
  <si>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</si>
  <si>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</si>
  <si>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</si>
  <si>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</si>
  <si>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</si>
  <si>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</si>
  <si>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</si>
  <si>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</si>
  <si>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</si>
  <si>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</si>
  <si>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</si>
  <si>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</si>
  <si>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</si>
  <si>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</si>
  <si>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</si>
  <si>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</si>
  <si>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</si>
  <si>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</si>
  <si>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</si>
  <si>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</si>
  <si>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</si>
  <si>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</si>
  <si>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</si>
  <si>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</si>
  <si>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</si>
  <si>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</si>
  <si>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</si>
  <si>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</si>
  <si>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</si>
  <si>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</si>
  <si>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</si>
  <si>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</si>
  <si>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</si>
  <si>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</si>
  <si>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</si>
  <si>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</si>
  <si>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</si>
  <si>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</si>
  <si>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</si>
  <si>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</si>
  <si>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</si>
  <si>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</si>
  <si>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</si>
  <si>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</si>
  <si>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</si>
  <si>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</si>
  <si>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</si>
  <si>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</si>
  <si>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</si>
  <si>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</si>
  <si>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</si>
  <si>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</si>
  <si>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</si>
  <si>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</si>
  <si>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</si>
  <si>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</si>
  <si>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</si>
  <si>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</si>
  <si>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</si>
  <si>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</si>
  <si>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</si>
  <si>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</si>
  <si>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</si>
  <si>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</si>
  <si>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</si>
  <si>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</si>
  <si>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</si>
  <si>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</si>
  <si>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</si>
  <si>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</si>
  <si>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</si>
  <si>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</si>
  <si>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</si>
  <si>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</si>
  <si>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</si>
  <si>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</si>
  <si>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</si>
  <si>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</si>
  <si>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</si>
  <si>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</si>
  <si>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</si>
  <si>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</si>
  <si>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</si>
  <si>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</si>
  <si>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</si>
  <si>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</si>
  <si>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</si>
  <si>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</si>
  <si>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</si>
  <si>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</si>
  <si>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</si>
  <si>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</si>
  <si>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</si>
  <si>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</si>
  <si>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</si>
  <si>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</si>
  <si>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</si>
  <si>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</si>
  <si>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</si>
  <si>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</si>
  <si>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</si>
  <si>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</si>
  <si>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</si>
  <si>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</si>
  <si>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</si>
  <si>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</si>
  <si>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</si>
  <si>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</si>
  <si>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</si>
  <si>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</si>
  <si>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</si>
  <si>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</si>
  <si>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</si>
  <si>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</si>
  <si>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</si>
  <si>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</si>
  <si>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</si>
  <si>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</si>
  <si>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</si>
  <si>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</si>
  <si>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</si>
  <si>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</si>
  <si>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</si>
  <si>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</si>
  <si>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</si>
  <si>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</si>
  <si>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</si>
  <si>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</si>
  <si>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</si>
  <si>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</si>
  <si>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</si>
  <si>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</si>
  <si>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</si>
  <si>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</si>
  <si>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</si>
  <si>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</si>
  <si>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</si>
  <si>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</si>
  <si>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</si>
  <si>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</si>
  <si>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</si>
  <si>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</si>
  <si>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</si>
  <si>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</si>
  <si>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</si>
  <si>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</si>
  <si>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</si>
  <si>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</si>
  <si>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</si>
  <si>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</si>
  <si>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</si>
  <si>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</si>
  <si>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</si>
  <si>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</si>
  <si>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</si>
  <si>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</si>
  <si>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</si>
  <si>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</si>
  <si>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</si>
  <si>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</si>
  <si>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</si>
  <si>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</si>
  <si>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</si>
  <si>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</si>
  <si>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</si>
  <si>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</si>
  <si>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</si>
  <si>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</si>
  <si>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</si>
  <si>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</si>
  <si>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</si>
  <si>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</si>
  <si>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</si>
  <si>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</si>
  <si>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</si>
  <si>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</si>
  <si>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</si>
  <si>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</si>
  <si>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</si>
  <si>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</si>
  <si>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</si>
  <si>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</si>
  <si>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</si>
  <si>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</si>
  <si>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</si>
  <si>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</si>
  <si>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</si>
  <si>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</si>
  <si>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</si>
  <si>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</si>
  <si>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</si>
  <si>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</si>
  <si>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</si>
  <si>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</si>
  <si>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</si>
  <si>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</si>
  <si>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</si>
  <si>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</si>
  <si>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</si>
  <si>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</si>
  <si>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</si>
  <si>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</si>
  <si>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</si>
  <si>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</si>
  <si>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</si>
  <si>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</si>
  <si>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</si>
  <si>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</si>
  <si>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</si>
  <si>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</si>
  <si>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</si>
  <si>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</si>
  <si>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</si>
  <si>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</si>
  <si>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</si>
  <si>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</si>
  <si>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</si>
  <si>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</si>
  <si>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</si>
  <si>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</si>
  <si>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</si>
  <si>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</si>
  <si>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</si>
  <si>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</si>
  <si>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</si>
  <si>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</si>
  <si>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</si>
  <si>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</si>
  <si>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</si>
  <si>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</si>
  <si>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</si>
  <si>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</si>
  <si>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</si>
  <si>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</si>
  <si>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</si>
  <si>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</si>
  <si>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</si>
  <si>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</si>
  <si>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</si>
  <si>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</si>
  <si>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</si>
  <si>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</si>
  <si>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</si>
  <si>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</si>
  <si>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</si>
  <si>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</si>
  <si>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</si>
  <si>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</si>
  <si>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</si>
  <si>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</si>
  <si>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</si>
  <si>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</si>
  <si>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</si>
  <si>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</si>
  <si>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</si>
  <si>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</si>
  <si>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</si>
  <si>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</si>
  <si>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</si>
  <si>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</si>
  <si>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</si>
  <si>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</si>
  <si>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</si>
  <si>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</si>
  <si>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</si>
  <si>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</si>
  <si>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</si>
  <si>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</si>
  <si>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</si>
  <si>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</si>
  <si>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</si>
  <si>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</si>
  <si>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</si>
  <si>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</si>
  <si>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</si>
  <si>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</si>
  <si>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</si>
  <si>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</si>
  <si>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</si>
  <si>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</si>
  <si>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</si>
  <si>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</si>
  <si>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</si>
  <si>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</si>
  <si>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</si>
  <si>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</si>
  <si>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</si>
  <si>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</si>
  <si>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</si>
  <si>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</si>
  <si>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</si>
  <si>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</si>
  <si>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</si>
  <si>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</si>
  <si>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</si>
  <si>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</si>
  <si>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</si>
  <si>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</si>
  <si>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</si>
  <si>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</si>
  <si>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</si>
  <si>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</si>
  <si>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</si>
  <si>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</si>
  <si>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</si>
  <si>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</si>
  <si>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</si>
  <si>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</si>
  <si>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</si>
  <si>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</si>
  <si>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</si>
  <si>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</si>
  <si>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</si>
  <si>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</si>
  <si>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</si>
  <si>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</si>
  <si>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</si>
  <si>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</si>
  <si>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</si>
  <si>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</si>
  <si>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</si>
  <si>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</si>
  <si>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</si>
  <si>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</si>
  <si>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</si>
  <si>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</si>
  <si>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</si>
  <si>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</si>
  <si>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</si>
  <si>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</si>
  <si>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</si>
  <si>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</si>
  <si>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</si>
  <si>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</si>
  <si>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</si>
  <si>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</si>
  <si>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</si>
  <si>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</si>
  <si>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</si>
  <si>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</si>
  <si>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</si>
  <si>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</si>
  <si>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</si>
  <si>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</si>
  <si>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</si>
  <si>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</si>
  <si>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</si>
  <si>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</si>
  <si>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</si>
  <si>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</si>
  <si>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</si>
  <si>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</si>
  <si>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</si>
  <si>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</si>
  <si>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</si>
  <si>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</si>
  <si>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</si>
  <si>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</si>
  <si>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</si>
  <si>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</si>
  <si>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</si>
  <si>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</si>
  <si>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</si>
  <si>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</si>
  <si>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</si>
  <si>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</si>
  <si>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</si>
  <si>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</si>
  <si>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</si>
  <si>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</si>
  <si>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</si>
  <si>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</si>
  <si>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</si>
  <si>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</si>
  <si>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</si>
  <si>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</si>
  <si>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</si>
  <si>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</si>
  <si>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</si>
  <si>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</si>
  <si>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</si>
  <si>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</si>
  <si>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</si>
  <si>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</si>
  <si>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</si>
  <si>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</si>
  <si>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</si>
  <si>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</si>
  <si>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</si>
  <si>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</si>
  <si>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</si>
  <si>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</si>
  <si>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</si>
  <si>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</si>
  <si>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</si>
  <si>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</si>
  <si>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</si>
  <si>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</si>
  <si>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</si>
  <si>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</si>
  <si>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</si>
  <si>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</si>
  <si>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</si>
  <si>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</si>
  <si>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</si>
  <si>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</si>
  <si>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</si>
  <si>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</si>
  <si>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</si>
  <si>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</si>
  <si>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</si>
  <si>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</si>
  <si>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</si>
  <si>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</si>
  <si>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</si>
  <si>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</si>
  <si>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</si>
  <si>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</si>
  <si>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</si>
  <si>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</si>
  <si>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</si>
  <si>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</si>
  <si>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</si>
  <si>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</si>
  <si>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</si>
  <si>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</si>
  <si>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</si>
  <si>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</si>
  <si>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</si>
  <si>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</si>
  <si>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</si>
  <si>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</si>
  <si>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</si>
  <si>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</si>
  <si>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</si>
  <si>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</si>
  <si>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</si>
  <si>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</si>
  <si>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</si>
  <si>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</si>
  <si>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</si>
  <si>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</si>
  <si>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</si>
  <si>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</si>
  <si>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</si>
  <si>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</si>
  <si>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</si>
  <si>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</si>
  <si>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</si>
  <si>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</si>
  <si>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</si>
  <si>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</si>
  <si>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</si>
  <si>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</si>
  <si>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</si>
  <si>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</si>
  <si>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</si>
  <si>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</si>
  <si>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</si>
  <si>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</si>
  <si>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</si>
  <si>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</si>
  <si>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</si>
  <si>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</si>
  <si>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</si>
  <si>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</si>
  <si>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</si>
  <si>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</si>
  <si>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</si>
  <si>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</si>
  <si>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</si>
  <si>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</si>
  <si>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</si>
  <si>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</si>
  <si>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</si>
  <si>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</si>
  <si>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</si>
  <si>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</si>
  <si>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</si>
  <si>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</si>
  <si>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</si>
  <si>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</si>
  <si>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</si>
  <si>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</si>
  <si>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</si>
  <si>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</si>
  <si>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</si>
  <si>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</si>
  <si>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</si>
  <si>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</si>
  <si>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</si>
  <si>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</si>
  <si>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</si>
  <si>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</si>
  <si>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</si>
  <si>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</si>
  <si>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</si>
  <si>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</si>
  <si>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</si>
  <si>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</si>
  <si>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</si>
  <si>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</si>
  <si>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</si>
  <si>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</si>
  <si>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</si>
  <si>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</si>
  <si>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</si>
  <si>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</si>
  <si>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</si>
  <si>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</si>
  <si>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</si>
  <si>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</si>
  <si>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</si>
  <si>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</si>
  <si>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</si>
  <si>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</si>
  <si>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</si>
  <si>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</si>
  <si>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</si>
  <si>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</si>
  <si>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</si>
  <si>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</si>
  <si>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</si>
  <si>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</si>
  <si>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</si>
  <si>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</si>
  <si>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</si>
  <si>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</si>
  <si>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</si>
  <si>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</si>
  <si>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</si>
  <si>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</si>
  <si>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</si>
  <si>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</si>
  <si>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</si>
  <si>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</si>
  <si>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</si>
  <si>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</si>
  <si>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</si>
  <si>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</si>
  <si>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</si>
  <si>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</si>
  <si>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</si>
  <si>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</si>
  <si>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</si>
  <si>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</si>
  <si>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</si>
  <si>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</si>
  <si>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</si>
  <si>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</si>
  <si>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</si>
  <si>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</si>
  <si>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</si>
  <si>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</si>
  <si>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</si>
  <si>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</si>
  <si>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</si>
  <si>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</si>
  <si>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</si>
  <si>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</si>
  <si>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</si>
  <si>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</si>
  <si>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</si>
  <si>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</si>
  <si>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</si>
  <si>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</si>
  <si>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</si>
  <si>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</si>
  <si>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</si>
  <si>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</si>
  <si>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</si>
  <si>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</si>
  <si>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</si>
  <si>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</si>
  <si>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</si>
  <si>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</si>
  <si>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</si>
  <si>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</si>
  <si>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</si>
  <si>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</si>
  <si>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</si>
  <si>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</si>
  <si>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</si>
  <si>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</si>
  <si>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</si>
  <si>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</si>
  <si>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</si>
  <si>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</si>
  <si>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</si>
  <si>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</si>
  <si>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</si>
  <si>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</si>
  <si>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</si>
  <si>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</si>
  <si>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</si>
  <si>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</si>
  <si>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</si>
  <si>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</si>
  <si>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</si>
  <si>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</si>
  <si>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</si>
  <si>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</si>
  <si>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</si>
  <si>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</si>
  <si>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</si>
  <si>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</si>
  <si>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</si>
  <si>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</si>
  <si>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</si>
  <si>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</si>
  <si>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</si>
  <si>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</si>
  <si>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</si>
  <si>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</si>
  <si>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</si>
  <si>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</si>
  <si>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</si>
  <si>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</si>
  <si>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</si>
  <si>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</si>
  <si>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</si>
  <si>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</si>
  <si>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</si>
  <si>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</si>
  <si>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</si>
  <si>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</si>
  <si>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</si>
  <si>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</si>
  <si>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</si>
  <si>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</si>
  <si>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</si>
  <si>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</si>
  <si>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</si>
  <si>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</si>
  <si>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</si>
  <si>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</si>
  <si>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</si>
  <si>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</si>
  <si>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</si>
  <si>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</si>
  <si>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</si>
  <si>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</si>
  <si>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</si>
  <si>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</si>
  <si>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</si>
  <si>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</si>
  <si>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</si>
  <si>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</si>
  <si>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</si>
  <si>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</si>
  <si>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</si>
  <si>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</si>
  <si>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</si>
  <si>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</si>
  <si>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</si>
  <si>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</si>
  <si>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</si>
  <si>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</si>
  <si>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</si>
  <si>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</si>
  <si>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</si>
  <si>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</si>
  <si>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</si>
  <si>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</si>
  <si>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</si>
  <si>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</si>
  <si>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</si>
  <si>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</si>
  <si>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</si>
  <si>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</si>
  <si>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</si>
  <si>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</si>
  <si>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</si>
  <si>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</si>
  <si>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</si>
  <si>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</si>
  <si>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</si>
  <si>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</si>
  <si>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</si>
  <si>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</si>
  <si>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</si>
  <si>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</si>
  <si>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</si>
  <si>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</si>
  <si>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</si>
  <si>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</si>
  <si>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</si>
  <si>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</si>
  <si>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</si>
  <si>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</si>
  <si>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</si>
  <si>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</si>
  <si>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</si>
  <si>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</si>
  <si>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</si>
  <si>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</si>
  <si>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</si>
  <si>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</si>
  <si>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</si>
  <si>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</si>
  <si>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</si>
  <si>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</si>
  <si>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</si>
  <si>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</si>
  <si>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</si>
  <si>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</si>
  <si>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</si>
  <si>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</si>
  <si>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</si>
  <si>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</si>
  <si>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</si>
  <si>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</si>
  <si>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</si>
  <si>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</si>
  <si>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</si>
  <si>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</si>
  <si>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</si>
  <si>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</si>
  <si>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</si>
  <si>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</si>
  <si>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</si>
  <si>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</si>
  <si>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</si>
  <si>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</si>
  <si>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</si>
  <si>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</si>
  <si>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</si>
  <si>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</si>
  <si>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</si>
  <si>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</si>
  <si>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</si>
  <si>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</si>
  <si>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</si>
  <si>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</si>
  <si>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</si>
  <si>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</si>
  <si>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</si>
  <si>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</si>
  <si>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</si>
  <si>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</si>
  <si>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</si>
  <si>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</si>
  <si>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</si>
  <si>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</si>
  <si>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</si>
  <si>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</si>
  <si>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</si>
  <si>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</si>
  <si>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</si>
  <si>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</si>
  <si>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</si>
  <si>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</si>
  <si>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</si>
  <si>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</si>
  <si>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</si>
  <si>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</si>
  <si>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</si>
  <si>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</si>
  <si>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</si>
  <si>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</si>
  <si>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</si>
  <si>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</si>
  <si>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</si>
  <si>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</si>
  <si>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</si>
  <si>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</si>
  <si>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</si>
  <si>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</si>
  <si>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</si>
  <si>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</si>
  <si>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</si>
  <si>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</si>
  <si>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</si>
  <si>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</si>
  <si>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</si>
  <si>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</si>
  <si>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</si>
  <si>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</si>
  <si>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</si>
  <si>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</si>
  <si>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</si>
  <si>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</si>
  <si>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</si>
  <si>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</si>
  <si>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</si>
  <si>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</si>
  <si>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</si>
  <si>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</si>
  <si>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</si>
  <si>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</si>
  <si>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</si>
  <si>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</si>
  <si>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</si>
  <si>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</si>
  <si>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</si>
  <si>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</si>
  <si>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</si>
  <si>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</si>
  <si>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</si>
  <si>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</si>
  <si>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</si>
  <si>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</si>
  <si>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</si>
  <si>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</si>
  <si>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</si>
  <si>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</si>
  <si>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</si>
  <si>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</si>
  <si>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</si>
  <si>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</si>
  <si>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</si>
  <si>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</si>
  <si>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</si>
  <si>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</si>
  <si>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</si>
  <si>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</si>
  <si>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</si>
  <si>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</si>
  <si>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</si>
  <si>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</si>
  <si>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</si>
  <si>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</si>
  <si>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</si>
  <si>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</si>
  <si>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</si>
  <si>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</si>
  <si>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</si>
  <si>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</si>
  <si>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</si>
  <si>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</si>
  <si>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</si>
  <si>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</si>
  <si>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</si>
  <si>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</si>
  <si>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</si>
  <si>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</si>
  <si>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</si>
  <si>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</si>
  <si>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</si>
  <si>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</si>
  <si>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</si>
  <si>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</si>
  <si>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</si>
  <si>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</si>
  <si>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</si>
  <si>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</si>
  <si>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</si>
  <si>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</si>
  <si>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</si>
  <si>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</si>
  <si>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</si>
  <si>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</si>
  <si>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</si>
  <si>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</si>
  <si>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</si>
  <si>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</si>
  <si>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</si>
  <si>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</si>
  <si>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</si>
  <si>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</si>
  <si>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</si>
  <si>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</si>
  <si>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</si>
  <si>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</si>
  <si>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</si>
  <si>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</si>
  <si>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</si>
  <si>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</si>
  <si>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</si>
  <si>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</si>
  <si>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</si>
  <si>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</si>
  <si>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</si>
  <si>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</si>
  <si>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</si>
  <si>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</si>
  <si>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</si>
  <si>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</si>
  <si>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</si>
  <si>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</si>
  <si>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</si>
  <si>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</si>
  <si>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</si>
  <si>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</si>
  <si>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</si>
  <si>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</si>
  <si>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</si>
  <si>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</si>
  <si>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</si>
  <si>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</si>
  <si>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</si>
  <si>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</si>
  <si>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</si>
  <si>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</si>
  <si>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</si>
  <si>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</si>
  <si>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</si>
  <si>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</si>
  <si>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</si>
  <si>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</si>
  <si>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</si>
  <si>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</si>
  <si>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</si>
  <si>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</si>
  <si>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</si>
  <si>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</si>
  <si>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</si>
  <si>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</si>
  <si>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</si>
  <si>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</si>
  <si>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</si>
  <si>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</si>
  <si>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</si>
  <si>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</si>
  <si>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</si>
  <si>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</si>
  <si>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</si>
  <si>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</si>
  <si>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</si>
  <si>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</si>
  <si>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</si>
  <si>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</si>
  <si>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</si>
  <si>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</si>
  <si>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</si>
  <si>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</si>
  <si>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</si>
  <si>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</si>
  <si>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</si>
  <si>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</si>
  <si>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</si>
  <si>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</si>
  <si>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</si>
  <si>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</si>
  <si>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</si>
  <si>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</si>
  <si>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</si>
  <si>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</si>
  <si>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</si>
  <si>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</si>
  <si>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</si>
  <si>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</si>
  <si>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</si>
  <si>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</si>
  <si>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</si>
  <si>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</si>
  <si>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</si>
  <si>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</si>
  <si>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</si>
  <si>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</si>
  <si>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</si>
  <si>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</si>
  <si>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</si>
  <si>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</si>
  <si>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</si>
  <si>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</si>
  <si>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</si>
  <si>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</si>
  <si>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</si>
  <si>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</si>
  <si>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</si>
  <si>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</si>
  <si>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</si>
  <si>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</si>
  <si>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</si>
  <si>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</si>
  <si>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</si>
  <si>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</si>
  <si>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</si>
  <si>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</si>
  <si>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</si>
  <si>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</si>
  <si>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</si>
  <si>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</si>
  <si>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</si>
  <si>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</si>
  <si>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</si>
  <si>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</si>
  <si>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</si>
  <si>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</si>
  <si>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</si>
  <si>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</si>
  <si>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</si>
  <si>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</si>
  <si>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</si>
  <si>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</si>
  <si>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</si>
  <si>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</si>
  <si>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</si>
  <si>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</si>
  <si>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</si>
  <si>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</si>
  <si>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</si>
  <si>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</si>
  <si>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</si>
  <si>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</si>
  <si>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</si>
  <si>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</si>
  <si>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</si>
  <si>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</si>
  <si>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</si>
  <si>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</si>
  <si>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</si>
  <si>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</si>
  <si>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</si>
  <si>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</si>
  <si>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</si>
  <si>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</si>
  <si>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</si>
  <si>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</si>
  <si>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</si>
  <si>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</si>
  <si>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</si>
  <si>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</si>
  <si>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</si>
  <si>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</si>
  <si>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</si>
  <si>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</si>
  <si>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</si>
  <si>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</si>
  <si>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</si>
  <si>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</si>
  <si>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</si>
  <si>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</si>
  <si>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</si>
  <si>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</si>
  <si>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</si>
  <si>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</si>
  <si>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</si>
  <si>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</si>
  <si>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</si>
  <si>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</si>
  <si>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</si>
  <si>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</si>
  <si>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</si>
  <si>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</si>
  <si>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</si>
  <si>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</si>
  <si>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</si>
  <si>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</si>
  <si>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</si>
  <si>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</si>
  <si>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</si>
  <si>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</si>
  <si>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</si>
  <si>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</si>
  <si>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</si>
  <si>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</si>
  <si>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</si>
  <si>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</si>
  <si>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</si>
  <si>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</si>
  <si>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</si>
  <si>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</si>
  <si>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</si>
  <si>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</si>
  <si>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</si>
  <si>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</si>
  <si>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</si>
  <si>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</si>
  <si>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</si>
  <si>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</si>
  <si>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</si>
  <si>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</si>
  <si>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</si>
  <si>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</si>
  <si>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</si>
  <si>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</si>
  <si>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</si>
  <si>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</si>
  <si>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</si>
  <si>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</si>
  <si>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</si>
  <si>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</si>
  <si>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</si>
  <si>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</si>
  <si>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</si>
  <si>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</si>
  <si>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</si>
  <si>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</si>
  <si>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</si>
  <si>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</si>
  <si>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</si>
  <si>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</si>
  <si>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</si>
  <si>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</si>
  <si>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</si>
  <si>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</si>
  <si>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</si>
  <si>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</si>
  <si>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</si>
  <si>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</si>
  <si>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</si>
  <si>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</si>
  <si>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</si>
  <si>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</si>
  <si>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</si>
  <si>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</si>
  <si>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</si>
  <si>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</si>
  <si>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</si>
  <si>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</si>
  <si>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</si>
  <si>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</si>
  <si>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</si>
  <si>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</si>
  <si>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</si>
  <si>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</si>
  <si>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</si>
  <si>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</si>
  <si>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</si>
  <si>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</si>
  <si>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</si>
  <si>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</si>
  <si>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</si>
  <si>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</si>
  <si>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</si>
  <si>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</si>
  <si>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</si>
  <si>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</si>
  <si>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</si>
  <si>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</si>
  <si>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</si>
  <si>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</si>
  <si>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</si>
  <si>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</si>
  <si>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</si>
  <si>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</si>
  <si>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</si>
  <si>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</si>
  <si>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</si>
  <si>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</si>
  <si>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</si>
  <si>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</si>
  <si>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</si>
  <si>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</si>
  <si>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</si>
  <si>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</si>
  <si>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</si>
  <si>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</si>
  <si>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</si>
  <si>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</si>
  <si>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</si>
  <si>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</si>
  <si>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</si>
  <si>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</si>
  <si>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</si>
  <si>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</si>
  <si>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</si>
  <si>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</si>
  <si>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</si>
  <si>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</si>
  <si>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</si>
  <si>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</si>
  <si>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</si>
  <si>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</si>
  <si>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</si>
  <si>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</si>
  <si>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</si>
  <si>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</si>
  <si>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</si>
  <si>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</si>
  <si>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</si>
  <si>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</si>
  <si>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</si>
  <si>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</si>
  <si>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</si>
  <si>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</si>
  <si>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</si>
  <si>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</si>
  <si>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</si>
  <si>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</si>
  <si>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</si>
  <si>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</si>
  <si>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</si>
  <si>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</si>
  <si>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</si>
  <si>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</si>
  <si>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</si>
  <si>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</si>
  <si>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</si>
  <si>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</si>
  <si>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</si>
  <si>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</si>
  <si>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</si>
  <si>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</si>
  <si>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</si>
  <si>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</si>
  <si>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</si>
  <si>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</si>
  <si>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</si>
  <si>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</si>
  <si>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</si>
  <si>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</si>
  <si>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</si>
  <si>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</si>
  <si>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</si>
  <si>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</si>
  <si>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</si>
  <si>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</si>
  <si>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</si>
  <si>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</si>
  <si>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</si>
  <si>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</si>
  <si>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</si>
  <si>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</si>
  <si>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</si>
  <si>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</si>
  <si>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</si>
  <si>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</si>
  <si>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</si>
  <si>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</si>
  <si>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</si>
  <si>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</si>
  <si>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</si>
  <si>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</si>
  <si>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</si>
  <si>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</si>
  <si>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</si>
  <si>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</si>
  <si>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</si>
  <si>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</si>
  <si>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</si>
  <si>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</si>
  <si>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</si>
  <si>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</si>
  <si>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</si>
  <si>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</si>
  <si>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</si>
  <si>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</si>
  <si>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</si>
  <si>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</si>
  <si>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</si>
  <si>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</si>
  <si>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</si>
  <si>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</si>
  <si>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</si>
  <si>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</si>
  <si>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</si>
  <si>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</si>
  <si>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</si>
  <si>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</si>
  <si>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</si>
  <si>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</si>
  <si>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</si>
  <si>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</si>
  <si>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</si>
  <si>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</si>
  <si>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</si>
  <si>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</si>
  <si>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</si>
  <si>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</si>
  <si>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</si>
  <si>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</si>
  <si>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</si>
  <si>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</si>
  <si>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</si>
  <si>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</si>
  <si>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</si>
  <si>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</si>
  <si>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</si>
  <si>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</si>
  <si>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</si>
  <si>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</si>
  <si>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</si>
  <si>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</si>
  <si>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</si>
  <si>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</si>
  <si>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</si>
  <si>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</si>
  <si>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</si>
  <si>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</si>
  <si>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</si>
  <si>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</si>
  <si>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</si>
  <si>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</si>
  <si>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</si>
  <si>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</si>
  <si>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</si>
  <si>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</si>
  <si>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</si>
  <si>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</si>
  <si>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</si>
  <si>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</si>
  <si>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</si>
  <si>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</si>
  <si>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</si>
  <si>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</si>
  <si>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</si>
  <si>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</si>
  <si>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</si>
  <si>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</si>
  <si>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</si>
  <si>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</si>
  <si>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</si>
  <si>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</si>
  <si>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</si>
  <si>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</si>
  <si>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</si>
  <si>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</si>
  <si>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</si>
  <si>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</si>
  <si>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</si>
  <si>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</si>
  <si>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</si>
  <si>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</si>
  <si>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</si>
  <si>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</si>
  <si>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</si>
  <si>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</si>
  <si>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</si>
  <si>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</si>
  <si>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</si>
  <si>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</si>
  <si>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</si>
  <si>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</si>
  <si>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</si>
  <si>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</si>
  <si>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</si>
  <si>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</si>
  <si>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</si>
  <si>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</si>
  <si>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</si>
  <si>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</si>
  <si>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</si>
  <si>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</si>
  <si>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</si>
  <si>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</si>
  <si>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</si>
  <si>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</si>
  <si>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</si>
  <si>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</si>
  <si>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</si>
  <si>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</si>
  <si>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</si>
  <si>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</si>
  <si>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</si>
  <si>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</si>
  <si>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</si>
  <si>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</si>
  <si>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</si>
  <si>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</si>
  <si>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</si>
  <si>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</si>
  <si>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</si>
  <si>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</si>
  <si>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</si>
  <si>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</si>
  <si>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</si>
  <si>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</si>
  <si>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</si>
  <si>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</si>
  <si>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</si>
  <si>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</si>
  <si>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</si>
  <si>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</si>
  <si>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</si>
  <si>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</si>
  <si>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</si>
  <si>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</si>
  <si>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</si>
  <si>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</si>
  <si>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</si>
  <si>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</si>
  <si>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</si>
  <si>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</si>
  <si>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</si>
  <si>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</si>
  <si>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</si>
  <si>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</si>
  <si>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</si>
  <si>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</si>
  <si>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</si>
  <si>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</si>
  <si>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</si>
  <si>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</si>
  <si>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</si>
  <si>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</si>
  <si>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</si>
  <si>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</si>
  <si>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</si>
  <si>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</si>
  <si>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</si>
  <si>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</si>
  <si>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</si>
  <si>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</si>
  <si>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</si>
  <si>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</si>
  <si>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</si>
  <si>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</si>
  <si>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</si>
  <si>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</si>
  <si>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</si>
  <si>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</si>
  <si>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</si>
  <si>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</si>
  <si>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</si>
  <si>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</si>
  <si>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</si>
  <si>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</si>
  <si>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</si>
  <si>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</si>
  <si>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</si>
  <si>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</si>
  <si>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</si>
  <si>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</si>
  <si>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</si>
  <si>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</si>
  <si>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</si>
  <si>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</si>
  <si>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</si>
  <si>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</si>
  <si>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</si>
  <si>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</si>
  <si>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</si>
  <si>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</si>
  <si>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</si>
  <si>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</si>
  <si>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</si>
  <si>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</si>
  <si>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</si>
  <si>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</si>
  <si>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</si>
  <si>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</si>
  <si>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</si>
  <si>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</si>
  <si>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</si>
  <si>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</si>
  <si>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</si>
  <si>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</si>
  <si>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</si>
  <si>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</si>
  <si>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</si>
  <si>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</si>
  <si>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</si>
  <si>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</si>
  <si>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</si>
  <si>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</si>
  <si>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</si>
  <si>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</si>
  <si>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</si>
  <si>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</si>
  <si>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</si>
  <si>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</si>
  <si>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</si>
  <si>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</si>
  <si>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</si>
  <si>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</si>
  <si>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</si>
  <si>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</si>
  <si>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</si>
  <si>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</si>
  <si>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</si>
  <si>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</si>
  <si>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</si>
  <si>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</si>
  <si>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</si>
  <si>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</si>
  <si>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</si>
  <si>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</si>
  <si>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</si>
  <si>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</si>
  <si>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</si>
  <si>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</si>
  <si>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</si>
  <si>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</si>
  <si>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</si>
  <si>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</si>
  <si>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</si>
  <si>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</si>
  <si>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</si>
  <si>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</si>
  <si>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</si>
  <si>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</si>
  <si>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</si>
  <si>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</si>
  <si>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</si>
  <si>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</si>
  <si>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</si>
  <si>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</si>
  <si>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</si>
  <si>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</si>
  <si>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</si>
  <si>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</si>
  <si>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</si>
  <si>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</si>
  <si>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</si>
  <si>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</si>
  <si>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</si>
  <si>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</si>
  <si>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</si>
  <si>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</si>
  <si>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</si>
  <si>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</si>
  <si>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</si>
  <si>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</si>
  <si>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</si>
  <si>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</si>
  <si>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</si>
  <si>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</si>
  <si>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</si>
  <si>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</si>
  <si>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</si>
  <si>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</si>
  <si>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</si>
  <si>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</si>
  <si>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</si>
  <si>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</si>
  <si>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</si>
  <si>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</si>
  <si>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</si>
  <si>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</si>
  <si>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</si>
  <si>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</si>
  <si>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</si>
  <si>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</si>
  <si>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</si>
  <si>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</si>
  <si>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</si>
  <si>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</si>
  <si>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</si>
  <si>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</si>
  <si>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</si>
  <si>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</si>
  <si>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</si>
  <si>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</si>
  <si>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</si>
  <si>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</si>
  <si>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</si>
  <si>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</si>
  <si>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</si>
  <si>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</si>
  <si>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</si>
  <si>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</si>
  <si>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</si>
  <si>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</si>
  <si>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</si>
  <si>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</si>
  <si>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</si>
  <si>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</si>
  <si>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</si>
  <si>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</si>
  <si>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</si>
  <si>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</si>
  <si>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</si>
  <si>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</si>
  <si>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</si>
  <si>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</si>
  <si>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</si>
  <si>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</si>
  <si>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</si>
  <si>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</si>
  <si>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</si>
  <si>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</si>
  <si>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</si>
  <si>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</si>
  <si>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</si>
  <si>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</si>
  <si>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</si>
  <si>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</si>
  <si>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</si>
  <si>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</si>
  <si>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</si>
  <si>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</si>
  <si>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</si>
  <si>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</si>
  <si>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</si>
  <si>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</si>
  <si>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</si>
  <si>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</si>
  <si>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</si>
  <si>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</si>
  <si>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</si>
  <si>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</si>
  <si>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</si>
  <si>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</si>
  <si>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</si>
  <si>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</si>
  <si>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</si>
  <si>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</si>
  <si>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</si>
  <si>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</si>
  <si>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</si>
  <si>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</si>
  <si>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</si>
  <si>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</si>
  <si>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</si>
  <si>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</si>
  <si>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</si>
  <si>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</si>
  <si>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</si>
  <si>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</si>
  <si>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</si>
  <si>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</si>
  <si>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</si>
  <si>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</si>
  <si>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</si>
  <si>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</si>
  <si>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</si>
  <si>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</si>
  <si>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</si>
  <si>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</si>
  <si>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</si>
  <si>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</si>
  <si>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</si>
  <si>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</si>
  <si>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</si>
  <si>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</si>
  <si>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</si>
  <si>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</si>
  <si>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</si>
  <si>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</si>
  <si>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</si>
  <si>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</si>
  <si>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</si>
  <si>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</si>
  <si>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</si>
  <si>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</si>
  <si>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</si>
  <si>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</si>
  <si>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</si>
  <si>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</si>
  <si>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</si>
  <si>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</si>
  <si>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</si>
  <si>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</si>
  <si>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</si>
  <si>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</si>
  <si>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</si>
  <si>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</si>
  <si>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</si>
  <si>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</si>
  <si>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</si>
  <si>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</si>
  <si>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</si>
  <si>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</si>
  <si>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</si>
  <si>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</si>
  <si>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</si>
  <si>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</si>
  <si>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</si>
  <si>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</si>
  <si>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</si>
  <si>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</si>
  <si>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</si>
  <si>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</si>
  <si>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</si>
  <si>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</si>
  <si>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</si>
  <si>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</si>
  <si>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</si>
  <si>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</si>
  <si>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</si>
  <si>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</si>
  <si>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</si>
  <si>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</si>
  <si>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</si>
  <si>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</si>
  <si>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</si>
  <si>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</si>
  <si>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</si>
  <si>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</si>
  <si>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</si>
  <si>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</si>
  <si>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</si>
  <si>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</si>
  <si>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</si>
  <si>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</si>
  <si>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</si>
  <si>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</si>
  <si>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</si>
  <si>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</si>
  <si>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</si>
  <si>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</si>
  <si>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</si>
  <si>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</si>
  <si>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</si>
  <si>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</si>
  <si>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</si>
  <si>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</si>
  <si>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</si>
  <si>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</si>
  <si>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</si>
  <si>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</si>
  <si>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</si>
  <si>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</si>
  <si>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</si>
  <si>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</si>
  <si>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</si>
  <si>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</si>
  <si>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</si>
  <si>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</si>
  <si>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</si>
  <si>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</si>
  <si>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</si>
  <si>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</si>
  <si>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</si>
  <si>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</si>
  <si>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</si>
  <si>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</si>
  <si>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</si>
  <si>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</si>
  <si>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</si>
  <si>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</si>
  <si>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</si>
  <si>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</si>
  <si>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</si>
  <si>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</si>
  <si>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</si>
  <si>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</si>
  <si>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</si>
  <si>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</si>
  <si>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</si>
  <si>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</si>
  <si>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</si>
  <si>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</si>
  <si>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</si>
  <si>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</si>
  <si>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</si>
  <si>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</si>
  <si>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</si>
  <si>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</si>
  <si>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</si>
  <si>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</si>
  <si>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</si>
  <si>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</si>
  <si>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</si>
  <si>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</si>
  <si>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</si>
  <si>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</si>
  <si>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</si>
  <si>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</si>
  <si>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</si>
  <si>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</si>
  <si>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</si>
  <si>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</si>
  <si>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</si>
  <si>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</si>
  <si>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</si>
  <si>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</si>
  <si>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</si>
  <si>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</si>
  <si>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</si>
  <si>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</si>
  <si>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</si>
  <si>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</si>
  <si>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</si>
  <si>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</si>
  <si>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</si>
  <si>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</si>
  <si>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</si>
  <si>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</si>
  <si>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</si>
  <si>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</si>
  <si>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</si>
  <si>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</si>
  <si>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</si>
  <si>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</si>
  <si>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</si>
  <si>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</si>
  <si>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</si>
  <si>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</si>
  <si>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</si>
  <si>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</si>
  <si>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</si>
  <si>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</si>
  <si>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</si>
  <si>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</si>
  <si>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</si>
  <si>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</si>
  <si>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</si>
  <si>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</si>
  <si>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</si>
  <si>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</si>
  <si>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</si>
  <si>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</si>
  <si>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</si>
  <si>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</si>
  <si>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</si>
  <si>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</si>
  <si>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</si>
  <si>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</si>
  <si>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</si>
  <si>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</si>
  <si>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</si>
  <si>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</si>
  <si>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</si>
  <si>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</si>
  <si>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</si>
  <si>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</si>
  <si>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</si>
  <si>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</si>
  <si>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</si>
  <si>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</si>
  <si>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</si>
  <si>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</si>
  <si>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</si>
  <si>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</si>
  <si>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</si>
  <si>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</si>
  <si>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</si>
  <si>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</si>
  <si>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</si>
  <si>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</si>
  <si>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</si>
  <si>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</si>
  <si>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</si>
  <si>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</si>
  <si>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</si>
  <si>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</si>
  <si>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</si>
  <si>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</si>
  <si>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</si>
  <si>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</si>
  <si>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</si>
  <si>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</si>
  <si>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</si>
  <si>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</si>
  <si>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</si>
  <si>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</si>
  <si>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</si>
  <si>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</si>
  <si>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</si>
  <si>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</si>
  <si>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</si>
  <si>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</si>
  <si>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</si>
  <si>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</si>
  <si>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</si>
  <si>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</si>
  <si>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</si>
  <si>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</si>
  <si>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</si>
  <si>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</si>
  <si>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</si>
  <si>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</si>
  <si>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</si>
  <si>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</si>
  <si>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</si>
  <si>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</si>
  <si>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</si>
  <si>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</si>
  <si>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</si>
  <si>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</si>
  <si>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</si>
  <si>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</si>
  <si>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</si>
  <si>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</si>
  <si>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</si>
  <si>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</si>
  <si>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</si>
  <si>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</si>
  <si>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</si>
  <si>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</si>
  <si>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</si>
  <si>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</si>
  <si>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</si>
  <si>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</si>
  <si>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</si>
  <si>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</si>
  <si>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</si>
  <si>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</si>
  <si>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</si>
  <si>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</si>
  <si>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</si>
  <si>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</si>
  <si>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</si>
  <si>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</si>
  <si>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</si>
  <si>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</si>
  <si>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</si>
  <si>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</si>
  <si>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</si>
  <si>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</si>
  <si>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</si>
  <si>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</si>
  <si>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</si>
  <si>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</si>
  <si>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</si>
  <si>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</si>
  <si>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</si>
  <si>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</si>
  <si>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</si>
  <si>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</si>
  <si>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</si>
  <si>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</si>
  <si>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</si>
  <si>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</si>
  <si>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</si>
  <si>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</si>
  <si>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</si>
  <si>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</si>
  <si>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</si>
  <si>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</si>
  <si>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</si>
  <si>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</si>
  <si>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</si>
  <si>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</si>
  <si>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</si>
  <si>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</si>
  <si>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</si>
  <si>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</si>
  <si>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</si>
  <si>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</si>
  <si>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</si>
  <si>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</si>
  <si>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</si>
  <si>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</si>
  <si>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</si>
  <si>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</si>
  <si>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</si>
  <si>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</si>
  <si>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</si>
  <si>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</si>
  <si>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</si>
  <si>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</si>
  <si>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</si>
  <si>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</si>
  <si>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</si>
  <si>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</si>
  <si>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</si>
  <si>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</si>
  <si>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</si>
  <si>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</si>
  <si>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</si>
  <si>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</si>
  <si>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</si>
  <si>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</si>
  <si>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</si>
  <si>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</si>
  <si>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</si>
  <si>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</si>
  <si>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</si>
  <si>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</si>
  <si>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</si>
  <si>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</si>
  <si>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</si>
  <si>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</si>
  <si>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</si>
  <si>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</si>
  <si>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</si>
  <si>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</si>
  <si>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</si>
  <si>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</si>
  <si>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</si>
  <si>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</si>
  <si>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</si>
  <si>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</si>
  <si>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</si>
  <si>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</si>
  <si>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</si>
  <si>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</si>
  <si>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</si>
  <si>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</si>
  <si>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</si>
  <si>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</si>
  <si>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</si>
  <si>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</si>
  <si>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</si>
  <si>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</si>
  <si>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</si>
  <si>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</si>
  <si>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</si>
  <si>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</si>
  <si>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</si>
  <si>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</si>
  <si>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</si>
  <si>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</si>
  <si>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</si>
  <si>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</si>
  <si>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</si>
  <si>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</si>
  <si>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</si>
  <si>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</si>
  <si>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</si>
  <si>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</si>
  <si>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</si>
  <si>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</si>
  <si>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</si>
  <si>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</si>
  <si>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</si>
  <si>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</si>
  <si>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</si>
  <si>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</si>
  <si>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</si>
  <si>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</si>
  <si>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</si>
  <si>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</si>
  <si>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</si>
  <si>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</si>
  <si>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</si>
  <si>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</si>
  <si>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</si>
  <si>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</si>
  <si>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</si>
  <si>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</si>
  <si>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</si>
  <si>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</si>
  <si>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</si>
  <si>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</si>
  <si>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</si>
  <si>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</si>
  <si>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</si>
  <si>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</si>
  <si>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</si>
  <si>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</si>
  <si>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</si>
  <si>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</si>
  <si>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</si>
  <si>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</si>
  <si>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</si>
  <si>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</si>
  <si>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</si>
  <si>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</si>
  <si>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</si>
  <si>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</si>
  <si>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</si>
  <si>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</si>
  <si>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</si>
  <si>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</si>
  <si>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</si>
  <si>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</si>
  <si>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</si>
  <si>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</si>
  <si>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</si>
  <si>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</si>
  <si>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</si>
  <si>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</si>
  <si>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</si>
  <si>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</si>
  <si>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</si>
  <si>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</si>
  <si>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</si>
  <si>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</si>
  <si>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</si>
  <si>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</si>
  <si>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</si>
  <si>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</si>
  <si>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</si>
  <si>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</si>
  <si>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</si>
  <si>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</si>
  <si>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</si>
  <si>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</si>
  <si>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</si>
  <si>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</si>
  <si>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</si>
  <si>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</si>
  <si>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</si>
  <si>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</si>
  <si>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</si>
  <si>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</si>
  <si>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</si>
  <si>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</si>
  <si>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</si>
  <si>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</si>
  <si>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</si>
  <si>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</si>
  <si>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</si>
  <si>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</si>
  <si>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</si>
  <si>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</si>
  <si>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</si>
  <si>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</si>
  <si>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</si>
  <si>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</si>
  <si>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</si>
  <si>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</si>
  <si>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</si>
  <si>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</si>
  <si>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</si>
  <si>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</si>
  <si>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</si>
  <si>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</si>
  <si>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</si>
  <si>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</si>
  <si>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</si>
  <si>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</si>
  <si>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</si>
  <si>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</si>
  <si>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</si>
  <si>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</si>
  <si>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</si>
  <si>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</si>
  <si>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</si>
  <si>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</si>
  <si>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</si>
  <si>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</si>
  <si>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</si>
  <si>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</si>
  <si>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</si>
  <si>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</si>
  <si>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</si>
  <si>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</si>
  <si>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</si>
  <si>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</si>
  <si>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</si>
  <si>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</si>
  <si>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</si>
  <si>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</si>
  <si>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</si>
  <si>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</si>
  <si>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</si>
  <si>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</si>
  <si>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</si>
  <si>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</si>
  <si>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</si>
  <si>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</si>
  <si>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</si>
  <si>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</si>
  <si>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</si>
  <si>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</si>
  <si>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</si>
  <si>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</si>
  <si>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</si>
  <si>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</si>
  <si>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</si>
  <si>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</si>
  <si>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</si>
  <si>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</si>
  <si>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</si>
  <si>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</si>
  <si>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</si>
  <si>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</si>
  <si>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</si>
  <si>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</si>
  <si>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</si>
  <si>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</si>
  <si>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</si>
  <si>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</si>
  <si>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</si>
  <si>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</si>
  <si>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</si>
  <si>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</si>
  <si>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</si>
  <si>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</si>
  <si>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</si>
  <si>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</si>
  <si>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</si>
  <si>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</si>
  <si>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</si>
  <si>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</si>
  <si>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</si>
  <si>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</si>
  <si>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</si>
  <si>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</si>
  <si>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</si>
  <si>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</si>
  <si>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</si>
  <si>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</si>
  <si>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</si>
  <si>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</si>
  <si>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</si>
  <si>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</si>
  <si>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</si>
  <si>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</si>
  <si>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</si>
  <si>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</si>
  <si>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</si>
  <si>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</si>
  <si>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</si>
  <si>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</si>
  <si>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</si>
  <si>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</si>
  <si>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</si>
  <si>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</si>
  <si>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</si>
  <si>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</si>
  <si>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</si>
  <si>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</si>
  <si>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</si>
  <si>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</si>
  <si>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</si>
  <si>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</si>
  <si>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</si>
  <si>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</si>
  <si>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</si>
  <si>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</si>
  <si>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</si>
  <si>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</si>
  <si>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</si>
  <si>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</si>
  <si>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</si>
  <si>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</si>
  <si>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</si>
  <si>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</si>
  <si>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</si>
  <si>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</si>
  <si>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</si>
  <si>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</si>
  <si>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</si>
  <si>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</si>
  <si>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</si>
  <si>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</si>
  <si>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</si>
  <si>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</si>
  <si>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</si>
  <si>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</si>
  <si>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</si>
  <si>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</si>
  <si>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</si>
  <si>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</si>
  <si>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</si>
  <si>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</si>
  <si>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</si>
  <si>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</si>
  <si>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</si>
  <si>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</si>
  <si>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</si>
  <si>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</si>
  <si>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</si>
  <si>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</si>
  <si>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</si>
  <si>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</si>
  <si>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</si>
  <si>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</si>
  <si>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</si>
  <si>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</si>
  <si>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</si>
  <si>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</si>
  <si>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</si>
  <si>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</si>
  <si>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</si>
  <si>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</si>
  <si>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</si>
  <si>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</si>
  <si>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</si>
  <si>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</si>
  <si>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</si>
  <si>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</si>
  <si>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</si>
  <si>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</si>
  <si>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</si>
  <si>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</si>
  <si>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</si>
  <si>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</si>
  <si>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</si>
  <si>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</si>
  <si>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</si>
  <si>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</si>
  <si>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</si>
  <si>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</si>
  <si>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</si>
  <si>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</si>
  <si>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</si>
  <si>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</si>
  <si>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</si>
  <si>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</si>
  <si>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</si>
  <si>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</si>
  <si>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</si>
  <si>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</si>
  <si>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</si>
  <si>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</si>
  <si>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</si>
  <si>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</si>
  <si>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</si>
  <si>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</si>
  <si>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</si>
  <si>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</si>
  <si>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</si>
  <si>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</si>
  <si>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</si>
  <si>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</si>
  <si>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</si>
  <si>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</si>
  <si>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</si>
  <si>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</si>
  <si>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</si>
  <si>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</si>
  <si>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</si>
  <si>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</si>
  <si>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</si>
  <si>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</si>
  <si>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</si>
  <si>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</si>
  <si>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</si>
  <si>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</si>
  <si>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</si>
  <si>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</si>
  <si>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</si>
  <si>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</si>
  <si>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</si>
  <si>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</si>
  <si>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</si>
  <si>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</si>
  <si>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</si>
  <si>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</si>
  <si>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</si>
  <si>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</si>
  <si>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</si>
  <si>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</si>
  <si>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</si>
  <si>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</si>
  <si>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</si>
  <si>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</si>
  <si>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</si>
  <si>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</si>
  <si>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</si>
  <si>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</si>
  <si>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</si>
  <si>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</si>
  <si>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</si>
  <si>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</si>
  <si>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</si>
  <si>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</si>
  <si>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</si>
  <si>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</si>
  <si>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</si>
  <si>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</si>
  <si>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</si>
  <si>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</si>
  <si>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</si>
  <si>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</si>
  <si>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</si>
  <si>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</si>
  <si>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</si>
  <si>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</si>
  <si>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</si>
  <si>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</si>
  <si>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</si>
  <si>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</si>
  <si>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</si>
  <si>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</si>
  <si>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</si>
  <si>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</si>
  <si>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</si>
  <si>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</si>
  <si>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</si>
  <si>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</si>
  <si>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</si>
  <si>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</si>
  <si>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</si>
  <si>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</si>
  <si>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</si>
  <si>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</si>
  <si>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</si>
  <si>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</si>
  <si>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</si>
  <si>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</si>
  <si>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</si>
  <si>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</si>
  <si>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</si>
  <si>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</si>
  <si>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</si>
  <si>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</si>
  <si>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</si>
  <si>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</si>
  <si>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</si>
  <si>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</si>
  <si>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</si>
  <si>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</si>
  <si>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</si>
  <si>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</si>
  <si>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</si>
  <si>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</si>
  <si>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</si>
  <si>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</si>
  <si>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</si>
  <si>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</si>
  <si>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</si>
  <si>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</si>
  <si>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</si>
  <si>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</si>
  <si>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</si>
  <si>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</si>
  <si>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</si>
  <si>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</si>
  <si>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</si>
  <si>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</si>
  <si>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</si>
  <si>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</si>
  <si>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</si>
  <si>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</si>
  <si>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</si>
  <si>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</si>
  <si>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</si>
  <si>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</si>
  <si>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</si>
  <si>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</si>
  <si>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</si>
  <si>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</si>
  <si>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</si>
  <si>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</si>
  <si>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</si>
  <si>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</si>
  <si>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</si>
  <si>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</si>
  <si>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</si>
  <si>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</si>
  <si>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</si>
  <si>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</si>
  <si>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</si>
  <si>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</si>
  <si>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</si>
  <si>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</si>
  <si>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</si>
  <si>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</si>
  <si>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</si>
  <si>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</si>
  <si>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</si>
  <si>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</si>
  <si>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</si>
  <si>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</si>
  <si>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</si>
  <si>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</si>
  <si>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</si>
  <si>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</si>
  <si>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</si>
  <si>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</si>
  <si>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</si>
  <si>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</si>
  <si>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</si>
  <si>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</si>
  <si>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</si>
  <si>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</si>
  <si>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</si>
  <si>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</si>
  <si>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</si>
  <si>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</si>
  <si>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</si>
  <si>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</si>
  <si>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</si>
  <si>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</si>
  <si>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</si>
  <si>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</si>
  <si>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</si>
  <si>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</si>
  <si>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</si>
  <si>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</si>
  <si>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</si>
  <si>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</si>
  <si>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</si>
  <si>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</si>
  <si>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</si>
  <si>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</si>
  <si>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</si>
  <si>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</si>
  <si>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</si>
  <si>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</si>
  <si>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</si>
  <si>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</si>
  <si>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</si>
  <si>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</si>
  <si>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</si>
  <si>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</si>
  <si>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</si>
  <si>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</si>
  <si>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</si>
  <si>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</si>
  <si>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</si>
  <si>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</si>
  <si>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</si>
  <si>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</si>
  <si>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</si>
  <si>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</si>
  <si>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</si>
  <si>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</si>
  <si>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</si>
  <si>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</si>
  <si>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</si>
  <si>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</si>
  <si>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</si>
  <si>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</si>
  <si>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</si>
  <si>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</si>
  <si>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</si>
  <si>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</si>
  <si>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</si>
  <si>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</si>
  <si>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</si>
  <si>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</si>
  <si>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</si>
  <si>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</si>
  <si>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</si>
  <si>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</si>
  <si>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</si>
  <si>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</si>
  <si>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</si>
  <si>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</si>
  <si>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</si>
  <si>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</si>
  <si>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</si>
  <si>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</si>
  <si>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</si>
  <si>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</si>
  <si>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</si>
  <si>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</si>
  <si>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</si>
  <si>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</si>
  <si>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</si>
  <si>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</si>
  <si>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</si>
  <si>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</si>
  <si>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</si>
  <si>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</si>
  <si>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</si>
  <si>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</si>
  <si>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</si>
  <si>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</si>
  <si>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</si>
  <si>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</si>
  <si>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</si>
  <si>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</si>
  <si>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</si>
  <si>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</si>
  <si>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</si>
  <si>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</si>
  <si>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</si>
  <si>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</si>
  <si>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</si>
  <si>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</si>
  <si>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</si>
  <si>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</si>
  <si>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</si>
  <si>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</si>
  <si>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</si>
  <si>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</si>
  <si>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</si>
  <si>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</si>
  <si>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</si>
  <si>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</si>
  <si>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</si>
  <si>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</si>
  <si>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</si>
  <si>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</si>
  <si>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</si>
  <si>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</si>
  <si>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</si>
  <si>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</si>
  <si>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</si>
  <si>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</si>
  <si>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</si>
  <si>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</si>
  <si>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</si>
  <si>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</si>
  <si>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</si>
  <si>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</si>
  <si>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</si>
  <si>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</si>
  <si>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</si>
  <si>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</si>
  <si>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</si>
  <si>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</si>
  <si>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</si>
  <si>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</si>
  <si>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</si>
  <si>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</si>
  <si>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</si>
  <si>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</si>
  <si>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</si>
  <si>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</si>
  <si>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</si>
  <si>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</si>
  <si>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</si>
  <si>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</si>
  <si>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</si>
  <si>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</si>
  <si>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</si>
  <si>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</si>
  <si>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</si>
  <si>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</si>
  <si>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</si>
  <si>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</si>
  <si>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</si>
  <si>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</si>
  <si>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</si>
  <si>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</si>
  <si>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</si>
  <si>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</si>
  <si>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</si>
  <si>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</si>
  <si>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</si>
  <si>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</si>
  <si>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</si>
  <si>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</si>
  <si>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</si>
  <si>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</si>
  <si>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</si>
  <si>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</si>
  <si>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</si>
  <si>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</si>
  <si>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</si>
  <si>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</si>
  <si>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</si>
  <si>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</si>
  <si>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</si>
  <si>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</si>
  <si>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</si>
  <si>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</si>
  <si>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</si>
  <si>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</si>
  <si>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</si>
  <si>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</si>
  <si>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</si>
  <si>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</si>
  <si>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</si>
  <si>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</si>
  <si>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</si>
  <si>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</si>
  <si>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</si>
  <si>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</si>
  <si>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</si>
  <si>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</si>
  <si>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</si>
  <si>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</si>
  <si>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</si>
  <si>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</si>
  <si>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</si>
  <si>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</si>
  <si>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</si>
  <si>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</si>
  <si>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</si>
  <si>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</si>
  <si>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</si>
  <si>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</si>
  <si>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</si>
  <si>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</si>
  <si>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</si>
  <si>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</si>
  <si>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</si>
  <si>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</si>
  <si>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</si>
  <si>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</si>
  <si>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</si>
  <si>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</si>
  <si>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</si>
  <si>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</si>
  <si>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</si>
  <si>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</si>
  <si>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</si>
  <si>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</si>
  <si>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</si>
  <si>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</si>
  <si>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</si>
  <si>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</si>
  <si>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</si>
  <si>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</si>
  <si>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</si>
  <si>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</si>
  <si>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</si>
  <si>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</si>
  <si>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</si>
  <si>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</si>
  <si>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</si>
  <si>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</si>
  <si>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</si>
  <si>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</si>
  <si>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</si>
  <si>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</si>
  <si>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</si>
  <si>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</si>
  <si>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</si>
  <si>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</si>
  <si>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</si>
  <si>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</si>
  <si>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</si>
  <si>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</si>
  <si>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</si>
  <si>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</si>
  <si>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</si>
  <si>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</si>
  <si>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</si>
  <si>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</si>
  <si>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</si>
  <si>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</si>
  <si>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</si>
  <si>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</si>
  <si>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</si>
  <si>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</si>
  <si>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</si>
  <si>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</si>
  <si>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</si>
  <si>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</si>
  <si>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</si>
  <si>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</si>
  <si>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</si>
  <si>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</si>
  <si>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</si>
  <si>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</si>
  <si>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</si>
  <si>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</si>
  <si>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</si>
  <si>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</si>
  <si>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</si>
  <si>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</si>
  <si>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</si>
  <si>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</si>
  <si>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</si>
  <si>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</si>
  <si>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</si>
  <si>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</si>
  <si>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</si>
  <si>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</si>
  <si>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</si>
  <si>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</si>
  <si>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</si>
  <si>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</si>
  <si>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</si>
  <si>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</si>
  <si>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</si>
  <si>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</si>
  <si>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</si>
  <si>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</si>
  <si>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</si>
  <si>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</si>
  <si>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</si>
  <si>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</si>
  <si>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</si>
  <si>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</si>
  <si>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</si>
  <si>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</si>
  <si>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</si>
  <si>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</si>
  <si>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</si>
  <si>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</si>
  <si>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</si>
  <si>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</si>
  <si>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</si>
  <si>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</si>
  <si>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</si>
  <si>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</si>
  <si>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</si>
  <si>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</si>
  <si>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</si>
  <si>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</si>
  <si>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</si>
  <si>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</si>
  <si>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</si>
  <si>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</si>
  <si>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</si>
  <si>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</si>
  <si>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</si>
  <si>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</si>
  <si>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</si>
  <si>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</si>
  <si>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</si>
  <si>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</si>
  <si>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</si>
  <si>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</si>
  <si>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</si>
  <si>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</si>
  <si>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</si>
  <si>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</si>
  <si>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</si>
  <si>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</si>
  <si>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</si>
  <si>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</si>
  <si>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</si>
  <si>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</si>
  <si>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</si>
  <si>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</si>
  <si>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</si>
  <si>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</si>
  <si>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</si>
  <si>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</si>
  <si>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</si>
  <si>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</si>
  <si>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</si>
  <si>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</si>
  <si>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</si>
  <si>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</si>
  <si>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</si>
  <si>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</si>
  <si>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</si>
  <si>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</si>
  <si>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</si>
  <si>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</si>
  <si>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</si>
  <si>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</si>
  <si>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</si>
  <si>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</si>
  <si>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</si>
  <si>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</si>
  <si>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</si>
  <si>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</si>
  <si>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</si>
  <si>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</si>
  <si>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</si>
  <si>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</si>
  <si>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</si>
  <si>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</si>
  <si>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</si>
  <si>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</si>
  <si>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</si>
  <si>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</si>
  <si>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</si>
  <si>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</si>
  <si>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</si>
  <si>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</si>
  <si>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</si>
  <si>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</si>
  <si>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</si>
  <si>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</si>
  <si>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</si>
  <si>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</si>
  <si>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</si>
  <si>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</si>
  <si>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</si>
  <si>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</si>
  <si>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</si>
  <si>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</si>
  <si>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</si>
  <si>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</si>
  <si>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</si>
  <si>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</si>
  <si>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</si>
  <si>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</si>
  <si>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</si>
  <si>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</si>
  <si>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</si>
  <si>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</si>
  <si>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</si>
  <si>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</si>
  <si>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</si>
  <si>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</si>
  <si>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</si>
  <si>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</si>
  <si>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</si>
  <si>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</si>
  <si>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</si>
  <si>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</si>
  <si>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</si>
  <si>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</si>
  <si>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</si>
  <si>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</si>
  <si>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</si>
  <si>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</si>
  <si>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</si>
  <si>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</si>
  <si>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</si>
  <si>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</si>
  <si>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</si>
  <si>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</si>
  <si>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</si>
  <si>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</si>
  <si>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</si>
  <si>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</si>
  <si>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</si>
  <si>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</si>
  <si>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</si>
  <si>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</si>
  <si>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</si>
  <si>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</si>
  <si>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</si>
  <si>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</si>
  <si>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</si>
  <si>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</si>
  <si>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</si>
  <si>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</si>
  <si>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</si>
  <si>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</si>
  <si>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</si>
  <si>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</si>
  <si>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</si>
  <si>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</si>
  <si>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</si>
  <si>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</si>
  <si>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</si>
  <si>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</si>
  <si>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</si>
  <si>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</si>
  <si>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</si>
  <si>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</si>
  <si>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</si>
  <si>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</si>
  <si>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</si>
  <si>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</si>
  <si>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</si>
  <si>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</si>
  <si>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</si>
  <si>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</si>
  <si>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</si>
  <si>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</si>
  <si>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</si>
  <si>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</si>
  <si>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</si>
  <si>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</si>
  <si>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</si>
  <si>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</si>
  <si>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</si>
  <si>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</si>
  <si>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</si>
  <si>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</si>
  <si>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</si>
  <si>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</si>
  <si>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</si>
  <si>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</si>
  <si>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</si>
  <si>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</si>
  <si>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</si>
  <si>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</si>
  <si>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</si>
  <si>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</si>
  <si>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</si>
  <si>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</si>
  <si>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</si>
  <si>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</si>
  <si>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</si>
  <si>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</si>
  <si>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</si>
  <si>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</si>
  <si>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</si>
  <si>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</si>
  <si>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</si>
  <si>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</si>
  <si>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</si>
  <si>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</si>
  <si>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</si>
  <si>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</si>
  <si>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</si>
  <si>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</si>
  <si>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</si>
  <si>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</si>
  <si>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</si>
  <si>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</si>
  <si>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</si>
  <si>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</si>
  <si>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</si>
  <si>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</si>
  <si>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</si>
  <si>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</si>
  <si>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</si>
  <si>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</si>
  <si>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</si>
  <si>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</si>
  <si>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</si>
  <si>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</si>
  <si>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</si>
  <si>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</si>
  <si>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</si>
  <si>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</si>
  <si>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</si>
  <si>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</si>
  <si>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</si>
  <si>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</si>
  <si>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</si>
  <si>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</si>
  <si>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</si>
  <si>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</si>
  <si>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</si>
  <si>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</si>
  <si>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</si>
  <si>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</si>
  <si>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</si>
  <si>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</si>
  <si>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</si>
  <si>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</si>
  <si>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</si>
  <si>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</si>
  <si>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</si>
  <si>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</si>
  <si>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</si>
  <si>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</si>
  <si>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</si>
  <si>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</si>
  <si>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</si>
  <si>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</si>
  <si>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</si>
  <si>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</si>
  <si>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</si>
  <si>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</si>
  <si>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</si>
  <si>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</si>
  <si>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</si>
  <si>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</si>
  <si>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</si>
  <si>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</si>
  <si>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</si>
  <si>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</si>
  <si>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</si>
  <si>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</si>
  <si>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</si>
  <si>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</si>
  <si>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</si>
  <si>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</si>
  <si>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</si>
  <si>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</si>
  <si>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</si>
  <si>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</si>
  <si>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</si>
  <si>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</si>
  <si>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</si>
  <si>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</si>
  <si>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</si>
  <si>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</si>
  <si>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</si>
  <si>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</si>
  <si>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</si>
  <si>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</si>
  <si>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</si>
  <si>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</si>
  <si>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</si>
  <si>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</si>
  <si>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</si>
  <si>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</si>
  <si>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</si>
  <si>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</si>
  <si>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</si>
  <si>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</si>
  <si>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</si>
  <si>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</si>
  <si>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</si>
  <si>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</si>
  <si>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</si>
  <si>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</si>
  <si>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</si>
  <si>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</si>
  <si>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</si>
  <si>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</si>
  <si>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</si>
  <si>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</si>
  <si>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</si>
  <si>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</si>
  <si>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</si>
  <si>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</si>
  <si>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</si>
  <si>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</si>
  <si>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</si>
  <si>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</si>
  <si>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</si>
  <si>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</si>
  <si>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</si>
  <si>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</si>
  <si>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</si>
  <si>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</si>
  <si>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</si>
  <si>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</si>
  <si>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</si>
  <si>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</si>
  <si>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</si>
  <si>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</si>
  <si>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</si>
  <si>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</si>
  <si>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</si>
  <si>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</si>
  <si>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</si>
  <si>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</si>
  <si>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</si>
  <si>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</si>
  <si>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</si>
  <si>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</si>
  <si>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</si>
  <si>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</si>
  <si>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</si>
  <si>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</si>
  <si>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</si>
  <si>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</si>
  <si>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</si>
  <si>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</si>
  <si>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</si>
  <si>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</si>
  <si>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</si>
  <si>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</si>
  <si>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</si>
  <si>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</si>
  <si>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</si>
  <si>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</si>
  <si>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</si>
  <si>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</si>
  <si>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</si>
  <si>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</si>
  <si>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</si>
  <si>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</si>
  <si>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</si>
  <si>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</si>
  <si>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</si>
  <si>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</si>
  <si>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</si>
  <si>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</si>
  <si>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</si>
  <si>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</si>
  <si>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</si>
  <si>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</si>
  <si>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</si>
  <si>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</si>
  <si>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</si>
  <si>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</si>
  <si>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</si>
  <si>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</si>
  <si>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</si>
  <si>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</si>
  <si>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</si>
  <si>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</si>
  <si>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</si>
  <si>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</si>
  <si>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</si>
  <si>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</si>
  <si>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</si>
  <si>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</si>
  <si>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</si>
  <si>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</si>
  <si>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</si>
  <si>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</si>
  <si>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</si>
  <si>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</si>
  <si>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</si>
  <si>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</si>
  <si>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</si>
  <si>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</si>
  <si>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</si>
  <si>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</si>
  <si>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</si>
  <si>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</si>
  <si>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</si>
  <si>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</si>
  <si>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</si>
  <si>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</si>
  <si>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</si>
  <si>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</si>
  <si>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</si>
  <si>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</si>
  <si>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</si>
  <si>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</si>
  <si>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</si>
  <si>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</si>
  <si>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</si>
  <si>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</si>
  <si>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</si>
  <si>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</si>
  <si>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</si>
  <si>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</si>
  <si>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</si>
  <si>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</si>
  <si>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</si>
  <si>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</si>
  <si>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</si>
  <si>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</si>
  <si>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</si>
  <si>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</si>
  <si>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</si>
  <si>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</si>
  <si>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</si>
  <si>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</si>
  <si>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</si>
  <si>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</si>
  <si>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</si>
  <si>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</si>
  <si>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</si>
  <si>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</si>
  <si>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</si>
  <si>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</si>
  <si>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</si>
  <si>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</si>
  <si>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</si>
  <si>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</si>
  <si>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</si>
  <si>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</si>
  <si>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</si>
  <si>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</si>
  <si>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</si>
  <si>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</si>
  <si>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</si>
  <si>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</si>
  <si>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</si>
  <si>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</si>
  <si>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</si>
  <si>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</si>
  <si>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</si>
  <si>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</si>
  <si>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</si>
  <si>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</si>
  <si>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</si>
  <si>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</si>
  <si>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</si>
  <si>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</si>
  <si>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</si>
  <si>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</si>
  <si>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</si>
  <si>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</si>
  <si>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</si>
  <si>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</si>
  <si>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</si>
  <si>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</si>
  <si>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</si>
  <si>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</si>
  <si>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</si>
  <si>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</si>
  <si>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</si>
  <si>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</si>
  <si>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</si>
  <si>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</si>
  <si>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</si>
  <si>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</si>
  <si>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</si>
  <si>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</si>
  <si>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</si>
  <si>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</si>
  <si>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</si>
  <si>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</si>
  <si>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</si>
  <si>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</si>
  <si>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</si>
  <si>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</si>
  <si>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</si>
  <si>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</si>
  <si>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</si>
  <si>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</si>
  <si>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</si>
  <si>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</si>
  <si>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</si>
  <si>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</si>
  <si>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</si>
  <si>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</si>
  <si>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</si>
  <si>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</si>
  <si>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</si>
  <si>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</si>
  <si>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</si>
  <si>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</si>
  <si>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</si>
  <si>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</si>
  <si>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</si>
  <si>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</si>
  <si>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</si>
  <si>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</si>
  <si>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</si>
  <si>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</si>
  <si>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</si>
  <si>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</si>
  <si>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</si>
  <si>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</si>
  <si>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</si>
  <si>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</si>
  <si>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</si>
  <si>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</si>
  <si>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</si>
  <si>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</si>
  <si>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</si>
  <si>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</si>
  <si>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</si>
  <si>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</si>
  <si>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</si>
  <si>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</si>
  <si>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</si>
  <si>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</si>
  <si>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</si>
  <si>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</si>
  <si>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</si>
  <si>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</si>
  <si>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</si>
  <si>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</si>
  <si>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</si>
  <si>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</si>
  <si>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</si>
  <si>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</si>
  <si>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</si>
  <si>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</si>
  <si>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</si>
  <si>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</si>
  <si>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</si>
  <si>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</si>
  <si>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</si>
  <si>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</si>
  <si>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</si>
  <si>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</si>
  <si>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</si>
  <si>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</si>
  <si>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</si>
  <si>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</si>
  <si>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</si>
  <si>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</si>
  <si>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</si>
  <si>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</si>
  <si>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</si>
  <si>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</si>
  <si>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</si>
  <si>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</si>
  <si>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</si>
  <si>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</si>
  <si>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</si>
  <si>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</si>
  <si>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</si>
  <si>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</si>
  <si>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</si>
  <si>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</si>
  <si>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</si>
  <si>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</si>
  <si>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</si>
  <si>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</si>
  <si>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</si>
  <si>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</si>
  <si>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</si>
  <si>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</si>
  <si>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</si>
  <si>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</si>
  <si>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</si>
  <si>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</si>
  <si>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</si>
  <si>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</si>
  <si>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</si>
  <si>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</si>
  <si>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</si>
  <si>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</si>
  <si>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</si>
  <si>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</si>
  <si>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</si>
  <si>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</si>
  <si>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</si>
  <si>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</si>
  <si>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</si>
  <si>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</si>
  <si>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</si>
  <si>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</si>
  <si>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</si>
  <si>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</si>
  <si>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</si>
  <si>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</si>
  <si>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</si>
  <si>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</si>
  <si>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</si>
  <si>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</si>
  <si>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</si>
  <si>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</si>
  <si>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</si>
  <si>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</si>
  <si>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</si>
  <si>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</si>
  <si>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</si>
  <si>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</si>
  <si>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</si>
  <si>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</si>
  <si>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</si>
  <si>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</si>
  <si>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</si>
  <si>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</si>
  <si>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</si>
  <si>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</si>
  <si>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</si>
  <si>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</si>
  <si>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</si>
  <si>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</si>
  <si>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</si>
  <si>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</si>
  <si>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</si>
  <si>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</si>
  <si>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</si>
  <si>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</si>
  <si>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</si>
  <si>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</si>
  <si>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</si>
  <si>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</si>
  <si>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</si>
  <si>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</si>
  <si>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</si>
  <si>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</si>
  <si>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</si>
  <si>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</si>
  <si>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</si>
  <si>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</si>
  <si>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</si>
  <si>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</si>
  <si>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</si>
  <si>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</si>
  <si>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</si>
  <si>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</si>
  <si>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</si>
  <si>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</si>
  <si>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</si>
  <si>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</si>
  <si>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</si>
  <si>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</si>
  <si>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</si>
  <si>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</si>
  <si>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</si>
  <si>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</si>
  <si>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</si>
  <si>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</si>
  <si>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</si>
  <si>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</si>
  <si>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</si>
  <si>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</si>
  <si>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</si>
  <si>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</si>
  <si>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</si>
  <si>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</si>
  <si>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</si>
  <si>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</si>
  <si>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</si>
  <si>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</si>
  <si>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</si>
  <si>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</si>
  <si>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</si>
  <si>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</si>
  <si>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</si>
  <si>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</si>
  <si>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</si>
  <si>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</si>
  <si>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</si>
  <si>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</si>
  <si>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</si>
  <si>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</si>
  <si>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</si>
  <si>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</si>
  <si>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</si>
  <si>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</si>
  <si>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</si>
  <si>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</si>
  <si>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</si>
  <si>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</si>
  <si>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</si>
  <si>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</si>
  <si>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</si>
  <si>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</si>
  <si>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</si>
  <si>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</si>
  <si>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</si>
  <si>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</si>
  <si>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</si>
  <si>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</si>
  <si>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</si>
  <si>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</si>
  <si>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</si>
  <si>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</si>
  <si>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</si>
  <si>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</si>
  <si>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</si>
  <si>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</si>
  <si>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</si>
  <si>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</si>
  <si>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</si>
  <si>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</si>
  <si>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</si>
  <si>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</si>
  <si>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</si>
  <si>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</si>
  <si>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</si>
  <si>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</si>
  <si>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</si>
  <si>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</si>
  <si>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</si>
  <si>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</si>
  <si>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</si>
  <si>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</si>
  <si>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</si>
  <si>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</si>
  <si>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</si>
  <si>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</si>
  <si>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</si>
  <si>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</si>
  <si>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</si>
  <si>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</si>
  <si>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</si>
  <si>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</si>
  <si>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</si>
  <si>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</si>
  <si>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</si>
  <si>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</si>
  <si>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</si>
  <si>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</si>
  <si>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</si>
  <si>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</si>
  <si>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</si>
  <si>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</si>
  <si>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</si>
  <si>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</si>
  <si>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</si>
  <si>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</si>
  <si>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</si>
  <si>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</si>
  <si>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</si>
  <si>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</si>
  <si>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</si>
  <si>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</si>
  <si>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</si>
  <si>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</si>
  <si>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</si>
  <si>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</si>
  <si>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</si>
  <si>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</si>
  <si>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</si>
  <si>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</si>
  <si>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</si>
  <si>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</si>
  <si>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</si>
  <si>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</si>
  <si>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</si>
  <si>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</si>
  <si>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</si>
  <si>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</si>
  <si>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</si>
  <si>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</si>
  <si>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</si>
  <si>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</si>
  <si>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</si>
  <si>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</si>
  <si>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</si>
  <si>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</si>
  <si>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</si>
  <si>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</si>
  <si>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</si>
  <si>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</si>
  <si>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</si>
  <si>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</si>
  <si>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</si>
  <si>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</si>
  <si>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</si>
  <si>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</si>
  <si>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</si>
  <si>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</si>
  <si>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</si>
  <si>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</si>
  <si>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</si>
  <si>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</si>
  <si>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</si>
  <si>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</si>
  <si>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</si>
  <si>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</si>
  <si>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</si>
  <si>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</si>
  <si>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</si>
  <si>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</si>
  <si>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</si>
  <si>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</si>
  <si>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</si>
  <si>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</si>
  <si>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</si>
  <si>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</si>
  <si>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</si>
  <si>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</si>
  <si>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</si>
  <si>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</si>
  <si>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</si>
  <si>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</si>
  <si>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</si>
  <si>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</si>
  <si>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</si>
  <si>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</si>
  <si>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</si>
  <si>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</si>
  <si>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</si>
  <si>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</si>
  <si>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</si>
  <si>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</si>
  <si>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</si>
  <si>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</si>
  <si>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</si>
  <si>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</si>
  <si>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</si>
  <si>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</si>
  <si>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</si>
  <si>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</si>
  <si>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</si>
  <si>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</si>
  <si>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</si>
  <si>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</si>
  <si>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</si>
  <si>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</si>
  <si>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</si>
  <si>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</si>
  <si>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</si>
  <si>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</si>
  <si>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</si>
  <si>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</si>
  <si>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</si>
  <si>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</si>
  <si>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</si>
  <si>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</si>
  <si>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</si>
  <si>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</si>
  <si>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</si>
  <si>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</si>
  <si>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</si>
  <si>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</si>
  <si>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</si>
  <si>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</si>
  <si>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</si>
  <si>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</si>
  <si>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</si>
  <si>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</si>
  <si>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</si>
  <si>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</si>
  <si>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</si>
  <si>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</si>
  <si>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</si>
  <si>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</si>
  <si>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</si>
  <si>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</si>
  <si>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</si>
  <si>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</si>
  <si>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</si>
  <si>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</si>
  <si>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</si>
  <si>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</si>
  <si>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</si>
  <si>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</si>
  <si>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</si>
  <si>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</si>
  <si>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</si>
  <si>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</si>
  <si>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</si>
  <si>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</si>
  <si>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</si>
  <si>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</si>
  <si>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</si>
  <si>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</si>
  <si>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</si>
  <si>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</si>
  <si>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</si>
  <si>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</si>
  <si>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</si>
  <si>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</si>
  <si>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</si>
  <si>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</si>
  <si>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</si>
  <si>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</si>
  <si>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</si>
  <si>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</si>
  <si>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</si>
  <si>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</si>
  <si>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</si>
  <si>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</si>
  <si>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</si>
  <si>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</si>
  <si>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</si>
  <si>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</si>
  <si>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</si>
  <si>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</si>
  <si>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</si>
  <si>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</si>
  <si>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</si>
  <si>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</si>
  <si>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</si>
  <si>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</si>
  <si>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</si>
  <si>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</si>
  <si>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</si>
  <si>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</si>
  <si>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</si>
  <si>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</si>
  <si>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</si>
  <si>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</si>
  <si>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</si>
  <si>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</si>
  <si>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</si>
  <si>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</si>
  <si>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</si>
  <si>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</si>
  <si>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</si>
  <si>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</si>
  <si>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</si>
  <si>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</si>
  <si>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</si>
  <si>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</si>
  <si>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</si>
  <si>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</si>
  <si>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</si>
  <si>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</si>
  <si>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</si>
  <si>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</si>
  <si>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</si>
  <si>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</si>
  <si>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</si>
  <si>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</si>
  <si>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</si>
  <si>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</si>
  <si>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</si>
  <si>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</si>
  <si>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</si>
  <si>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</si>
  <si>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</si>
  <si>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</si>
  <si>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</si>
  <si>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</si>
  <si>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</si>
  <si>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</si>
  <si>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</si>
  <si>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</si>
  <si>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</si>
  <si>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</si>
  <si>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</si>
  <si>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</si>
  <si>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</si>
  <si>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</si>
  <si>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</si>
  <si>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</si>
  <si>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</si>
  <si>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</si>
  <si>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</si>
  <si>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</si>
  <si>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</si>
  <si>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</si>
  <si>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</si>
  <si>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</si>
  <si>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</si>
  <si>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</si>
  <si>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</si>
  <si>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</si>
  <si>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</si>
  <si>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</si>
  <si>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</si>
  <si>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</si>
  <si>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</si>
  <si>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</si>
  <si>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</si>
  <si>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</si>
  <si>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</si>
  <si>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</si>
  <si>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</si>
  <si>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</si>
  <si>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</si>
  <si>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</si>
  <si>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</si>
  <si>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</si>
  <si>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</si>
  <si>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</si>
  <si>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</si>
  <si>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</si>
  <si>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</si>
  <si>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</si>
  <si>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</si>
  <si>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</si>
  <si>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</si>
  <si>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</si>
  <si>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</si>
  <si>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</si>
  <si>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</si>
  <si>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</si>
  <si>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</si>
  <si>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</si>
  <si>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</si>
  <si>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</si>
  <si>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</si>
  <si>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</si>
  <si>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</si>
  <si>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</si>
  <si>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</si>
  <si>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</si>
  <si>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</si>
  <si>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</si>
  <si>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</si>
  <si>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</si>
  <si>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</si>
  <si>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</si>
  <si>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</si>
  <si>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</si>
  <si>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</si>
  <si>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</si>
  <si>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</si>
  <si>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</si>
  <si>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</si>
  <si>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</si>
  <si>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</si>
  <si>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</si>
  <si>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</si>
  <si>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</si>
  <si>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</si>
  <si>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</si>
  <si>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</si>
  <si>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</si>
  <si>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</si>
  <si>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</si>
  <si>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</si>
  <si>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</si>
  <si>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</si>
  <si>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</si>
  <si>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</si>
  <si>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</si>
  <si>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</si>
  <si>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</si>
  <si>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</si>
  <si>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</si>
  <si>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</si>
  <si>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</si>
  <si>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</si>
  <si>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</si>
  <si>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</si>
  <si>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</si>
  <si>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</si>
  <si>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</si>
  <si>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</si>
  <si>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</si>
  <si>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</si>
  <si>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</si>
  <si>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</si>
  <si>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</si>
  <si>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</si>
  <si>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</si>
  <si>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</si>
  <si>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</si>
  <si>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</si>
  <si>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</si>
  <si>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</si>
  <si>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</si>
  <si>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</si>
  <si>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</si>
  <si>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</si>
  <si>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</si>
  <si>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</si>
  <si>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</si>
  <si>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</si>
  <si>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</si>
  <si>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</si>
  <si>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</si>
  <si>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</si>
  <si>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</si>
  <si>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</si>
  <si>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</si>
  <si>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</si>
  <si>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</si>
  <si>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</si>
  <si>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</si>
  <si>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</si>
  <si>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</si>
  <si>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</si>
  <si>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</si>
  <si>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</si>
  <si>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</si>
  <si>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</si>
  <si>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</si>
  <si>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</si>
  <si>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</si>
  <si>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</si>
  <si>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</si>
  <si>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</si>
  <si>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</si>
  <si>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</si>
  <si>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</si>
  <si>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</si>
  <si>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</si>
  <si>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</si>
  <si>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</si>
  <si>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</si>
  <si>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</si>
  <si>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</si>
  <si>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</si>
  <si>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</si>
  <si>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</si>
  <si>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</si>
  <si>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</si>
  <si>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</si>
  <si>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</si>
  <si>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</si>
  <si>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</si>
  <si>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</si>
  <si>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</si>
  <si>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</si>
  <si>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</si>
  <si>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</si>
  <si>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</si>
  <si>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</si>
  <si>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</si>
  <si>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</si>
  <si>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</si>
  <si>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</si>
  <si>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</si>
  <si>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</si>
  <si>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</si>
  <si>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</si>
  <si>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</si>
  <si>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</si>
  <si>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</si>
  <si>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</si>
  <si>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</si>
  <si>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</si>
  <si>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</si>
  <si>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</si>
  <si>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</si>
  <si>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</si>
  <si>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</si>
  <si>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</si>
  <si>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</si>
  <si>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</si>
  <si>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</si>
  <si>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</si>
  <si>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</si>
  <si>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</si>
  <si>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</si>
  <si>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</si>
  <si>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</si>
  <si>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</si>
  <si>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</si>
  <si>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</si>
  <si>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</si>
  <si>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</si>
  <si>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</si>
  <si>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</si>
  <si>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</si>
  <si>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</si>
  <si>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</si>
  <si>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</si>
  <si>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</si>
  <si>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</si>
  <si>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</si>
  <si>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</si>
  <si>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</si>
  <si>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</si>
  <si>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</si>
  <si>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</si>
  <si>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</si>
  <si>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</si>
  <si>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</si>
  <si>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</si>
  <si>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</si>
  <si>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</si>
  <si>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</si>
  <si>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</si>
  <si>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</si>
  <si>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</si>
  <si>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</si>
  <si>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</si>
  <si>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</si>
  <si>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</si>
  <si>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</si>
  <si>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</si>
  <si>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</si>
  <si>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</si>
  <si>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</si>
  <si>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</si>
  <si>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</si>
  <si>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</si>
  <si>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</si>
  <si>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</si>
  <si>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</si>
  <si>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</si>
  <si>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</si>
  <si>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</si>
  <si>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</si>
  <si>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</si>
  <si>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</si>
  <si>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</si>
  <si>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</si>
  <si>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</si>
  <si>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</si>
  <si>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</si>
  <si>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</si>
  <si>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</si>
  <si>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</si>
  <si>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</si>
  <si>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</si>
  <si>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</si>
  <si>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</si>
  <si>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</si>
  <si>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</si>
  <si>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</si>
  <si>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</si>
  <si>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</si>
  <si>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</si>
  <si>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</si>
  <si>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</si>
  <si>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</si>
  <si>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</si>
  <si>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</si>
  <si>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</si>
  <si>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</si>
  <si>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</si>
  <si>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</si>
  <si>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</si>
  <si>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</si>
  <si>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</si>
  <si>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</si>
  <si>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</si>
  <si>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</si>
  <si>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</si>
  <si>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</si>
  <si>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</si>
  <si>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</si>
  <si>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</si>
  <si>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</si>
  <si>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</si>
  <si>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</si>
  <si>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</si>
  <si>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</si>
  <si>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</si>
  <si>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</si>
  <si>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</si>
  <si>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</si>
  <si>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</si>
  <si>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</si>
  <si>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</si>
  <si>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</si>
  <si>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</si>
  <si>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</si>
  <si>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</si>
  <si>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</si>
  <si>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</si>
  <si>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</si>
  <si>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</si>
  <si>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</si>
  <si>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</si>
  <si>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</si>
  <si>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</si>
  <si>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</si>
  <si>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</si>
  <si>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</si>
  <si>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</si>
  <si>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</si>
  <si>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</si>
  <si>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</si>
  <si>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</si>
  <si>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</si>
  <si>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</si>
  <si>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</si>
  <si>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</si>
  <si>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</si>
  <si>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</si>
  <si>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</si>
  <si>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</si>
  <si>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</si>
  <si>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</si>
  <si>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</si>
  <si>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</si>
  <si>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</si>
  <si>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</si>
  <si>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</si>
  <si>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</si>
  <si>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</si>
  <si>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</si>
  <si>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</si>
  <si>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</si>
  <si>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</si>
  <si>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</si>
  <si>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</si>
  <si>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</si>
  <si>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</si>
  <si>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</si>
  <si>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</si>
  <si>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</si>
  <si>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</si>
  <si>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</si>
  <si>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</si>
  <si>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</si>
  <si>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</si>
  <si>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</si>
  <si>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</si>
  <si>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</si>
  <si>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</si>
  <si>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</si>
  <si>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</si>
  <si>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</si>
  <si>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</si>
  <si>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</si>
  <si>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</si>
  <si>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</si>
  <si>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</si>
  <si>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</si>
  <si>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</si>
  <si>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</si>
  <si>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</si>
  <si>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</si>
  <si>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</si>
  <si>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</si>
  <si>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</si>
  <si>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</si>
  <si>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</si>
  <si>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</si>
  <si>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</si>
  <si>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</si>
  <si>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</si>
  <si>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</si>
  <si>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</si>
  <si>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</si>
  <si>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</si>
  <si>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</si>
  <si>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</si>
  <si>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</si>
  <si>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</si>
  <si>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</si>
  <si>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</si>
  <si>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</si>
  <si>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</si>
  <si>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</si>
  <si>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</si>
  <si>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</si>
  <si>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</si>
  <si>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</si>
  <si>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</si>
  <si>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</si>
  <si>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</si>
  <si>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</si>
  <si>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</si>
  <si>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</si>
  <si>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</si>
  <si>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</si>
  <si>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</si>
  <si>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</si>
  <si>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</si>
  <si>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</si>
  <si>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</si>
  <si>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</si>
  <si>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</si>
  <si>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</si>
  <si>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</si>
  <si>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</si>
  <si>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</si>
  <si>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</si>
  <si>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</si>
  <si>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</si>
  <si>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</si>
  <si>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</si>
  <si>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</si>
  <si>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</si>
  <si>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</si>
  <si>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</si>
  <si>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</si>
  <si>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</si>
  <si>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</si>
  <si>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</si>
  <si>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</si>
  <si>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</si>
  <si>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</si>
  <si>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</si>
  <si>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</si>
  <si>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</si>
  <si>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</si>
  <si>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</si>
  <si>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</si>
  <si>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</si>
  <si>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</si>
  <si>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</si>
  <si>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</si>
  <si>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</si>
  <si>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</si>
  <si>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</si>
  <si>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</si>
  <si>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</si>
  <si>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</si>
  <si>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</si>
  <si>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</si>
  <si>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</si>
  <si>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</si>
  <si>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</si>
  <si>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</si>
  <si>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</si>
  <si>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</si>
  <si>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</si>
  <si>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</si>
  <si>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</si>
  <si>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</si>
  <si>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</si>
  <si>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</si>
  <si>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</si>
  <si>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</si>
  <si>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</si>
  <si>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</si>
  <si>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</si>
  <si>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</si>
  <si>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</si>
  <si>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</si>
  <si>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</si>
  <si>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</si>
  <si>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</si>
  <si>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</si>
  <si>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</si>
  <si>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</si>
  <si>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</si>
  <si>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</si>
  <si>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</si>
  <si>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</si>
  <si>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</si>
  <si>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</si>
  <si>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</si>
  <si>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</si>
  <si>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</si>
  <si>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</si>
  <si>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</si>
  <si>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</si>
  <si>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</si>
  <si>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</si>
  <si>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</si>
  <si>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</si>
  <si>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</si>
  <si>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</si>
  <si>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</si>
  <si>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</si>
  <si>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</si>
  <si>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</si>
  <si>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</si>
  <si>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</si>
  <si>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</si>
  <si>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</si>
  <si>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</si>
  <si>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</si>
  <si>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</si>
  <si>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</si>
  <si>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</si>
  <si>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</si>
  <si>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</si>
  <si>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</si>
  <si>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</si>
  <si>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</si>
  <si>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</si>
  <si>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</si>
  <si>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</si>
  <si>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</si>
  <si>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</si>
  <si>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</si>
  <si>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</si>
  <si>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</si>
  <si>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</si>
  <si>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</si>
  <si>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</si>
  <si>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</si>
  <si>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</si>
  <si>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</si>
  <si>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</si>
  <si>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</si>
  <si>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</si>
  <si>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</si>
  <si>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</si>
  <si>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</si>
  <si>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</si>
  <si>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</si>
  <si>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</si>
  <si>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</si>
  <si>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</si>
  <si>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</si>
  <si>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</si>
  <si>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</si>
  <si>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</si>
  <si>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</si>
  <si>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</si>
  <si>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</si>
  <si>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</si>
  <si>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</si>
  <si>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</si>
  <si>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</si>
  <si>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</si>
  <si>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</si>
  <si>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</si>
  <si>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</si>
  <si>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</si>
  <si>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</si>
  <si>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</si>
  <si>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</si>
  <si>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</si>
  <si>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</si>
  <si>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</si>
  <si>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</si>
  <si>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</si>
  <si>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</si>
  <si>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</si>
  <si>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</si>
  <si>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</si>
  <si>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</si>
  <si>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</si>
  <si>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</si>
  <si>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</si>
  <si>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</si>
  <si>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</si>
  <si>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</si>
  <si>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</si>
  <si>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</si>
  <si>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</si>
  <si>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</si>
  <si>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</si>
  <si>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</si>
  <si>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</si>
  <si>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</si>
  <si>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</si>
  <si>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</si>
  <si>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</si>
  <si>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</si>
  <si>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</si>
  <si>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</si>
  <si>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</si>
  <si>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</si>
  <si>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</si>
  <si>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</si>
  <si>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</si>
  <si>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</si>
  <si>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</si>
  <si>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</si>
  <si>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</si>
  <si>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</si>
  <si>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</si>
  <si>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</si>
  <si>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</si>
  <si>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</si>
  <si>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</si>
  <si>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</si>
  <si>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</si>
  <si>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</si>
  <si>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</si>
  <si>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</si>
  <si>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</si>
  <si>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</si>
  <si>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</si>
  <si>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</si>
  <si>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</si>
  <si>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</si>
  <si>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</si>
  <si>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</si>
  <si>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</si>
  <si>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</si>
  <si>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</si>
  <si>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</si>
  <si>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</si>
  <si>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</si>
  <si>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</si>
  <si>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</si>
  <si>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</si>
  <si>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</si>
  <si>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</si>
  <si>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</si>
  <si>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</si>
  <si>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</si>
  <si>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</si>
  <si>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</si>
  <si>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</si>
  <si>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</si>
  <si>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</si>
  <si>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</si>
  <si>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</si>
  <si>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</si>
  <si>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</si>
  <si>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</si>
  <si>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</si>
  <si>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</si>
  <si>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</si>
  <si>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</si>
  <si>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</si>
  <si>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</si>
  <si>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</si>
  <si>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</si>
  <si>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</si>
  <si>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</si>
  <si>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</si>
  <si>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</si>
  <si>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</si>
  <si>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</si>
  <si>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</si>
  <si>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</si>
  <si>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</si>
  <si>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</si>
  <si>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</si>
  <si>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</si>
  <si>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</si>
  <si>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</si>
  <si>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</si>
  <si>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</si>
  <si>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</si>
  <si>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</si>
  <si>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</si>
  <si>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</si>
  <si>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</si>
  <si>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</si>
  <si>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</si>
  <si>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</si>
  <si>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</si>
  <si>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</si>
  <si>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</si>
  <si>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</si>
  <si>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</si>
  <si>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</si>
  <si>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</si>
  <si>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</si>
  <si>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</si>
  <si>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</si>
  <si>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</si>
  <si>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</si>
  <si>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</si>
  <si>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</si>
  <si>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</si>
  <si>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</si>
  <si>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</si>
  <si>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</si>
  <si>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</si>
  <si>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</si>
  <si>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</si>
  <si>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</si>
  <si>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</si>
  <si>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</si>
  <si>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</si>
  <si>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</si>
  <si>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</si>
  <si>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</si>
  <si>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</si>
  <si>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</si>
  <si>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</si>
  <si>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</si>
  <si>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</si>
  <si>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</si>
  <si>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</si>
  <si>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</si>
  <si>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</si>
  <si>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</si>
  <si>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</si>
  <si>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</si>
  <si>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</si>
  <si>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</si>
  <si>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</si>
  <si>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</si>
  <si>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</si>
  <si>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</si>
  <si>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</si>
  <si>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</si>
  <si>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</si>
  <si>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</si>
  <si>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</si>
  <si>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</si>
  <si>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</si>
  <si>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</si>
  <si>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</si>
  <si>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</si>
  <si>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</si>
  <si>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</si>
  <si>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</si>
  <si>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</si>
  <si>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</si>
  <si>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</si>
  <si>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</si>
  <si>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</si>
  <si>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</si>
  <si>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</si>
  <si>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</si>
  <si>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</si>
  <si>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</si>
  <si>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</si>
  <si>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</si>
  <si>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</si>
  <si>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</si>
  <si>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</si>
  <si>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</si>
  <si>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</si>
  <si>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</si>
  <si>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</si>
  <si>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</si>
  <si>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</si>
  <si>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</si>
  <si>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</si>
  <si>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</si>
  <si>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</si>
  <si>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</si>
  <si>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</si>
  <si>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</si>
  <si>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</si>
  <si>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</si>
  <si>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</si>
  <si>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</si>
  <si>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</si>
  <si>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</si>
  <si>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</si>
  <si>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</si>
  <si>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</si>
  <si>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</si>
  <si>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</si>
  <si>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</si>
  <si>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</si>
  <si>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</si>
  <si>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</si>
  <si>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</si>
  <si>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</si>
  <si>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</si>
  <si>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</si>
  <si>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</si>
  <si>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</si>
  <si>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</si>
  <si>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</si>
  <si>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</si>
  <si>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</si>
  <si>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</si>
  <si>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</si>
  <si>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</si>
  <si>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</si>
  <si>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</si>
  <si>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</si>
  <si>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</si>
  <si>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</si>
  <si>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</si>
  <si>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</si>
  <si>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</si>
  <si>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</si>
  <si>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</si>
  <si>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</si>
  <si>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</si>
  <si>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</si>
  <si>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</si>
  <si>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</si>
  <si>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</si>
  <si>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</si>
  <si>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</si>
  <si>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</si>
  <si>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</si>
  <si>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</si>
  <si>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</si>
  <si>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</si>
  <si>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</si>
  <si>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</si>
  <si>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</si>
  <si>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</si>
  <si>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</si>
  <si>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</si>
  <si>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</si>
  <si>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</si>
  <si>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</si>
  <si>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</si>
  <si>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</si>
  <si>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</si>
  <si>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</si>
  <si>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</si>
  <si>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</si>
  <si>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</si>
  <si>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</si>
  <si>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</si>
  <si>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</si>
  <si>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</si>
  <si>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</si>
  <si>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</si>
  <si>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</si>
  <si>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</si>
  <si>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</si>
  <si>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</si>
  <si>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</si>
  <si>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</si>
  <si>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</si>
  <si>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</si>
  <si>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</si>
  <si>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</si>
  <si>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</si>
  <si>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</si>
  <si>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</si>
  <si>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</si>
  <si>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</si>
  <si>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</si>
  <si>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</si>
  <si>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</si>
  <si>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</si>
  <si>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</si>
  <si>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</si>
  <si>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</si>
  <si>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</si>
  <si>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</si>
  <si>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</si>
  <si>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</si>
  <si>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</si>
  <si>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</si>
  <si>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</si>
  <si>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</si>
  <si>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</si>
  <si>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</si>
  <si>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</si>
  <si>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</si>
  <si>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</si>
  <si>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</si>
  <si>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</si>
  <si>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</si>
  <si>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</si>
  <si>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</si>
  <si>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</si>
  <si>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</si>
  <si>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</si>
  <si>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</si>
  <si>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</si>
  <si>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</si>
  <si>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</si>
  <si>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</si>
  <si>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</si>
  <si>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</si>
  <si>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</si>
  <si>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</si>
  <si>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</si>
  <si>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</si>
  <si>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</si>
  <si>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</si>
  <si>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</si>
  <si>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</si>
  <si>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</si>
  <si>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</si>
  <si>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</si>
  <si>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</si>
  <si>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</si>
  <si>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</si>
  <si>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</si>
  <si>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</si>
  <si>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</si>
  <si>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</si>
  <si>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</si>
  <si>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</si>
  <si>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</si>
  <si>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</si>
  <si>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</si>
  <si>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</si>
  <si>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</si>
  <si>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</si>
  <si>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</si>
  <si>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</si>
  <si>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</si>
  <si>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</si>
  <si>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</si>
  <si>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</si>
  <si>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</si>
  <si>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</si>
  <si>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</si>
  <si>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</si>
  <si>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</si>
  <si>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</si>
  <si>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</si>
  <si>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</si>
  <si>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</si>
  <si>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</si>
  <si>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</si>
  <si>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</si>
  <si>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</si>
  <si>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</si>
  <si>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</si>
  <si>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</si>
  <si>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</si>
  <si>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</si>
  <si>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</si>
  <si>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</si>
  <si>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</si>
  <si>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</si>
  <si>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</si>
  <si>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</si>
  <si>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</si>
  <si>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</si>
  <si>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</si>
  <si>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</si>
  <si>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</si>
  <si>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</si>
  <si>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</si>
  <si>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</si>
  <si>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</si>
  <si>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</si>
  <si>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</si>
  <si>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</si>
  <si>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</si>
  <si>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</si>
  <si>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</si>
  <si>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</si>
  <si>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</si>
  <si>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</si>
  <si>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</si>
  <si>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</si>
  <si>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</si>
  <si>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</si>
  <si>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</si>
  <si>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</si>
  <si>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</si>
  <si>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</si>
  <si>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</si>
  <si>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</si>
  <si>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</si>
  <si>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</si>
  <si>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</si>
  <si>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</si>
  <si>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</si>
  <si>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</si>
  <si>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</si>
  <si>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</si>
  <si>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</si>
  <si>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</si>
  <si>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</si>
  <si>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</si>
  <si>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</si>
  <si>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</si>
  <si>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</si>
  <si>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</si>
  <si>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</si>
  <si>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</si>
  <si>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</si>
  <si>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</si>
  <si>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</si>
  <si>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</si>
  <si>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</si>
  <si>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</si>
  <si>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</si>
  <si>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</si>
  <si>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</si>
  <si>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</si>
  <si>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</si>
  <si>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</si>
  <si>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</si>
  <si>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</si>
  <si>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</si>
  <si>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</si>
  <si>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</si>
  <si>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</si>
  <si>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</si>
  <si>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</si>
  <si>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</si>
  <si>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</si>
  <si>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</si>
  <si>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</si>
  <si>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</si>
  <si>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</si>
  <si>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</si>
  <si>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</si>
  <si>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</si>
  <si>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</si>
  <si>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</si>
  <si>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</si>
  <si>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</si>
  <si>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</si>
  <si>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</si>
  <si>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</si>
  <si>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</si>
  <si>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</si>
  <si>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</si>
  <si>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</si>
  <si>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</si>
  <si>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</si>
  <si>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</si>
  <si>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</si>
  <si>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</si>
  <si>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</si>
  <si>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</si>
  <si>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</si>
  <si>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</si>
  <si>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</si>
  <si>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</si>
  <si>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</si>
  <si>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</si>
  <si>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</si>
  <si>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</si>
  <si>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</si>
  <si>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</si>
  <si>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</si>
  <si>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</si>
  <si>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</si>
  <si>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</si>
  <si>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</si>
  <si>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</si>
  <si>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</si>
  <si>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</si>
  <si>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</si>
  <si>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</si>
  <si>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</si>
  <si>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</si>
  <si>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</si>
  <si>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</si>
  <si>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</si>
  <si>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</si>
  <si>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</si>
  <si>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</si>
  <si>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</si>
  <si>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</si>
  <si>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</si>
  <si>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</si>
  <si>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</si>
  <si>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</si>
  <si>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</si>
  <si>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</si>
  <si>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</si>
  <si>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</si>
  <si>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</si>
  <si>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</si>
  <si>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</si>
  <si>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</si>
  <si>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</si>
  <si>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</si>
  <si>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</si>
  <si>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</si>
  <si>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</si>
  <si>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</si>
  <si>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</si>
  <si>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</si>
  <si>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</si>
  <si>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</si>
  <si>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</si>
  <si>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</si>
  <si>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</si>
  <si>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</si>
  <si>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</si>
  <si>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</si>
  <si>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</si>
  <si>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</si>
  <si>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</si>
  <si>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</si>
  <si>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</si>
  <si>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</si>
  <si>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</si>
  <si>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</si>
  <si>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</si>
  <si>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</si>
  <si>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</si>
  <si>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</si>
  <si>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</si>
  <si>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</si>
  <si>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</si>
  <si>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</si>
  <si>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</si>
  <si>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</si>
  <si>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</si>
  <si>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</si>
  <si>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</si>
  <si>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</si>
  <si>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</si>
  <si>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</si>
  <si>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</si>
  <si>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</si>
  <si>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</si>
  <si>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</si>
  <si>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</si>
  <si>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</si>
  <si>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</si>
  <si>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</si>
  <si>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</si>
  <si>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</si>
  <si>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</si>
  <si>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</si>
  <si>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</si>
  <si>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</si>
  <si>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</si>
  <si>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</si>
  <si>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</si>
  <si>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</si>
  <si>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</si>
  <si>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</si>
  <si>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</si>
  <si>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</si>
  <si>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</si>
  <si>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</si>
  <si>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</si>
  <si>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</si>
  <si>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</si>
  <si>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</si>
  <si>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</si>
  <si>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</si>
  <si>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</si>
  <si>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</si>
  <si>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</si>
  <si>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</si>
  <si>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</si>
  <si>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</si>
  <si>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</si>
  <si>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</si>
  <si>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</si>
  <si>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</si>
  <si>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</si>
  <si>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</si>
  <si>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</si>
  <si>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</si>
  <si>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</si>
  <si>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</si>
  <si>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</si>
  <si>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</si>
  <si>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</si>
  <si>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</si>
  <si>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</si>
  <si>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</si>
  <si>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</si>
  <si>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</si>
  <si>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</si>
  <si>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</si>
  <si>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</si>
  <si>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</si>
  <si>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</si>
  <si>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</si>
  <si>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</si>
  <si>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</si>
  <si>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</si>
  <si>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</si>
  <si>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</si>
  <si>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</si>
  <si>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</si>
  <si>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</si>
  <si>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</si>
  <si>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</si>
  <si>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</si>
  <si>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</si>
  <si>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</si>
  <si>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</si>
  <si>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</si>
  <si>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</si>
  <si>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</si>
  <si>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</si>
  <si>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</si>
  <si>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</si>
  <si>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</si>
  <si>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</si>
  <si>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</si>
  <si>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</si>
  <si>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</si>
  <si>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</si>
  <si>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</si>
  <si>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</si>
  <si>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</si>
  <si>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</si>
  <si>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</si>
  <si>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</si>
  <si>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</si>
  <si>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</si>
  <si>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</si>
  <si>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</si>
  <si>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</si>
  <si>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</si>
  <si>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</si>
  <si>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</si>
  <si>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</si>
  <si>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</si>
  <si>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</si>
  <si>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</si>
  <si>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</si>
  <si>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</si>
  <si>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</si>
  <si>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</si>
  <si>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</si>
  <si>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</si>
  <si>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</si>
  <si>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</si>
  <si>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</si>
  <si>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</si>
  <si>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</si>
  <si>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</si>
  <si>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</si>
  <si>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</si>
  <si>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</si>
  <si>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</si>
  <si>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</si>
  <si>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</si>
  <si>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</si>
  <si>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</si>
  <si>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</si>
  <si>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</si>
  <si>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</si>
  <si>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</si>
  <si>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</si>
  <si>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</si>
  <si>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</si>
  <si>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</si>
  <si>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</si>
  <si>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</si>
  <si>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</si>
  <si>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</si>
  <si>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</si>
  <si>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</si>
  <si>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</si>
  <si>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</si>
  <si>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</si>
  <si>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</si>
  <si>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</si>
  <si>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</si>
  <si>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</si>
  <si>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</si>
  <si>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</si>
  <si>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</si>
  <si>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</si>
  <si>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</si>
  <si>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</si>
  <si>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</si>
  <si>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</si>
  <si>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</si>
  <si>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</si>
  <si>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</si>
  <si>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</si>
  <si>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</si>
  <si>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</si>
  <si>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</si>
  <si>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</si>
  <si>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</si>
  <si>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</si>
  <si>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</si>
  <si>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</si>
  <si>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</si>
  <si>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</si>
  <si>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</si>
  <si>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</si>
  <si>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</si>
  <si>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</si>
  <si>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</si>
  <si>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</si>
  <si>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</si>
  <si>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</si>
  <si>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</si>
  <si>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</si>
  <si>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</si>
  <si>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</si>
  <si>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</si>
  <si>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</si>
  <si>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</si>
  <si>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</si>
  <si>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</si>
  <si>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</si>
  <si>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</si>
  <si>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</si>
  <si>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</si>
  <si>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</si>
  <si>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</si>
  <si>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</si>
  <si>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</si>
  <si>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</si>
  <si>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</si>
  <si>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</si>
  <si>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</si>
  <si>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</si>
  <si>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</si>
  <si>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</si>
  <si>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</si>
  <si>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</si>
  <si>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</si>
  <si>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</si>
  <si>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</si>
  <si>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</si>
  <si>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</si>
  <si>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</si>
  <si>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</si>
  <si>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</si>
  <si>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</si>
  <si>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</si>
  <si>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</si>
  <si>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</si>
  <si>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</si>
  <si>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</si>
  <si>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</si>
  <si>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</si>
  <si>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</si>
  <si>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</si>
  <si>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</si>
  <si>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</si>
  <si>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</si>
  <si>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</si>
  <si>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</si>
  <si>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</si>
  <si>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</si>
  <si>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</si>
  <si>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</si>
  <si>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</si>
  <si>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</si>
  <si>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</si>
  <si>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</si>
  <si>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</si>
  <si>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</si>
  <si>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</si>
  <si>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</si>
  <si>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</si>
  <si>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</si>
  <si>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</si>
  <si>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</si>
  <si>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</si>
  <si>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</si>
  <si>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</si>
  <si>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</si>
  <si>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</si>
  <si>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</si>
  <si>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</si>
  <si>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</si>
  <si>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</si>
  <si>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</si>
  <si>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</si>
  <si>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</si>
  <si>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</si>
  <si>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</si>
  <si>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</si>
  <si>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</si>
  <si>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</si>
  <si>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</si>
  <si>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</si>
  <si>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</si>
  <si>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</si>
  <si>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</si>
  <si>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</si>
  <si>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</si>
  <si>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</si>
  <si>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</si>
  <si>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</si>
  <si>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</si>
  <si>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</si>
  <si>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</si>
  <si>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</si>
  <si>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</si>
  <si>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</si>
  <si>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</si>
  <si>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</si>
  <si>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</si>
  <si>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</si>
  <si>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</si>
  <si>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</si>
  <si>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</si>
  <si>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</si>
  <si>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</si>
  <si>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</si>
  <si>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</si>
  <si>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</si>
  <si>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</si>
  <si>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</si>
  <si>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</si>
  <si>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</si>
  <si>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</si>
  <si>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</si>
  <si>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</si>
  <si>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</si>
  <si>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</si>
  <si>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</si>
  <si>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</si>
  <si>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</si>
  <si>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</si>
  <si>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</si>
  <si>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</si>
  <si>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</si>
  <si>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</si>
  <si>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</si>
  <si>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</si>
  <si>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</si>
  <si>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</si>
  <si>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</si>
  <si>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</si>
  <si>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</si>
  <si>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</si>
  <si>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</si>
  <si>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</si>
  <si>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</si>
  <si>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</si>
  <si>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</si>
  <si>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</si>
  <si>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</si>
  <si>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</si>
  <si>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</si>
  <si>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</si>
  <si>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</si>
  <si>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</si>
  <si>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</si>
  <si>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</si>
  <si>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</si>
  <si>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</si>
  <si>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</si>
  <si>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</si>
  <si>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</si>
  <si>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</si>
  <si>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</si>
  <si>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</si>
  <si>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</si>
  <si>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</si>
  <si>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</si>
  <si>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</si>
  <si>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</si>
  <si>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</si>
  <si>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</si>
  <si>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</si>
  <si>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</si>
  <si>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</si>
  <si>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</si>
  <si>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</si>
  <si>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</si>
  <si>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</si>
  <si>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</si>
  <si>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</si>
  <si>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</si>
  <si>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</si>
  <si>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</si>
  <si>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</si>
  <si>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</si>
  <si>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</si>
  <si>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</si>
  <si>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</si>
  <si>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</si>
  <si>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</si>
  <si>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</si>
  <si>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</si>
  <si>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</si>
  <si>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</si>
  <si>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</si>
  <si>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</si>
  <si>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</si>
  <si>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</si>
  <si>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</si>
  <si>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</si>
  <si>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</si>
  <si>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</si>
  <si>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</si>
  <si>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</si>
  <si>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</si>
  <si>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</si>
  <si>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</si>
  <si>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</si>
  <si>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</si>
  <si>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</si>
  <si>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</si>
  <si>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</si>
  <si>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</si>
  <si>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</si>
  <si>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</si>
  <si>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</si>
  <si>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</si>
  <si>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</si>
  <si>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</si>
  <si>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</si>
  <si>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</si>
  <si>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</si>
  <si>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</si>
  <si>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</si>
  <si>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</si>
  <si>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</si>
  <si>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</si>
  <si>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</si>
  <si>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</si>
  <si>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</si>
  <si>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</si>
  <si>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</si>
  <si>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</si>
  <si>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</si>
  <si>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</si>
  <si>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</si>
  <si>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</si>
  <si>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</si>
  <si>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</si>
  <si>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</si>
  <si>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</si>
  <si>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</si>
  <si>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</si>
  <si>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</si>
  <si>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</si>
  <si>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</si>
  <si>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</si>
  <si>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</si>
  <si>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</si>
  <si>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</si>
  <si>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</si>
  <si>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</si>
  <si>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</si>
  <si>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</si>
  <si>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</si>
  <si>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</si>
  <si>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</si>
  <si>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</si>
  <si>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</si>
  <si>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</si>
  <si>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</si>
  <si>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</si>
  <si>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</si>
  <si>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</si>
  <si>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</si>
  <si>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</si>
  <si>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</si>
  <si>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</si>
  <si>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</si>
  <si>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</si>
  <si>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</si>
  <si>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</si>
  <si>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</si>
  <si>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</si>
  <si>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</si>
  <si>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</si>
  <si>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</si>
  <si>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</si>
  <si>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</si>
  <si>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</si>
  <si>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</si>
  <si>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</si>
  <si>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</si>
  <si>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</si>
  <si>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</si>
  <si>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</si>
  <si>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</si>
  <si>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</si>
  <si>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</si>
  <si>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</si>
  <si>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</si>
  <si>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</si>
  <si>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</si>
  <si>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</si>
  <si>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</si>
  <si>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</si>
  <si>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</si>
  <si>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</si>
  <si>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</si>
  <si>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</si>
  <si>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</si>
  <si>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</si>
  <si>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</si>
  <si>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</si>
  <si>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</si>
  <si>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</si>
  <si>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</si>
  <si>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</si>
  <si>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</si>
  <si>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</si>
  <si>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</si>
  <si>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</si>
  <si>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</si>
  <si>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</si>
  <si>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</si>
  <si>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</si>
  <si>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</si>
  <si>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</si>
  <si>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</si>
  <si>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</si>
  <si>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</si>
  <si>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</si>
  <si>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</si>
  <si>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</si>
  <si>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</si>
  <si>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</si>
  <si>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</si>
  <si>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</si>
  <si>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</si>
  <si>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</si>
  <si>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</si>
  <si>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</si>
  <si>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</si>
  <si>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</si>
  <si>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</si>
  <si>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</si>
  <si>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</si>
  <si>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</si>
  <si>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</si>
  <si>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</si>
  <si>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</si>
  <si>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</si>
  <si>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</si>
  <si>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</si>
  <si>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</si>
  <si>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</si>
  <si>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</si>
  <si>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</si>
  <si>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</si>
  <si>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</si>
  <si>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</si>
  <si>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</si>
  <si>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</si>
  <si>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</si>
  <si>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</si>
  <si>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</si>
  <si>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</si>
  <si>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</si>
  <si>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</si>
  <si>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</si>
  <si>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</si>
  <si>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</si>
  <si>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</si>
  <si>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</si>
  <si>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</si>
  <si>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</si>
  <si>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</si>
  <si>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</si>
  <si>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</si>
  <si>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</si>
  <si>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</si>
  <si>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</si>
  <si>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</si>
  <si>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</si>
  <si>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</si>
  <si>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</si>
  <si>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</si>
  <si>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</si>
  <si>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</si>
  <si>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</si>
  <si>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</si>
  <si>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</si>
  <si>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</si>
  <si>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</si>
  <si>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</si>
  <si>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</si>
  <si>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</si>
  <si>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</si>
  <si>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</si>
  <si>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</si>
  <si>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</si>
  <si>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</si>
  <si>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</si>
  <si>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</si>
  <si>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</si>
  <si>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</si>
  <si>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</si>
  <si>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</si>
  <si>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</si>
  <si>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</si>
  <si>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</si>
  <si>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</si>
  <si>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</si>
  <si>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</si>
  <si>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</si>
  <si>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</si>
  <si>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</si>
  <si>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</si>
  <si>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</si>
  <si>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</si>
  <si>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</si>
  <si>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</si>
  <si>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</si>
  <si>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</si>
  <si>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</si>
  <si>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</si>
  <si>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</si>
  <si>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</si>
  <si>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</si>
  <si>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</si>
  <si>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</si>
  <si>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</si>
  <si>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</si>
  <si>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</si>
  <si>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</si>
  <si>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</si>
  <si>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</si>
  <si>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</si>
  <si>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</si>
  <si>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</si>
  <si>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</si>
  <si>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</si>
  <si>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</si>
  <si>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</si>
  <si>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</si>
  <si>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</si>
  <si>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</si>
  <si>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</si>
  <si>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</si>
  <si>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</si>
  <si>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</si>
  <si>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</si>
  <si>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</si>
  <si>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</si>
  <si>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</si>
  <si>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</si>
  <si>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</si>
  <si>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</si>
  <si>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</si>
  <si>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</si>
  <si>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</si>
  <si>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</si>
  <si>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</si>
  <si>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</si>
  <si>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</si>
  <si>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</si>
  <si>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</si>
  <si>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</si>
  <si>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</si>
  <si>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</si>
  <si>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</si>
  <si>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</si>
  <si>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</si>
  <si>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</si>
  <si>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</si>
  <si>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</si>
  <si>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</si>
  <si>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</si>
  <si>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</si>
  <si>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</si>
  <si>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</si>
  <si>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</si>
  <si>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</si>
  <si>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</si>
  <si>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</si>
  <si>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</si>
  <si>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</si>
  <si>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</si>
  <si>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</si>
  <si>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</si>
  <si>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</si>
  <si>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</si>
  <si>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</si>
  <si>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</si>
  <si>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</si>
  <si>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</si>
  <si>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</si>
  <si>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</si>
  <si>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</si>
  <si>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</si>
  <si>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</si>
  <si>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</si>
  <si>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</si>
  <si>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</si>
  <si>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</si>
  <si>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</si>
  <si>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</si>
  <si>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</si>
  <si>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</si>
  <si>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</si>
  <si>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</si>
  <si>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</si>
  <si>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</si>
  <si>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</si>
  <si>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</si>
  <si>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</si>
  <si>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</si>
  <si>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</si>
  <si>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</si>
  <si>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</si>
  <si>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</si>
  <si>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</si>
  <si>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</si>
  <si>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</si>
  <si>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</si>
  <si>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</si>
  <si>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</si>
  <si>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</si>
  <si>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</si>
  <si>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</si>
  <si>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</si>
  <si>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</si>
  <si>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</si>
  <si>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</si>
  <si>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</si>
  <si>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</si>
  <si>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</si>
  <si>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</si>
  <si>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</si>
  <si>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</si>
  <si>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</si>
  <si>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</si>
  <si>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</si>
  <si>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</si>
  <si>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</si>
  <si>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</si>
  <si>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</si>
  <si>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</si>
  <si>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</si>
  <si>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</si>
  <si>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</si>
  <si>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</si>
  <si>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</si>
  <si>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</si>
  <si>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</si>
  <si>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</si>
  <si>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</si>
  <si>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</si>
  <si>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</si>
  <si>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</si>
  <si>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</si>
  <si>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</si>
  <si>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</si>
  <si>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</si>
  <si>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</si>
  <si>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</si>
  <si>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</si>
  <si>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</si>
  <si>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</si>
  <si>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</si>
  <si>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</si>
  <si>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</si>
  <si>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</si>
  <si>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</si>
  <si>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</si>
  <si>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</si>
  <si>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</si>
  <si>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</si>
  <si>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</si>
  <si>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</si>
  <si>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</si>
  <si>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</si>
  <si>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</si>
  <si>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</si>
  <si>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</si>
  <si>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</si>
  <si>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</si>
  <si>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</si>
  <si>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</si>
  <si>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</si>
  <si>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</si>
  <si>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</si>
  <si>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</si>
  <si>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</si>
  <si>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</si>
  <si>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</si>
  <si>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</si>
  <si>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</si>
  <si>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</si>
  <si>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</si>
  <si>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</si>
  <si>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</si>
  <si>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</si>
  <si>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</si>
  <si>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</si>
  <si>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</si>
  <si>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</si>
  <si>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</si>
  <si>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</si>
  <si>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</si>
  <si>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</si>
  <si>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</si>
  <si>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</si>
  <si>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</si>
  <si>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</si>
  <si>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</si>
  <si>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</si>
  <si>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</si>
  <si>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</si>
  <si>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</si>
  <si>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</si>
  <si>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</si>
  <si>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</si>
  <si>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</si>
  <si>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</si>
  <si>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</si>
  <si>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</si>
  <si>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</si>
  <si>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</si>
  <si>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</si>
  <si>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</si>
  <si>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</si>
  <si>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</si>
  <si>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</si>
  <si>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</si>
  <si>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</si>
  <si>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</si>
  <si>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</si>
  <si>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</si>
  <si>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</si>
  <si>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</si>
  <si>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</si>
  <si>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</si>
  <si>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</si>
  <si>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</si>
  <si>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</si>
  <si>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</si>
  <si>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</si>
  <si>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</si>
  <si>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</si>
  <si>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</si>
  <si>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</si>
  <si>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</si>
  <si>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</si>
  <si>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</si>
  <si>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</si>
  <si>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</si>
  <si>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</si>
  <si>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</si>
  <si>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</si>
  <si>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</si>
  <si>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</si>
  <si>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</si>
  <si>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</si>
  <si>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</si>
  <si>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</si>
  <si>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</si>
  <si>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</si>
  <si>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</si>
  <si>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</si>
  <si>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</si>
  <si>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</si>
  <si>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</si>
  <si>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</si>
  <si>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</si>
  <si>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</si>
  <si>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</si>
  <si>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</si>
  <si>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</si>
  <si>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</si>
  <si>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</si>
  <si>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</si>
  <si>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</si>
  <si>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</si>
  <si>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</si>
  <si>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</si>
  <si>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</si>
  <si>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</si>
  <si>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</si>
  <si>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</si>
  <si>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</si>
  <si>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</si>
  <si>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</si>
  <si>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</si>
  <si>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</si>
  <si>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</si>
  <si>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</si>
  <si>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</si>
  <si>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</si>
  <si>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</si>
  <si>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</si>
  <si>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</si>
  <si>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</si>
  <si>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</si>
  <si>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</si>
  <si>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</si>
  <si>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</si>
  <si>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</si>
  <si>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</si>
  <si>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</si>
  <si>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</si>
  <si>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</si>
  <si>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</si>
  <si>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</si>
  <si>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</si>
  <si>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</si>
  <si>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</si>
  <si>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</si>
  <si>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</si>
  <si>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</si>
  <si>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</si>
  <si>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</si>
  <si>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</si>
  <si>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</si>
  <si>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</si>
  <si>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</si>
  <si>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</si>
  <si>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</si>
  <si>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</si>
  <si>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</si>
  <si>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</si>
  <si>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</si>
  <si>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</si>
  <si>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</si>
  <si>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</si>
  <si>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</si>
  <si>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</si>
  <si>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</si>
  <si>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</si>
  <si>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</si>
  <si>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</si>
  <si>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</si>
  <si>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</si>
  <si>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</si>
  <si>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</si>
  <si>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</si>
  <si>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</si>
  <si>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</si>
  <si>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</si>
  <si>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</si>
  <si>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</si>
  <si>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</si>
  <si>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</si>
  <si>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</si>
  <si>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</si>
  <si>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</si>
  <si>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</si>
  <si>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</si>
  <si>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</si>
  <si>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</si>
  <si>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</si>
  <si>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</si>
  <si>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</si>
  <si>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</si>
  <si>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</si>
  <si>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</si>
  <si>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</si>
  <si>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</si>
  <si>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</si>
  <si>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</si>
  <si>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</si>
  <si>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</si>
  <si>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</si>
  <si>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</si>
  <si>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</si>
  <si>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</si>
  <si>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</si>
  <si>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</si>
  <si>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</si>
  <si>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</si>
  <si>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</si>
  <si>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</si>
  <si>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</si>
  <si>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</si>
  <si>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</si>
  <si>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</si>
  <si>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</si>
  <si>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</si>
  <si>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</si>
  <si>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</si>
  <si>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</si>
  <si>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</si>
  <si>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</si>
  <si>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</si>
  <si>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</si>
  <si>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</si>
  <si>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</si>
  <si>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</si>
  <si>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</si>
  <si>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</si>
  <si>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</si>
  <si>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</si>
  <si>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</si>
  <si>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</si>
  <si>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</si>
  <si>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</si>
  <si>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</si>
  <si>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</si>
  <si>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</si>
  <si>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</si>
  <si>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</si>
  <si>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</si>
  <si>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</si>
  <si>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</si>
  <si>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</si>
  <si>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</si>
  <si>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</si>
  <si>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</si>
  <si>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</si>
  <si>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</si>
  <si>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</si>
  <si>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</si>
  <si>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</si>
  <si>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</si>
  <si>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</si>
  <si>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</si>
  <si>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</si>
  <si>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</si>
  <si>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</si>
  <si>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</si>
  <si>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</si>
  <si>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</si>
  <si>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</si>
  <si>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</si>
  <si>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</si>
  <si>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</si>
  <si>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</si>
  <si>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</si>
  <si>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</si>
  <si>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</si>
  <si>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</si>
  <si>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</si>
  <si>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</si>
  <si>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</si>
  <si>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</si>
  <si>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</si>
  <si>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</si>
  <si>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</si>
  <si>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</si>
  <si>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</si>
  <si>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</si>
  <si>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</si>
  <si>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</si>
  <si>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</si>
  <si>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</si>
  <si>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</si>
  <si>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</si>
  <si>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</si>
  <si>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</si>
  <si>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</si>
  <si>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</si>
  <si>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</si>
  <si>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</si>
  <si>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</si>
  <si>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</si>
  <si>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</si>
  <si>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</si>
  <si>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</si>
  <si>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</si>
  <si>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</si>
  <si>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</si>
  <si>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</si>
  <si>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</si>
  <si>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</si>
  <si>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</si>
  <si>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</si>
  <si>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</si>
  <si>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</si>
  <si>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</si>
  <si>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</si>
  <si>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</si>
  <si>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</si>
  <si>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</si>
  <si>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</si>
  <si>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</si>
  <si>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</si>
  <si>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</si>
  <si>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</si>
  <si>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</si>
  <si>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</si>
  <si>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</si>
  <si>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</si>
  <si>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</si>
  <si>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</si>
  <si>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</si>
  <si>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</si>
  <si>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</si>
  <si>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</si>
  <si>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</si>
  <si>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</si>
  <si>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</si>
  <si>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</si>
  <si>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</si>
  <si>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</si>
  <si>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</si>
  <si>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</si>
  <si>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</si>
  <si>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</si>
  <si>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</si>
  <si>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</si>
  <si>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</si>
  <si>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</si>
  <si>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</si>
  <si>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</si>
  <si>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</si>
  <si>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</si>
  <si>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</si>
  <si>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</si>
  <si>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</si>
  <si>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</si>
  <si>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</si>
  <si>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</si>
  <si>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</si>
  <si>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</si>
  <si>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</si>
  <si>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</si>
  <si>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</si>
  <si>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</si>
  <si>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</si>
  <si>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</si>
  <si>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</si>
  <si>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</si>
  <si>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</si>
  <si>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</si>
  <si>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</si>
  <si>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</si>
  <si>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</si>
  <si>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</si>
  <si>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</si>
  <si>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</si>
  <si>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</si>
  <si>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</si>
  <si>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</si>
  <si>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</si>
  <si>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</si>
  <si>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</si>
  <si>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</si>
  <si>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</si>
  <si>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</si>
  <si>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</si>
  <si>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</si>
  <si>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</si>
  <si>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</si>
  <si>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</si>
  <si>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</si>
  <si>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</si>
  <si>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</si>
  <si>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</si>
  <si>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</si>
  <si>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</si>
  <si>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</si>
  <si>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</si>
  <si>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</si>
  <si>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</si>
  <si>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</si>
  <si>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</si>
  <si>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</si>
  <si>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</si>
  <si>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</si>
  <si>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</si>
  <si>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</si>
  <si>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</si>
  <si>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</si>
  <si>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</si>
  <si>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</si>
  <si>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</si>
  <si>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</si>
  <si>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</si>
  <si>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</si>
  <si>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</si>
  <si>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</si>
  <si>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</si>
  <si>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</si>
  <si>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</si>
  <si>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</si>
  <si>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</si>
  <si>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</si>
  <si>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</si>
  <si>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</si>
  <si>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</si>
  <si>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</si>
  <si>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</si>
  <si>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</si>
  <si>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</si>
  <si>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</si>
  <si>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</si>
  <si>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</si>
  <si>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</si>
  <si>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</si>
  <si>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</si>
  <si>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</si>
  <si>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</si>
  <si>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</si>
  <si>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</si>
  <si>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</si>
  <si>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</si>
  <si>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</si>
  <si>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</si>
  <si>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</si>
  <si>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</si>
  <si>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</si>
  <si>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</si>
  <si>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</si>
  <si>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</si>
  <si>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</si>
  <si>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</si>
  <si>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</si>
  <si>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</si>
  <si>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</si>
  <si>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</si>
  <si>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</si>
  <si>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</si>
  <si>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</si>
  <si>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</si>
  <si>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</si>
  <si>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</si>
  <si>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</si>
  <si>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</si>
  <si>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</si>
  <si>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</si>
  <si>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</si>
  <si>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</si>
  <si>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</si>
  <si>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</si>
  <si>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</si>
  <si>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</si>
  <si>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</si>
  <si>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</si>
  <si>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</si>
  <si>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</si>
  <si>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</si>
  <si>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</si>
  <si>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</si>
  <si>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</si>
  <si>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</si>
  <si>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</si>
  <si>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</si>
  <si>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</si>
  <si>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</si>
  <si>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</si>
  <si>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</si>
  <si>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</si>
  <si>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</si>
  <si>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</si>
  <si>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</si>
  <si>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</si>
  <si>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</si>
  <si>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</si>
  <si>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</si>
  <si>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</si>
  <si>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</si>
  <si>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</si>
  <si>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</si>
  <si>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</si>
  <si>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</si>
  <si>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</si>
  <si>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</si>
  <si>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</si>
  <si>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</si>
  <si>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</si>
  <si>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</si>
  <si>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</si>
  <si>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</si>
  <si>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</si>
  <si>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</si>
  <si>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</si>
  <si>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</si>
  <si>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</si>
  <si>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</si>
  <si>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</si>
  <si>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</si>
  <si>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</si>
  <si>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</si>
  <si>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</si>
  <si>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</si>
  <si>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</si>
  <si>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</si>
  <si>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</si>
  <si>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</si>
  <si>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</si>
  <si>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</si>
  <si>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</si>
  <si>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</si>
  <si>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</si>
  <si>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</si>
  <si>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</si>
  <si>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</si>
  <si>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</si>
  <si>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</si>
  <si>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</si>
  <si>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</si>
  <si>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</si>
  <si>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</si>
  <si>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</si>
  <si>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</si>
  <si>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</si>
  <si>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</si>
  <si>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</si>
  <si>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</si>
  <si>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</si>
  <si>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</si>
  <si>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</si>
  <si>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</si>
  <si>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</si>
  <si>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</si>
  <si>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</si>
  <si>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</si>
  <si>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</si>
  <si>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</si>
  <si>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</si>
  <si>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</si>
  <si>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</si>
  <si>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</si>
  <si>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</si>
  <si>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</si>
  <si>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</si>
  <si>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</si>
  <si>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</si>
  <si>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</si>
  <si>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</si>
  <si>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</si>
  <si>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</si>
  <si>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</si>
  <si>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</si>
  <si>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</si>
  <si>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</si>
  <si>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</si>
  <si>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</si>
  <si>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</si>
  <si>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</si>
  <si>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</si>
  <si>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</si>
  <si>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</si>
  <si>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</si>
  <si>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</si>
  <si>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</si>
  <si>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</si>
  <si>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</si>
  <si>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</si>
  <si>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</si>
  <si>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</si>
  <si>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</si>
  <si>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</si>
  <si>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</si>
  <si>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</si>
  <si>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</si>
  <si>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</si>
  <si>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</si>
  <si>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</si>
  <si>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</si>
  <si>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</si>
  <si>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</si>
  <si>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</si>
  <si>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</si>
  <si>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</si>
  <si>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</si>
  <si>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</si>
  <si>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</si>
  <si>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</si>
  <si>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</si>
  <si>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</si>
  <si>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</si>
  <si>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</si>
  <si>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</si>
  <si>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</si>
  <si>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</si>
  <si>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</si>
  <si>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</si>
  <si>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</si>
  <si>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</si>
  <si>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</si>
  <si>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</si>
  <si>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</si>
  <si>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</si>
  <si>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</si>
  <si>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</si>
  <si>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</si>
  <si>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</si>
  <si>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</si>
  <si>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</si>
  <si>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</si>
  <si>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</si>
  <si>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</si>
  <si>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</si>
  <si>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</si>
  <si>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</si>
  <si>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</si>
  <si>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</si>
  <si>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</si>
  <si>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</si>
  <si>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</si>
  <si>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</si>
  <si>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</si>
  <si>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</si>
  <si>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</si>
  <si>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</si>
  <si>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</si>
  <si>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</si>
  <si>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</si>
  <si>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</si>
  <si>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</si>
  <si>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</si>
  <si>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</si>
  <si>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</si>
  <si>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</si>
  <si>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</si>
  <si>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</si>
  <si>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</si>
  <si>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</si>
  <si>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</si>
  <si>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</si>
  <si>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</si>
  <si>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</si>
  <si>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</si>
  <si>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</si>
  <si>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</si>
  <si>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</si>
  <si>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</si>
  <si>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</si>
  <si>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</si>
  <si>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</si>
  <si>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</si>
  <si>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</si>
  <si>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</si>
  <si>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</si>
  <si>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</si>
  <si>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</si>
  <si>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</si>
  <si>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</si>
  <si>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</si>
  <si>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</si>
  <si>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</si>
  <si>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</si>
  <si>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</si>
  <si>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</si>
  <si>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</si>
  <si>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</si>
  <si>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</si>
  <si>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</si>
  <si>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</si>
  <si>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</si>
  <si>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</si>
  <si>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</si>
  <si>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</si>
  <si>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</si>
  <si>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</si>
  <si>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</si>
  <si>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</si>
  <si>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</si>
  <si>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</si>
  <si>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</si>
  <si>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</si>
  <si>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</si>
  <si>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</si>
  <si>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</si>
  <si>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</si>
  <si>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</si>
  <si>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</si>
  <si>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</si>
  <si>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</si>
  <si>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</si>
  <si>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</si>
  <si>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</si>
  <si>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</si>
  <si>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</si>
  <si>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</si>
  <si>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</si>
  <si>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</si>
  <si>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</si>
  <si>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</si>
  <si>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</si>
  <si>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</si>
  <si>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</si>
  <si>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</si>
  <si>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</si>
  <si>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</si>
  <si>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</si>
  <si>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</si>
  <si>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</si>
  <si>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</si>
  <si>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</si>
  <si>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</si>
  <si>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</si>
  <si>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</si>
  <si>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</si>
  <si>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</si>
  <si>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</si>
  <si>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</si>
  <si>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</si>
  <si>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</si>
  <si>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</si>
  <si>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</si>
  <si>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</si>
  <si>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</si>
  <si>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</si>
  <si>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</si>
  <si>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</si>
  <si>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</si>
  <si>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</si>
  <si>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</si>
  <si>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</si>
  <si>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</si>
  <si>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</si>
  <si>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</si>
  <si>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</si>
  <si>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</si>
  <si>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</si>
  <si>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</si>
  <si>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</si>
  <si>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</si>
  <si>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</si>
  <si>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</si>
  <si>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</si>
  <si>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</si>
  <si>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</si>
  <si>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</si>
  <si>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</si>
  <si>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</si>
  <si>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</si>
  <si>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</si>
  <si>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</si>
  <si>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</si>
  <si>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</si>
  <si>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</si>
  <si>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</si>
  <si>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</si>
  <si>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</si>
  <si>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</si>
  <si>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</si>
  <si>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</si>
  <si>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</si>
  <si>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</si>
  <si>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</si>
  <si>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</si>
  <si>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</si>
  <si>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</si>
  <si>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</si>
  <si>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</si>
  <si>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</si>
  <si>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</si>
  <si>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</si>
  <si>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</si>
  <si>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</si>
  <si>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</si>
  <si>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</si>
  <si>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</si>
  <si>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</si>
  <si>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</si>
  <si>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</si>
  <si>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</si>
  <si>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</si>
  <si>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</si>
  <si>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</si>
  <si>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</si>
  <si>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</si>
  <si>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</si>
  <si>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</si>
  <si>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</si>
  <si>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</si>
  <si>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</si>
  <si>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</si>
  <si>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</si>
  <si>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</si>
  <si>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</si>
  <si>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</si>
  <si>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</si>
  <si>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</si>
  <si>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</si>
  <si>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</si>
  <si>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</si>
  <si>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</si>
  <si>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</si>
  <si>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</si>
  <si>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</si>
  <si>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</si>
  <si>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</si>
  <si>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</si>
  <si>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</si>
  <si>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</si>
  <si>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</si>
  <si>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</si>
  <si>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</si>
  <si>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</si>
  <si>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</si>
  <si>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</si>
  <si>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</si>
  <si>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</si>
  <si>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</si>
  <si>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</si>
  <si>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</si>
  <si>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</si>
  <si>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</si>
  <si>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</si>
  <si>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</si>
  <si>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</si>
  <si>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</si>
  <si>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</si>
  <si>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</si>
  <si>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</si>
  <si>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</si>
  <si>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</si>
  <si>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</si>
  <si>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</si>
  <si>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</si>
  <si>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</si>
  <si>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</si>
  <si>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</si>
  <si>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</si>
  <si>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</si>
  <si>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</si>
  <si>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</si>
  <si>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</si>
  <si>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</si>
  <si>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</si>
  <si>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</si>
  <si>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</si>
  <si>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</si>
  <si>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</si>
  <si>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</si>
  <si>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</si>
  <si>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</si>
  <si>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</si>
  <si>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</si>
  <si>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</si>
  <si>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</si>
  <si>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</si>
  <si>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</si>
  <si>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</si>
  <si>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</si>
  <si>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</si>
  <si>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</si>
  <si>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</si>
  <si>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</si>
  <si>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</si>
  <si>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</si>
  <si>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</si>
  <si>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</si>
  <si>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</si>
  <si>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</si>
  <si>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</si>
  <si>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</si>
  <si>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</si>
  <si>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</si>
  <si>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</si>
  <si>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</si>
  <si>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</si>
  <si>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</si>
  <si>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</si>
  <si>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</si>
  <si>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</si>
  <si>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</si>
  <si>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</si>
  <si>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</si>
  <si>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</si>
  <si>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</si>
  <si>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</si>
  <si>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</si>
  <si>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</si>
  <si>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</si>
  <si>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</si>
  <si>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</si>
  <si>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</si>
  <si>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</si>
  <si>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</si>
  <si>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</si>
  <si>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</si>
  <si>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</si>
  <si>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</si>
  <si>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</si>
  <si>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</si>
  <si>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</si>
  <si>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</si>
  <si>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</si>
  <si>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</si>
  <si>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</si>
  <si>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</si>
  <si>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</si>
  <si>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</si>
  <si>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</si>
  <si>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</si>
  <si>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</si>
  <si>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</si>
  <si>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</si>
  <si>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</si>
  <si>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</si>
  <si>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</si>
  <si>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</si>
  <si>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</si>
  <si>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</si>
  <si>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</si>
  <si>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</si>
  <si>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</si>
  <si>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</si>
  <si>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</si>
  <si>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</si>
  <si>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</si>
  <si>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</si>
  <si>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</si>
  <si>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</si>
  <si>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</si>
  <si>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</si>
  <si>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</si>
  <si>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</si>
  <si>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</si>
  <si>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</si>
  <si>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</si>
  <si>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</si>
  <si>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</si>
  <si>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</si>
  <si>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</si>
  <si>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</si>
  <si>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</si>
  <si>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</si>
  <si>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</si>
  <si>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</si>
  <si>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</si>
  <si>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</si>
  <si>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</si>
  <si>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</si>
  <si>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</si>
  <si>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</si>
  <si>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</si>
  <si>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</si>
  <si>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</si>
  <si>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</si>
  <si>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</si>
  <si>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</si>
  <si>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</si>
  <si>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</si>
  <si>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</si>
  <si>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</si>
  <si>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</si>
  <si>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</si>
  <si>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</si>
  <si>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</si>
  <si>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</si>
  <si>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</si>
  <si>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</si>
  <si>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</si>
  <si>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</si>
  <si>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</si>
  <si>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</si>
  <si>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</si>
  <si>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</si>
  <si>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</si>
  <si>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</si>
  <si>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</si>
  <si>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</si>
  <si>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</si>
  <si>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</si>
  <si>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</si>
  <si>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</si>
  <si>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</si>
  <si>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</si>
  <si>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</si>
  <si>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</si>
  <si>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</si>
  <si>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</si>
  <si>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</si>
  <si>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</si>
  <si>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</si>
  <si>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</si>
  <si>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</si>
  <si>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</si>
  <si>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</si>
  <si>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</si>
  <si>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</si>
  <si>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</si>
  <si>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</si>
  <si>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</si>
  <si>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</si>
  <si>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</si>
  <si>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</si>
  <si>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</si>
  <si>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</si>
  <si>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</si>
  <si>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</si>
  <si>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</si>
  <si>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</si>
  <si>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</si>
  <si>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</si>
  <si>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</si>
  <si>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</si>
  <si>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</si>
  <si>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</si>
  <si>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</si>
  <si>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</si>
  <si>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</si>
  <si>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</si>
  <si>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</si>
  <si>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</si>
  <si>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</si>
  <si>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</si>
  <si>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</si>
  <si>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</si>
  <si>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</si>
  <si>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</si>
  <si>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</si>
  <si>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</si>
  <si>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</si>
  <si>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</si>
  <si>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</si>
  <si>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</si>
  <si>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</si>
  <si>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</si>
  <si>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</si>
  <si>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</si>
  <si>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</si>
  <si>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</si>
  <si>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</si>
  <si>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</si>
  <si>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</si>
  <si>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</si>
  <si>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</si>
  <si>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</si>
  <si>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</si>
  <si>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</si>
  <si>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</si>
  <si>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</si>
  <si>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</si>
  <si>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</si>
  <si>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</si>
  <si>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</si>
  <si>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</si>
  <si>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</si>
  <si>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</si>
  <si>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</si>
  <si>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</si>
  <si>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</si>
  <si>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</si>
  <si>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</si>
  <si>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</si>
  <si>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</si>
  <si>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</si>
  <si>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</si>
  <si>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</si>
  <si>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</si>
  <si>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</si>
  <si>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</si>
  <si>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</si>
  <si>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</si>
  <si>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</si>
  <si>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</si>
  <si>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</si>
  <si>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</si>
  <si>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</si>
  <si>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</si>
  <si>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</si>
  <si>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</si>
  <si>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</si>
  <si>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</si>
  <si>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</si>
  <si>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</si>
  <si>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</si>
  <si>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</si>
  <si>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</si>
  <si>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</si>
  <si>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</si>
  <si>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</si>
  <si>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</si>
  <si>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</si>
  <si>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</si>
  <si>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</si>
  <si>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</si>
  <si>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</si>
  <si>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</si>
  <si>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</si>
  <si>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</si>
  <si>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</si>
  <si>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</si>
  <si>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</si>
  <si>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</si>
  <si>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</si>
  <si>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</si>
  <si>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</si>
  <si>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</si>
  <si>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</si>
  <si>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</si>
  <si>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</si>
  <si>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</si>
  <si>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</si>
  <si>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</si>
  <si>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</si>
  <si>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</si>
  <si>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</si>
  <si>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</si>
  <si>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</si>
  <si>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</si>
  <si>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</si>
  <si>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</si>
  <si>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</si>
  <si>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</si>
  <si>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</si>
  <si>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</si>
  <si>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</si>
  <si>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</si>
  <si>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</si>
  <si>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</si>
  <si>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</si>
  <si>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</si>
  <si>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</si>
  <si>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</si>
  <si>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</si>
  <si>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</si>
  <si>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</si>
  <si>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</si>
  <si>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</si>
  <si>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</si>
  <si>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</si>
  <si>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</si>
  <si>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</si>
  <si>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</si>
  <si>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</si>
  <si>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</si>
  <si>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</si>
  <si>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</si>
  <si>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</si>
  <si>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</si>
  <si>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</si>
  <si>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</si>
  <si>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</si>
  <si>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</si>
  <si>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</si>
  <si>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</si>
  <si>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</si>
  <si>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</si>
  <si>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</si>
  <si>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</si>
  <si>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</si>
  <si>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</si>
  <si>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</si>
  <si>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</si>
  <si>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</si>
  <si>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</si>
  <si>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</si>
  <si>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</si>
  <si>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</si>
  <si>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</si>
  <si>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</si>
  <si>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</si>
  <si>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</si>
  <si>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</si>
  <si>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</si>
  <si>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</si>
  <si>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</si>
  <si>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</si>
  <si>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</si>
  <si>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</si>
  <si>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</si>
  <si>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</si>
  <si>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</si>
  <si>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</si>
  <si>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</si>
  <si>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</si>
  <si>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</si>
  <si>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</si>
  <si>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</si>
  <si>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</si>
  <si>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</si>
  <si>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</si>
  <si>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</si>
  <si>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</si>
  <si>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</si>
  <si>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</si>
  <si>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</si>
  <si>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</si>
  <si>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</si>
  <si>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</si>
  <si>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</si>
  <si>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</si>
  <si>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</si>
  <si>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</si>
  <si>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</si>
  <si>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</si>
  <si>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</si>
  <si>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</si>
  <si>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</si>
  <si>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</si>
  <si>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</si>
  <si>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</si>
  <si>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</si>
  <si>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</si>
  <si>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</si>
  <si>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</si>
  <si>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</si>
  <si>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</si>
  <si>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</si>
  <si>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</si>
  <si>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</si>
  <si>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</si>
  <si>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</si>
  <si>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</si>
  <si>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</si>
  <si>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</si>
  <si>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</si>
  <si>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</si>
  <si>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</si>
  <si>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</si>
  <si>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</si>
  <si>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</si>
  <si>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</si>
  <si>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</si>
  <si>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</si>
  <si>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</si>
  <si>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</si>
  <si>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</si>
  <si>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</si>
  <si>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</si>
  <si>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</si>
  <si>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</si>
  <si>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</si>
  <si>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</si>
  <si>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</si>
  <si>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</si>
  <si>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</si>
  <si>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</si>
  <si>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</si>
  <si>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</si>
  <si>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</si>
  <si>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</si>
  <si>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</si>
  <si>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</si>
  <si>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</si>
  <si>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</si>
  <si>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</si>
  <si>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</si>
  <si>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</si>
  <si>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</si>
  <si>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</si>
  <si>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</si>
  <si>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</si>
  <si>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</si>
  <si>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</si>
  <si>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</si>
  <si>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</si>
  <si>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</si>
  <si>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</si>
  <si>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</si>
  <si>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</si>
  <si>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</si>
  <si>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</si>
  <si>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</si>
  <si>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</si>
  <si>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</si>
  <si>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</si>
  <si>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</si>
  <si>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</si>
  <si>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</si>
  <si>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</si>
  <si>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</si>
  <si>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</si>
  <si>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</si>
  <si>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</si>
  <si>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</si>
  <si>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</si>
  <si>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</si>
  <si>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</si>
  <si>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</si>
  <si>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</si>
  <si>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</si>
  <si>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</si>
  <si>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</si>
  <si>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</si>
  <si>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</si>
  <si>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</si>
  <si>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</si>
  <si>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</si>
  <si>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</si>
  <si>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</si>
  <si>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</si>
  <si>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</si>
  <si>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</si>
  <si>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</si>
  <si>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</si>
  <si>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</si>
  <si>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</si>
  <si>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</si>
  <si>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</si>
  <si>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</si>
  <si>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</si>
  <si>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</si>
  <si>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</si>
  <si>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</si>
  <si>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</si>
  <si>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</si>
  <si>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</si>
  <si>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</si>
  <si>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</si>
  <si>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</si>
  <si>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</si>
  <si>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</si>
  <si>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</si>
  <si>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</si>
  <si>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</si>
  <si>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</si>
  <si>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</si>
  <si>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</si>
  <si>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</si>
  <si>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</si>
  <si>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</si>
  <si>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</si>
  <si>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</si>
  <si>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</si>
  <si>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</si>
  <si>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</si>
  <si>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</si>
  <si>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</si>
  <si>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</si>
  <si>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</si>
  <si>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</si>
  <si>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</si>
  <si>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</si>
  <si>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</si>
  <si>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</si>
  <si>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</si>
  <si>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</si>
  <si>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</si>
  <si>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</si>
  <si>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</si>
  <si>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</si>
  <si>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</si>
  <si>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</si>
  <si>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</si>
  <si>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</si>
  <si>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</si>
  <si>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</si>
  <si>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</si>
  <si>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</si>
  <si>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</si>
  <si>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</si>
  <si>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</si>
  <si>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</si>
  <si>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</si>
  <si>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</si>
  <si>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</si>
  <si>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</si>
  <si>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</si>
  <si>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</si>
  <si>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</si>
  <si>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</si>
  <si>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</si>
  <si>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</si>
  <si>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</si>
  <si>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</si>
  <si>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</si>
  <si>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</si>
  <si>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</si>
  <si>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</si>
  <si>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</si>
  <si>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</si>
  <si>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</si>
  <si>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</si>
  <si>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</si>
  <si>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</si>
  <si>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</si>
  <si>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</si>
  <si>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</si>
  <si>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</si>
  <si>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</si>
  <si>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</si>
  <si>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</si>
  <si>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</si>
  <si>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</si>
  <si>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</si>
  <si>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</si>
  <si>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</si>
  <si>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</si>
  <si>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</si>
  <si>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</si>
  <si>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</si>
  <si>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</si>
  <si>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</si>
  <si>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</si>
  <si>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</si>
  <si>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</si>
  <si>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</si>
  <si>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</si>
  <si>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</si>
  <si>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</si>
  <si>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</si>
  <si>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</si>
  <si>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</si>
  <si>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</si>
  <si>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</si>
  <si>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</si>
  <si>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</si>
  <si>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</si>
  <si>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</si>
  <si>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</si>
  <si>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</si>
  <si>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</si>
  <si>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</si>
  <si>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</si>
  <si>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</si>
  <si>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</si>
  <si>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</si>
  <si>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</si>
  <si>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</si>
  <si>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</si>
  <si>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</si>
  <si>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</si>
  <si>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</si>
  <si>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</si>
  <si>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</si>
  <si>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</si>
  <si>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</si>
  <si>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</si>
  <si>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</si>
  <si>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</si>
  <si>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</si>
  <si>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</si>
  <si>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</si>
  <si>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</si>
  <si>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</si>
  <si>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</si>
  <si>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</si>
  <si>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</si>
  <si>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</si>
  <si>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</si>
  <si>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</si>
  <si>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</si>
  <si>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</si>
  <si>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</si>
  <si>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</si>
  <si>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</si>
  <si>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</si>
  <si>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</si>
  <si>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</si>
  <si>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</si>
  <si>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</si>
  <si>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</si>
  <si>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</si>
  <si>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</si>
  <si>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</si>
  <si>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</si>
  <si>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</si>
  <si>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</si>
  <si>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</si>
  <si>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</si>
  <si>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</si>
  <si>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</si>
  <si>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</si>
  <si>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</si>
  <si>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</si>
  <si>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</si>
  <si>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</si>
  <si>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</si>
  <si>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</si>
  <si>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</si>
  <si>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</si>
  <si>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</si>
  <si>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</si>
  <si>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</si>
  <si>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</si>
  <si>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</si>
  <si>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</si>
  <si>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</si>
  <si>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</si>
  <si>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</si>
  <si>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</si>
  <si>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</si>
  <si>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</si>
  <si>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</si>
  <si>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</si>
  <si>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</si>
  <si>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</si>
  <si>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</si>
  <si>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</si>
  <si>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</si>
  <si>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</si>
  <si>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</si>
  <si>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</si>
  <si>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</si>
  <si>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</si>
  <si>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</si>
  <si>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</si>
  <si>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</si>
  <si>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</si>
  <si>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</si>
  <si>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</si>
  <si>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</si>
  <si>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</si>
  <si>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</si>
  <si>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</si>
  <si>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</si>
  <si>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</si>
  <si>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</si>
  <si>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</si>
  <si>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</si>
  <si>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</si>
  <si>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</si>
  <si>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</si>
  <si>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</si>
  <si>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</si>
  <si>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</si>
  <si>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</si>
  <si>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</si>
  <si>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</si>
  <si>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</si>
  <si>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</si>
  <si>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</si>
  <si>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</si>
  <si>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</si>
  <si>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</si>
  <si>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</si>
  <si>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</si>
  <si>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</si>
  <si>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</si>
  <si>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</si>
  <si>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</si>
  <si>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</si>
  <si>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</si>
  <si>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</si>
  <si>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</si>
  <si>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</si>
  <si>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</si>
  <si>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</si>
  <si>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</si>
  <si>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</si>
  <si>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</si>
  <si>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</si>
  <si>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</si>
  <si>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</si>
  <si>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</si>
  <si>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</si>
  <si>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</si>
  <si>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</si>
  <si>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</si>
  <si>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</si>
  <si>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</si>
  <si>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</si>
  <si>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</si>
  <si>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</si>
  <si>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</si>
  <si>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</si>
  <si>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</si>
  <si>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</si>
  <si>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</si>
  <si>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</si>
  <si>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</si>
  <si>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</si>
  <si>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</si>
  <si>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</si>
  <si>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</si>
  <si>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</si>
  <si>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</si>
  <si>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</si>
  <si>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</si>
  <si>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</si>
  <si>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</si>
  <si>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</si>
  <si>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</si>
  <si>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</si>
  <si>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</si>
  <si>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</si>
  <si>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</si>
  <si>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</si>
  <si>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</si>
  <si>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</si>
  <si>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</si>
  <si>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</si>
  <si>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</si>
  <si>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</si>
  <si>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</si>
  <si>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</si>
  <si>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</si>
  <si>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</si>
  <si>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</si>
  <si>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</si>
  <si>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</si>
  <si>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</si>
  <si>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</si>
  <si>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</si>
  <si>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</si>
  <si>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</si>
  <si>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</si>
  <si>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</si>
  <si>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</si>
  <si>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</si>
  <si>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</si>
  <si>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</si>
  <si>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</si>
  <si>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</si>
  <si>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</si>
  <si>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</si>
  <si>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</si>
  <si>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</si>
  <si>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</si>
  <si>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</si>
  <si>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</si>
  <si>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</si>
  <si>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</si>
  <si>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</si>
  <si>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</si>
  <si>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</si>
  <si>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</si>
  <si>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</si>
  <si>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</si>
  <si>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</si>
  <si>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</si>
  <si>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</si>
  <si>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</si>
  <si>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</si>
  <si>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</si>
  <si>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</si>
  <si>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</si>
  <si>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</si>
  <si>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</si>
  <si>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</si>
  <si>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</si>
  <si>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</si>
  <si>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</si>
  <si>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</si>
  <si>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</si>
  <si>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</si>
  <si>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</si>
  <si>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</si>
  <si>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</si>
  <si>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</si>
  <si>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</si>
  <si>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</si>
  <si>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</si>
  <si>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</si>
  <si>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</si>
  <si>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</si>
  <si>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</si>
  <si>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</si>
  <si>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</si>
  <si>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</si>
  <si>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</si>
  <si>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</si>
  <si>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</si>
  <si>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</si>
  <si>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</si>
  <si>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</si>
  <si>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</si>
  <si>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</si>
  <si>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</si>
  <si>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</si>
  <si>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</si>
  <si>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</si>
  <si>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</si>
  <si>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</si>
  <si>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</si>
  <si>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</si>
  <si>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</si>
  <si>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</si>
  <si>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</si>
  <si>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</si>
  <si>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</si>
  <si>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</si>
  <si>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</si>
  <si>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</si>
  <si>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</si>
  <si>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</si>
  <si>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</si>
  <si>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</si>
  <si>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</si>
  <si>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</si>
  <si>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</si>
  <si>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</si>
  <si>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</si>
  <si>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</si>
  <si>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</si>
  <si>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</si>
  <si>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</si>
  <si>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</si>
  <si>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</si>
  <si>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</si>
  <si>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</si>
  <si>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</si>
  <si>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</si>
  <si>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</si>
  <si>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</si>
  <si>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</si>
  <si>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</si>
  <si>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</si>
  <si>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</si>
  <si>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</si>
  <si>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</si>
  <si>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</si>
  <si>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</si>
  <si>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</si>
  <si>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</si>
  <si>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</si>
  <si>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</si>
  <si>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</si>
  <si>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</si>
  <si>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</si>
  <si>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</si>
  <si>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</si>
  <si>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</si>
  <si>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</si>
  <si>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</si>
  <si>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</si>
  <si>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</si>
  <si>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</si>
  <si>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</si>
  <si>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</si>
  <si>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</si>
  <si>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</si>
  <si>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</si>
  <si>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</si>
  <si>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</si>
  <si>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</si>
  <si>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</si>
  <si>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</si>
  <si>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</si>
  <si>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</si>
  <si>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</si>
  <si>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</si>
  <si>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</si>
  <si>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</si>
  <si>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</si>
  <si>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</si>
  <si>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</si>
  <si>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</si>
  <si>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</si>
  <si>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</si>
  <si>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</si>
  <si>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</si>
  <si>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</si>
  <si>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</si>
  <si>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</si>
  <si>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</si>
  <si>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</si>
  <si>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</si>
  <si>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</si>
  <si>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</si>
  <si>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</si>
  <si>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</si>
  <si>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</si>
  <si>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</si>
  <si>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</si>
  <si>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</si>
  <si>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</si>
  <si>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</si>
  <si>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</si>
  <si>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</si>
  <si>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</si>
  <si>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</si>
  <si>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</si>
  <si>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</si>
  <si>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</si>
  <si>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</si>
  <si>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</si>
  <si>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</si>
  <si>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</si>
  <si>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</si>
  <si>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</si>
  <si>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</si>
  <si>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</si>
  <si>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</si>
  <si>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</si>
  <si>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</si>
  <si>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</si>
  <si>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</si>
  <si>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</si>
  <si>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</si>
  <si>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</si>
  <si>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</si>
  <si>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</si>
  <si>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</si>
  <si>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</si>
  <si>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</si>
  <si>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</si>
  <si>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</si>
  <si>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</si>
  <si>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</si>
  <si>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</si>
  <si>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</si>
  <si>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</si>
  <si>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</si>
  <si>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</si>
  <si>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</si>
  <si>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</si>
  <si>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</si>
  <si>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</si>
  <si>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</si>
  <si>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</si>
  <si>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</si>
  <si>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</si>
  <si>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</si>
  <si>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</si>
  <si>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</si>
  <si>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</si>
  <si>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</si>
  <si>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</si>
  <si>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</si>
  <si>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</si>
  <si>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</si>
  <si>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</si>
  <si>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</si>
  <si>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</si>
  <si>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</si>
  <si>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</si>
  <si>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</si>
  <si>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</si>
  <si>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</si>
  <si>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</si>
  <si>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</si>
  <si>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</si>
  <si>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</si>
  <si>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</si>
  <si>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</si>
  <si>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</si>
  <si>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</si>
  <si>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</si>
  <si>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</si>
  <si>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</si>
  <si>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</si>
  <si>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</si>
  <si>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</si>
  <si>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</si>
  <si>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</si>
  <si>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</si>
  <si>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</si>
  <si>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</si>
  <si>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</si>
  <si>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</si>
  <si>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</si>
  <si>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</si>
  <si>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</si>
  <si>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</si>
  <si>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</si>
  <si>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</si>
  <si>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</si>
  <si>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</si>
  <si>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</si>
  <si>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</si>
  <si>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</si>
  <si>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</si>
  <si>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</si>
  <si>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</si>
  <si>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</si>
  <si>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</si>
  <si>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</si>
  <si>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</si>
  <si>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</si>
  <si>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</si>
  <si>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</si>
  <si>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</si>
  <si>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</si>
  <si>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</si>
  <si>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</si>
  <si>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</si>
  <si>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</si>
  <si>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</si>
  <si>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</si>
  <si>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</si>
  <si>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</si>
  <si>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</si>
  <si>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</si>
  <si>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</si>
  <si>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</si>
  <si>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</si>
  <si>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</si>
  <si>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</si>
  <si>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</si>
  <si>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</si>
  <si>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</si>
  <si>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</si>
  <si>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</si>
  <si>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</si>
  <si>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</si>
  <si>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</si>
  <si>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</si>
  <si>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</si>
  <si>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</si>
  <si>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</si>
  <si>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</si>
  <si>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</si>
  <si>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</si>
  <si>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</si>
  <si>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</si>
  <si>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</si>
  <si>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</si>
  <si>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</si>
  <si>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</si>
  <si>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</si>
  <si>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</si>
  <si>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</si>
  <si>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</si>
  <si>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</si>
  <si>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</si>
  <si>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</si>
  <si>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</si>
  <si>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</si>
  <si>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</si>
  <si>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</si>
  <si>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</si>
  <si>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</si>
  <si>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</si>
  <si>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</si>
  <si>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</si>
  <si>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</si>
  <si>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</si>
  <si>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</si>
  <si>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</si>
  <si>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</si>
  <si>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</si>
  <si>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</si>
  <si>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</si>
  <si>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</si>
  <si>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</si>
  <si>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</si>
  <si>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</si>
  <si>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</si>
  <si>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</si>
  <si>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</si>
  <si>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</si>
  <si>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</si>
  <si>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</si>
  <si>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</si>
  <si>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</si>
  <si>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</si>
  <si>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</si>
  <si>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</si>
  <si>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</si>
  <si>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</si>
  <si>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</si>
  <si>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</si>
  <si>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</si>
  <si>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</si>
  <si>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</si>
  <si>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</si>
  <si>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</si>
  <si>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</si>
  <si>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</si>
  <si>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</si>
  <si>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</si>
  <si>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</si>
  <si>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</si>
  <si>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</si>
  <si>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</si>
  <si>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</si>
  <si>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</si>
  <si>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</si>
  <si>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</si>
  <si>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</si>
  <si>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</si>
  <si>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</si>
  <si>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</si>
  <si>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</si>
  <si>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</si>
  <si>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</si>
  <si>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</si>
  <si>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</si>
  <si>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</si>
  <si>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</si>
  <si>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</si>
  <si>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</si>
  <si>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</si>
  <si>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</si>
  <si>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</si>
  <si>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</si>
  <si>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</si>
  <si>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</si>
  <si>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</si>
  <si>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</si>
  <si>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</si>
  <si>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</si>
  <si>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</si>
  <si>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</si>
  <si>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</si>
  <si>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</si>
  <si>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</si>
  <si>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</si>
  <si>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</si>
  <si>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</si>
  <si>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</si>
  <si>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</si>
  <si>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</si>
  <si>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</si>
  <si>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</si>
  <si>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</si>
  <si>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</si>
  <si>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</si>
  <si>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</si>
  <si>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</si>
  <si>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</si>
  <si>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</si>
  <si>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</si>
  <si>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</si>
  <si>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</si>
  <si>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</si>
  <si>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</si>
  <si>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</si>
  <si>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</si>
  <si>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</si>
  <si>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</si>
  <si>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</si>
  <si>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</si>
  <si>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</si>
  <si>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</si>
  <si>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</si>
  <si>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</si>
  <si>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</si>
  <si>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</si>
  <si>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</si>
  <si>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</si>
  <si>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</si>
  <si>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</si>
  <si>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</si>
  <si>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</si>
  <si>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</si>
  <si>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</si>
  <si>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</si>
  <si>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</si>
  <si>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</si>
  <si>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</si>
  <si>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</si>
  <si>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</si>
  <si>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</si>
  <si>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</si>
  <si>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</si>
  <si>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</si>
  <si>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</si>
  <si>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</si>
  <si>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</si>
  <si>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</si>
  <si>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</si>
  <si>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</si>
  <si>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</si>
  <si>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</si>
  <si>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</si>
  <si>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</si>
  <si>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</si>
  <si>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</si>
  <si>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</si>
  <si>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</si>
  <si>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</si>
  <si>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</si>
  <si>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</si>
  <si>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</si>
  <si>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</si>
  <si>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</si>
  <si>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</si>
  <si>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</si>
  <si>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</si>
  <si>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</si>
  <si>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</si>
  <si>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</si>
  <si>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</si>
  <si>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</si>
  <si>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</si>
  <si>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</si>
  <si>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</si>
  <si>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</si>
  <si>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</si>
  <si>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</si>
  <si>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</si>
  <si>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</si>
  <si>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</si>
  <si>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</si>
  <si>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</si>
  <si>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</si>
  <si>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</si>
  <si>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</si>
  <si>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</si>
  <si>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</si>
  <si>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</si>
  <si>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</si>
  <si>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</si>
  <si>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</si>
  <si>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</si>
  <si>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</si>
  <si>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</si>
  <si>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</si>
  <si>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</si>
  <si>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</si>
  <si>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</si>
  <si>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</si>
  <si>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</si>
  <si>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</si>
  <si>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</si>
  <si>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</si>
  <si>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</si>
  <si>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</si>
  <si>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</si>
  <si>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</si>
  <si>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</si>
  <si>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</si>
  <si>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</si>
  <si>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</si>
  <si>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</si>
  <si>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</si>
  <si>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</si>
  <si>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</si>
  <si>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</si>
  <si>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</si>
  <si>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</si>
  <si>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</si>
  <si>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</si>
  <si>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</si>
  <si>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</si>
  <si>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</si>
  <si>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</si>
  <si>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</si>
  <si>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</si>
  <si>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</si>
  <si>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</si>
  <si>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</si>
  <si>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</si>
  <si>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</si>
  <si>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</si>
  <si>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</si>
  <si>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</si>
  <si>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</si>
  <si>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</si>
  <si>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</si>
  <si>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</si>
  <si>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</si>
  <si>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</si>
  <si>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</si>
  <si>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</si>
  <si>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</si>
  <si>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</si>
  <si>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</si>
  <si>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</si>
  <si>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</si>
  <si>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</si>
  <si>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</si>
  <si>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</si>
  <si>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</si>
  <si>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</si>
  <si>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</si>
  <si>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</si>
  <si>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</si>
  <si>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</si>
  <si>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</si>
  <si>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</si>
  <si>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</si>
  <si>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</si>
  <si>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</si>
  <si>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</si>
  <si>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</si>
  <si>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</si>
  <si>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</si>
  <si>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</si>
  <si>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</si>
  <si>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</si>
  <si>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</si>
  <si>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</si>
  <si>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</si>
  <si>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</si>
  <si>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</si>
  <si>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</si>
  <si>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</si>
  <si>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</si>
  <si>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</si>
  <si>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</si>
  <si>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</si>
  <si>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</si>
  <si>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</si>
  <si>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</si>
  <si>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</si>
  <si>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</si>
  <si>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</si>
  <si>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</si>
  <si>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</si>
  <si>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</si>
  <si>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</si>
  <si>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</si>
  <si>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</si>
  <si>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</si>
  <si>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</si>
  <si>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</si>
  <si>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</si>
  <si>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</si>
  <si>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</si>
  <si>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</si>
  <si>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</si>
  <si>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</si>
  <si>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</si>
  <si>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</si>
  <si>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</si>
  <si>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</si>
  <si>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</si>
  <si>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</si>
  <si>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</si>
  <si>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</si>
  <si>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</si>
  <si>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</si>
  <si>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</si>
  <si>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</si>
  <si>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</si>
  <si>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</si>
  <si>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</si>
  <si>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</si>
  <si>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</si>
  <si>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</si>
  <si>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</si>
  <si>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</si>
  <si>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</si>
  <si>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</si>
  <si>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</si>
  <si>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</si>
  <si>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</si>
  <si>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</si>
  <si>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</si>
  <si>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</si>
  <si>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</si>
  <si>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</si>
  <si>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</si>
  <si>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</si>
  <si>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</si>
  <si>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</si>
  <si>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</si>
  <si>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</si>
  <si>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</si>
  <si>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</si>
  <si>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</si>
  <si>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</si>
  <si>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</si>
  <si>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</si>
  <si>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</si>
  <si>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</si>
  <si>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</si>
  <si>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</si>
  <si>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</si>
  <si>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</si>
  <si>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</si>
  <si>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</si>
  <si>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</si>
  <si>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</si>
  <si>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</si>
  <si>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</si>
  <si>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</si>
  <si>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</si>
  <si>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</si>
  <si>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</si>
  <si>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</si>
  <si>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</si>
  <si>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</si>
  <si>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</si>
  <si>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</si>
  <si>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</si>
  <si>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</si>
  <si>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</si>
  <si>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</si>
  <si>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</si>
  <si>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</si>
  <si>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</si>
  <si>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</si>
  <si>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</si>
  <si>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</si>
  <si>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</si>
  <si>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</si>
  <si>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</si>
  <si>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</si>
  <si>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</si>
  <si>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</si>
  <si>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</si>
  <si>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</si>
  <si>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</si>
  <si>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</si>
  <si>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</si>
  <si>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</si>
  <si>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</si>
  <si>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</si>
  <si>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</si>
  <si>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</si>
  <si>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</si>
  <si>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</si>
  <si>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</si>
  <si>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</si>
  <si>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</si>
  <si>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</si>
  <si>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</si>
  <si>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</si>
  <si>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</si>
  <si>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</si>
  <si>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</si>
  <si>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</si>
  <si>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</si>
  <si>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</si>
  <si>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</si>
  <si>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</si>
  <si>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</si>
  <si>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</si>
  <si>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</si>
  <si>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</si>
  <si>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</si>
  <si>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</si>
  <si>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</si>
  <si>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</si>
  <si>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</si>
  <si>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</si>
  <si>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</si>
  <si>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</si>
  <si>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</si>
  <si>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</si>
  <si>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</si>
  <si>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</si>
  <si>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</si>
  <si>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</si>
  <si>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</si>
  <si>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</si>
  <si>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</si>
  <si>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</si>
  <si>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</si>
  <si>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</si>
  <si>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</si>
  <si>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</si>
  <si>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</si>
  <si>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</si>
  <si>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</si>
  <si>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</si>
  <si>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</si>
  <si>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</si>
  <si>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</si>
  <si>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</si>
  <si>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</si>
  <si>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</si>
  <si>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</si>
  <si>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</si>
  <si>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</si>
  <si>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</si>
  <si>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</si>
  <si>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</si>
  <si>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</si>
  <si>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</si>
  <si>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</si>
  <si>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</si>
  <si>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</si>
  <si>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</si>
  <si>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</si>
  <si>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</si>
  <si>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</si>
  <si>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</si>
  <si>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</si>
  <si>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</si>
  <si>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</si>
  <si>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</si>
  <si>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</si>
  <si>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</si>
  <si>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</si>
  <si>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</si>
  <si>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</si>
  <si>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</si>
  <si>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</si>
  <si>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</si>
  <si>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</si>
  <si>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</si>
  <si>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</si>
  <si>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</si>
  <si>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</si>
  <si>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</si>
  <si>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</si>
  <si>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</si>
  <si>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</si>
  <si>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</si>
  <si>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</si>
  <si>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</si>
  <si>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</si>
  <si>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</si>
  <si>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</si>
  <si>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</si>
  <si>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</si>
  <si>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</si>
  <si>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</si>
  <si>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</si>
  <si>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</si>
  <si>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</si>
  <si>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</si>
  <si>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</si>
  <si>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</si>
  <si>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</si>
  <si>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</si>
  <si>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</si>
  <si>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</si>
  <si>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</si>
  <si>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</si>
  <si>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</si>
  <si>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</si>
  <si>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</si>
  <si>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</si>
  <si>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</si>
  <si>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</si>
  <si>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</si>
  <si>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</si>
  <si>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</si>
  <si>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</si>
  <si>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</si>
  <si>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</si>
  <si>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</si>
  <si>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</si>
  <si>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</si>
  <si>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</si>
  <si>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</si>
  <si>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</si>
  <si>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</si>
  <si>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</si>
  <si>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</si>
  <si>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</si>
  <si>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</si>
  <si>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</si>
  <si>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</si>
  <si>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</si>
  <si>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</si>
  <si>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</si>
  <si>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</si>
  <si>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</si>
  <si>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</si>
  <si>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</si>
  <si>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</si>
  <si>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</si>
  <si>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</si>
  <si>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</si>
  <si>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</si>
  <si>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</si>
  <si>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</si>
  <si>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</si>
  <si>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</si>
  <si>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</si>
  <si>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</si>
  <si>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</si>
  <si>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</si>
  <si>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</si>
  <si>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</si>
  <si>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</si>
  <si>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</si>
  <si>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</si>
  <si>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</si>
  <si>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</si>
  <si>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</si>
  <si>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</si>
  <si>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</si>
  <si>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</si>
  <si>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</si>
  <si>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</si>
  <si>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</si>
  <si>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</si>
  <si>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</si>
  <si>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</si>
  <si>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</si>
  <si>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</si>
  <si>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</si>
  <si>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</si>
  <si>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</si>
  <si>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</si>
  <si>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</si>
  <si>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</si>
  <si>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</si>
  <si>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</si>
  <si>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</si>
  <si>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</si>
  <si>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</si>
  <si>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</si>
  <si>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</si>
  <si>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</si>
  <si>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</si>
  <si>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</si>
  <si>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</si>
  <si>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</si>
  <si>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</si>
  <si>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</si>
  <si>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</si>
  <si>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</si>
  <si>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</si>
  <si>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</si>
  <si>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</si>
  <si>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</si>
  <si>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</si>
  <si>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</si>
  <si>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</si>
  <si>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</si>
  <si>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</si>
  <si>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</si>
  <si>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</si>
  <si>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</si>
  <si>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</si>
  <si>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</si>
  <si>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</si>
  <si>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</si>
  <si>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</si>
  <si>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</si>
  <si>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</si>
  <si>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</si>
  <si>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</si>
  <si>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</si>
  <si>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</si>
  <si>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</si>
  <si>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</si>
  <si>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</si>
  <si>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</si>
  <si>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</si>
  <si>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</si>
  <si>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</si>
  <si>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</si>
  <si>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</si>
  <si>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</si>
  <si>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</si>
  <si>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</si>
  <si>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</si>
  <si>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</si>
  <si>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</si>
  <si>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</si>
  <si>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</si>
  <si>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</si>
  <si>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</si>
  <si>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</si>
  <si>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</si>
  <si>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</si>
  <si>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</si>
  <si>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</si>
  <si>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</si>
  <si>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</si>
  <si>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</si>
  <si>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</si>
  <si>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</si>
  <si>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</si>
  <si>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</si>
  <si>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</si>
  <si>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</si>
  <si>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</si>
  <si>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</si>
  <si>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</si>
  <si>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</si>
  <si>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</si>
  <si>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</si>
  <si>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</si>
  <si>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</si>
  <si>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</si>
  <si>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</si>
  <si>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</si>
  <si>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</si>
  <si>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</si>
  <si>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</si>
  <si>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</si>
  <si>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</si>
  <si>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</si>
  <si>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</si>
  <si>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</si>
  <si>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</si>
  <si>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</si>
  <si>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</si>
  <si>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</si>
  <si>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</si>
  <si>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</si>
  <si>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</si>
  <si>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</si>
  <si>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</si>
  <si>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</si>
  <si>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</si>
  <si>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</si>
  <si>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</si>
  <si>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</si>
  <si>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</si>
  <si>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</si>
  <si>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</si>
  <si>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</si>
  <si>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</si>
  <si>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</si>
  <si>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</si>
  <si>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</si>
  <si>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</si>
  <si>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</si>
  <si>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</si>
  <si>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</si>
  <si>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</si>
  <si>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</si>
  <si>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</si>
  <si>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</si>
  <si>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</si>
  <si>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</si>
  <si>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</si>
  <si>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</si>
  <si>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</si>
  <si>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</si>
  <si>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</si>
  <si>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</si>
  <si>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</si>
  <si>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</si>
  <si>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</si>
  <si>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</si>
  <si>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</si>
  <si>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</si>
  <si>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</si>
  <si>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</si>
  <si>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</si>
  <si>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</si>
  <si>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</si>
  <si>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</si>
  <si>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</si>
  <si>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</si>
  <si>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</si>
  <si>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</si>
  <si>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</si>
  <si>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</si>
  <si>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</si>
  <si>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</si>
  <si>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</si>
  <si>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</si>
  <si>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</si>
  <si>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</si>
  <si>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</si>
  <si>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</si>
  <si>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</si>
  <si>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</si>
  <si>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</si>
  <si>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</si>
  <si>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</si>
  <si>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</si>
  <si>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</si>
  <si>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</si>
  <si>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</si>
  <si>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</si>
  <si>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</si>
  <si>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</si>
  <si>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</si>
  <si>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</si>
  <si>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</si>
  <si>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</si>
  <si>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</si>
  <si>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</si>
  <si>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</si>
  <si>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</si>
  <si>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</si>
  <si>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</si>
  <si>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</si>
  <si>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</si>
  <si>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</si>
  <si>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</si>
  <si>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</si>
  <si>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</si>
  <si>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</si>
  <si>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</si>
  <si>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</si>
  <si>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</si>
  <si>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</si>
  <si>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</si>
  <si>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</si>
  <si>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</si>
  <si>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</si>
  <si>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</si>
  <si>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</si>
  <si>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</si>
  <si>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</si>
  <si>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</si>
  <si>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</si>
  <si>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</si>
  <si>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</si>
  <si>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</si>
  <si>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</si>
  <si>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</si>
  <si>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</si>
  <si>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</si>
  <si>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</si>
  <si>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</si>
  <si>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</si>
  <si>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</si>
  <si>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</si>
  <si>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</si>
  <si>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</si>
  <si>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</si>
  <si>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</si>
  <si>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</si>
  <si>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</si>
  <si>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</si>
  <si>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</si>
  <si>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</si>
  <si>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</si>
  <si>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</si>
  <si>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</si>
  <si>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</si>
  <si>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</si>
  <si>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</si>
  <si>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</si>
  <si>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</si>
  <si>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</si>
  <si>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</si>
  <si>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</si>
  <si>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</si>
  <si>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</si>
  <si>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</si>
  <si>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</si>
  <si>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</si>
  <si>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</si>
  <si>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</si>
  <si>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</si>
  <si>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</si>
  <si>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</si>
  <si>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</si>
  <si>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</si>
  <si>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</si>
  <si>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</si>
  <si>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</si>
  <si>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</si>
  <si>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</si>
  <si>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</si>
  <si>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</si>
  <si>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</si>
  <si>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</si>
  <si>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</si>
  <si>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</si>
  <si>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</si>
  <si>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</si>
  <si>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</si>
  <si>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</si>
  <si>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</si>
  <si>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</si>
  <si>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</si>
  <si>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</si>
  <si>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</si>
  <si>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</si>
  <si>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</si>
  <si>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</si>
  <si>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</si>
  <si>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</si>
  <si>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</si>
  <si>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</si>
  <si>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</si>
  <si>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</si>
  <si>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</si>
  <si>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</si>
  <si>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</si>
  <si>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</si>
  <si>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</si>
  <si>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</si>
  <si>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</si>
  <si>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</si>
  <si>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</si>
  <si>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</si>
  <si>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</si>
  <si>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</si>
  <si>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</si>
  <si>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</si>
  <si>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</si>
  <si>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</si>
  <si>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</si>
  <si>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</si>
  <si>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</si>
  <si>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</si>
  <si>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</si>
  <si>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</si>
  <si>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</si>
  <si>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</si>
  <si>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</si>
  <si>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</si>
  <si>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</si>
  <si>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</si>
  <si>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</si>
  <si>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</si>
  <si>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</si>
  <si>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</si>
  <si>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</si>
  <si>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</si>
  <si>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</si>
  <si>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</si>
  <si>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</si>
  <si>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</si>
  <si>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</si>
  <si>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</si>
  <si>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</si>
  <si>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</si>
  <si>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</si>
  <si>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</si>
  <si>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</si>
  <si>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</si>
  <si>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</si>
  <si>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</si>
  <si>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</si>
  <si>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</si>
  <si>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</si>
  <si>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</si>
  <si>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</si>
  <si>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</si>
  <si>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</si>
  <si>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</si>
  <si>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</si>
  <si>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</si>
  <si>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</si>
  <si>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</si>
  <si>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</si>
  <si>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</si>
  <si>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</si>
  <si>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</si>
  <si>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</si>
  <si>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</si>
  <si>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</si>
  <si>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</si>
  <si>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</si>
  <si>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</si>
  <si>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</si>
  <si>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</si>
  <si>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</si>
  <si>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</si>
  <si>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</si>
  <si>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</si>
  <si>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</si>
  <si>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</si>
  <si>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</si>
  <si>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</si>
  <si>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</si>
  <si>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</si>
  <si>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</si>
  <si>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</si>
  <si>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</si>
  <si>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</si>
  <si>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</si>
  <si>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</si>
  <si>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</si>
  <si>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</si>
  <si>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</si>
  <si>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</si>
  <si>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</si>
  <si>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</si>
  <si>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</si>
  <si>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</si>
  <si>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</si>
  <si>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</si>
  <si>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</si>
  <si>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</si>
  <si>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</si>
  <si>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</si>
  <si>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</si>
  <si>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</si>
  <si>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</si>
  <si>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</si>
  <si>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</si>
  <si>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</si>
  <si>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</si>
  <si>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</si>
  <si>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</si>
  <si>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</si>
  <si>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</si>
  <si>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</si>
  <si>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</si>
  <si>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</si>
  <si>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</si>
  <si>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</si>
  <si>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</si>
  <si>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</si>
  <si>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</si>
  <si>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</si>
  <si>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</si>
  <si>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</si>
  <si>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</si>
  <si>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</si>
  <si>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</si>
  <si>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</si>
  <si>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</si>
  <si>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</si>
  <si>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</si>
  <si>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</si>
  <si>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</si>
  <si>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</si>
  <si>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</si>
  <si>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</si>
  <si>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</si>
  <si>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</si>
  <si>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</si>
  <si>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</si>
  <si>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</si>
  <si>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</si>
  <si>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</si>
  <si>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</si>
  <si>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</si>
  <si>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</si>
  <si>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</si>
  <si>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</si>
  <si>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</si>
  <si>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</si>
  <si>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</si>
  <si>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</si>
  <si>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</si>
  <si>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</si>
  <si>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</si>
  <si>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</si>
  <si>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</si>
  <si>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</si>
  <si>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</si>
  <si>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</si>
  <si>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</si>
  <si>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</si>
  <si>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</si>
  <si>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</si>
  <si>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</si>
  <si>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</si>
  <si>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</si>
  <si>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</si>
  <si>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</si>
  <si>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</si>
  <si>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</si>
  <si>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</si>
  <si>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</si>
  <si>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</si>
  <si>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</si>
  <si>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</si>
  <si>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</si>
  <si>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</si>
  <si>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</si>
  <si>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</si>
  <si>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</si>
  <si>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</si>
  <si>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</si>
  <si>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</si>
  <si>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</si>
  <si>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</si>
  <si>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</si>
  <si>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</si>
  <si>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</si>
  <si>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</si>
  <si>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</si>
  <si>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</si>
  <si>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</si>
  <si>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</si>
  <si>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</si>
  <si>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</si>
  <si>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</si>
  <si>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</si>
  <si>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</si>
  <si>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</si>
  <si>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</si>
  <si>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</si>
  <si>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</si>
  <si>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</si>
  <si>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</si>
  <si>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</si>
  <si>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</si>
  <si>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</si>
  <si>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</si>
  <si>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</si>
  <si>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</si>
  <si>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</si>
  <si>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</si>
  <si>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</si>
  <si>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</si>
  <si>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</si>
  <si>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</si>
  <si>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</si>
  <si>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</si>
  <si>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</si>
  <si>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</si>
  <si>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</si>
  <si>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</si>
  <si>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</si>
  <si>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</si>
  <si>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</si>
  <si>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</si>
  <si>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</si>
  <si>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</si>
  <si>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</si>
  <si>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</si>
  <si>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</si>
  <si>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</si>
  <si>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</si>
  <si>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</si>
  <si>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</si>
  <si>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</si>
  <si>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</si>
  <si>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</si>
  <si>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</si>
  <si>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</si>
  <si>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</si>
  <si>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</si>
  <si>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</si>
  <si>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</si>
  <si>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</si>
  <si>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</si>
  <si>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</si>
  <si>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</si>
  <si>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</si>
  <si>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</si>
  <si>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</si>
  <si>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</si>
  <si>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</si>
  <si>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</si>
  <si>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</si>
  <si>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</si>
  <si>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</si>
  <si>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</si>
  <si>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</si>
  <si>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</si>
  <si>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</si>
  <si>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</si>
  <si>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</si>
  <si>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</si>
  <si>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</si>
  <si>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</si>
  <si>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</si>
  <si>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</si>
  <si>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</si>
  <si>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</si>
  <si>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</si>
  <si>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</si>
  <si>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</si>
  <si>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</si>
  <si>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</si>
  <si>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</si>
  <si>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</si>
  <si>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</si>
  <si>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</si>
  <si>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</si>
  <si>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</si>
  <si>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</si>
  <si>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</si>
  <si>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</si>
  <si>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</si>
  <si>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</si>
  <si>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</si>
  <si>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</si>
  <si>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</si>
  <si>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</si>
  <si>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</si>
  <si>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</si>
  <si>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</si>
  <si>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</si>
  <si>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</si>
  <si>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</si>
  <si>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</si>
  <si>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</si>
  <si>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</si>
  <si>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</si>
  <si>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</si>
  <si>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</si>
  <si>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</si>
  <si>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</si>
  <si>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</si>
  <si>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</si>
  <si>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</si>
  <si>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</si>
  <si>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</si>
  <si>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</si>
  <si>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</si>
  <si>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</si>
  <si>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</si>
  <si>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</si>
  <si>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</si>
  <si>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</si>
  <si>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</si>
  <si>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</si>
  <si>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</si>
  <si>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</si>
  <si>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</si>
  <si>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</si>
  <si>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</si>
  <si>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</si>
  <si>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</si>
  <si>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</si>
  <si>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</si>
  <si>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</si>
  <si>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</si>
  <si>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</si>
  <si>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</si>
  <si>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</si>
  <si>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</si>
  <si>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</si>
  <si>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</si>
  <si>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</si>
  <si>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</si>
  <si>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</si>
  <si>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</si>
  <si>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</si>
  <si>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</si>
  <si>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</si>
  <si>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</si>
  <si>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</si>
  <si>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</si>
  <si>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</si>
  <si>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</si>
  <si>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</si>
  <si>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</si>
  <si>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</si>
  <si>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</si>
  <si>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</si>
  <si>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</si>
  <si>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</si>
  <si>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</si>
  <si>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</si>
  <si>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</si>
  <si>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</si>
  <si>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</si>
  <si>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</si>
  <si>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</si>
  <si>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</si>
  <si>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</si>
  <si>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</si>
  <si>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</si>
  <si>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</si>
  <si>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</si>
  <si>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</si>
  <si>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</si>
  <si>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</si>
  <si>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</si>
  <si>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</si>
  <si>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</si>
  <si>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</si>
  <si>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</si>
  <si>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</si>
  <si>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</si>
  <si>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</si>
  <si>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</si>
  <si>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</si>
  <si>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</si>
  <si>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</si>
  <si>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</si>
  <si>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</si>
  <si>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</si>
  <si>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</si>
  <si>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</si>
  <si>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</si>
  <si>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</si>
  <si>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</si>
  <si>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</si>
  <si>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</si>
  <si>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</si>
  <si>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</si>
  <si>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</si>
  <si>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</si>
  <si>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</si>
  <si>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</si>
  <si>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</si>
  <si>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</si>
  <si>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</si>
  <si>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</si>
  <si>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</si>
  <si>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</si>
  <si>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</si>
  <si>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</si>
  <si>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</si>
  <si>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</si>
  <si>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</si>
  <si>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</si>
  <si>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</si>
  <si>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</si>
  <si>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</si>
  <si>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</si>
  <si>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</si>
  <si>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</si>
  <si>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</si>
  <si>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</si>
  <si>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</si>
  <si>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</si>
  <si>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</si>
  <si>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</si>
  <si>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</si>
  <si>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</si>
  <si>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</si>
  <si>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</si>
  <si>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</si>
  <si>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</si>
  <si>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</si>
  <si>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</si>
  <si>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</si>
  <si>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</si>
  <si>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</si>
  <si>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</si>
  <si>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</si>
  <si>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</si>
  <si>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</si>
  <si>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</si>
  <si>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</si>
  <si>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</si>
  <si>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</si>
  <si>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</si>
  <si>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</si>
  <si>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</si>
  <si>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</si>
  <si>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</si>
  <si>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</si>
  <si>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</si>
  <si>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</si>
  <si>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</si>
  <si>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</si>
  <si>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</si>
  <si>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</si>
  <si>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</si>
  <si>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</si>
  <si>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</si>
  <si>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</si>
  <si>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</si>
  <si>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</si>
  <si>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</si>
  <si>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</si>
  <si>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</si>
  <si>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</si>
  <si>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</si>
  <si>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</si>
  <si>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</si>
  <si>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</si>
  <si>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</si>
  <si>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</si>
  <si>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</si>
  <si>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</si>
  <si>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</si>
  <si>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</si>
  <si>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</si>
  <si>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</si>
  <si>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</si>
  <si>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</si>
  <si>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</si>
  <si>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</si>
  <si>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</si>
  <si>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</si>
  <si>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</si>
  <si>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</si>
  <si>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</si>
  <si>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</si>
  <si>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</si>
  <si>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</si>
  <si>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</si>
  <si>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</si>
  <si>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</si>
  <si>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</si>
  <si>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</si>
  <si>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</si>
  <si>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</si>
  <si>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</si>
  <si>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</si>
  <si>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</si>
  <si>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</si>
  <si>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</si>
  <si>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</si>
  <si>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</si>
  <si>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</si>
  <si>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</si>
  <si>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</si>
  <si>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</si>
  <si>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</si>
  <si>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</si>
  <si>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</si>
  <si>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</si>
  <si>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</si>
  <si>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</si>
  <si>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</si>
  <si>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</si>
  <si>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</si>
  <si>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</si>
  <si>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</si>
  <si>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</si>
  <si>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</si>
  <si>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</si>
  <si>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</si>
  <si>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</si>
  <si>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</si>
  <si>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</si>
  <si>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</si>
  <si>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</si>
  <si>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</si>
  <si>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</si>
  <si>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</si>
  <si>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</si>
  <si>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</si>
  <si>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</si>
  <si>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</si>
  <si>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</si>
  <si>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</si>
  <si>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</si>
  <si>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</si>
  <si>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</si>
  <si>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</si>
  <si>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</si>
  <si>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</si>
  <si>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</si>
  <si>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</si>
  <si>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</si>
  <si>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</si>
  <si>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</si>
  <si>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</si>
  <si>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</si>
  <si>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</si>
  <si>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</si>
  <si>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</si>
  <si>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</si>
  <si>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</si>
  <si>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</si>
  <si>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</si>
  <si>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</si>
  <si>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</si>
  <si>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</si>
  <si>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</si>
  <si>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</si>
  <si>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</si>
  <si>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</si>
  <si>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</si>
  <si>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</si>
  <si>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</si>
  <si>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</si>
  <si>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</si>
  <si>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</si>
  <si>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</si>
  <si>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</si>
  <si>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</si>
  <si>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</si>
  <si>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</si>
  <si>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</si>
  <si>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</si>
  <si>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</si>
  <si>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</si>
  <si>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</si>
  <si>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</si>
  <si>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</si>
  <si>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</si>
  <si>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</si>
  <si>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</si>
  <si>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</si>
  <si>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</si>
  <si>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</si>
  <si>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</si>
  <si>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</si>
  <si>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</si>
  <si>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</si>
  <si>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</si>
  <si>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</si>
  <si>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</si>
  <si>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</si>
  <si>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</si>
  <si>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</si>
  <si>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</si>
  <si>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</si>
  <si>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</si>
  <si>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</si>
  <si>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</si>
  <si>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</si>
  <si>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</si>
  <si>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</si>
  <si>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</si>
  <si>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</si>
  <si>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</si>
  <si>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</si>
  <si>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</si>
  <si>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</si>
  <si>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</si>
  <si>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</si>
  <si>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</si>
  <si>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</si>
  <si>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</si>
  <si>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</si>
  <si>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</si>
  <si>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</si>
  <si>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</si>
  <si>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</si>
  <si>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</si>
  <si>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</si>
  <si>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</si>
  <si>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</si>
  <si>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</si>
  <si>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</si>
  <si>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</si>
  <si>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</si>
  <si>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</si>
  <si>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</si>
  <si>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</si>
  <si>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</si>
  <si>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</si>
  <si>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</si>
  <si>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</si>
  <si>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</si>
  <si>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</si>
  <si>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</si>
  <si>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</si>
  <si>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</si>
  <si>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</si>
  <si>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</si>
  <si>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</si>
  <si>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</si>
  <si>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</si>
  <si>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</si>
  <si>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</si>
  <si>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</si>
  <si>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</si>
  <si>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</si>
  <si>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</si>
  <si>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</si>
  <si>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</si>
  <si>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</si>
  <si>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</si>
  <si>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</si>
  <si>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</si>
  <si>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</si>
  <si>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</si>
  <si>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</si>
  <si>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</si>
  <si>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</si>
  <si>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</si>
  <si>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</si>
  <si>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</si>
  <si>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</si>
  <si>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</si>
  <si>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</si>
  <si>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</si>
  <si>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</si>
  <si>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</si>
  <si>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</si>
  <si>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</si>
  <si>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</si>
  <si>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</si>
  <si>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</si>
  <si>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</si>
  <si>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</si>
  <si>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</si>
  <si>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</si>
  <si>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</si>
  <si>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</si>
  <si>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</si>
  <si>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</si>
  <si>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</si>
  <si>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</si>
  <si>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</si>
  <si>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</si>
  <si>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</si>
  <si>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</si>
  <si>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</si>
  <si>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</si>
  <si>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</si>
  <si>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</si>
  <si>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</si>
  <si>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</si>
  <si>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</si>
  <si>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</si>
  <si>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</si>
  <si>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</si>
  <si>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</si>
  <si>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</si>
  <si>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</si>
  <si>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</si>
  <si>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</si>
  <si>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</si>
  <si>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</si>
  <si>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</si>
  <si>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</si>
  <si>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</si>
  <si>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</si>
  <si>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</si>
  <si>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</si>
  <si>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</si>
  <si>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</si>
  <si>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</si>
  <si>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</si>
  <si>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</si>
  <si>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</si>
  <si>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</si>
  <si>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</si>
  <si>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</si>
  <si>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</si>
  <si>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</si>
  <si>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</si>
  <si>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</si>
  <si>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</si>
  <si>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</si>
  <si>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</si>
  <si>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</si>
  <si>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</si>
  <si>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</si>
  <si>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</si>
  <si>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</si>
  <si>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</si>
  <si>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</si>
  <si>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</si>
  <si>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</si>
  <si>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</si>
  <si>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</si>
  <si>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</si>
  <si>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</si>
  <si>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</si>
  <si>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</si>
  <si>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</si>
  <si>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</si>
  <si>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</si>
  <si>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</si>
  <si>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</si>
  <si>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</si>
  <si>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</si>
  <si>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</si>
  <si>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</si>
  <si>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</si>
  <si>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</si>
  <si>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</si>
  <si>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</si>
  <si>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</si>
  <si>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</si>
  <si>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</si>
  <si>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</si>
  <si>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</si>
  <si>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</si>
  <si>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</si>
  <si>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</si>
  <si>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</si>
  <si>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</si>
  <si>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</si>
  <si>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</si>
  <si>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</si>
  <si>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</si>
  <si>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</si>
  <si>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</si>
  <si>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</si>
  <si>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</si>
  <si>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</si>
  <si>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</si>
  <si>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</si>
  <si>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</si>
  <si>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</si>
  <si>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</si>
  <si>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</si>
  <si>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</si>
  <si>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</si>
  <si>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</si>
  <si>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</si>
  <si>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</si>
  <si>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</si>
  <si>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</si>
  <si>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</si>
  <si>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</si>
  <si>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</si>
  <si>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</si>
  <si>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</si>
  <si>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</si>
  <si>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</si>
  <si>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</si>
  <si>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</si>
  <si>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</si>
  <si>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</si>
  <si>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</si>
  <si>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</si>
  <si>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</si>
  <si>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</si>
  <si>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</si>
  <si>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</si>
  <si>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</si>
  <si>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</si>
  <si>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</si>
  <si>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</si>
  <si>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</si>
  <si>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</si>
  <si>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</si>
  <si>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</si>
  <si>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</si>
  <si>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</si>
  <si>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</si>
  <si>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</si>
  <si>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</si>
  <si>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</si>
  <si>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</si>
  <si>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</si>
  <si>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</si>
  <si>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</si>
  <si>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</si>
  <si>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</si>
  <si>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</si>
  <si>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</si>
  <si>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</si>
  <si>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</si>
  <si>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</si>
  <si>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</si>
  <si>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</si>
  <si>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</si>
  <si>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</si>
  <si>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</si>
  <si>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</si>
  <si>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</si>
  <si>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</si>
  <si>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</si>
  <si>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</si>
  <si>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</si>
  <si>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</si>
  <si>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</si>
  <si>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</si>
  <si>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</si>
  <si>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</si>
  <si>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</si>
  <si>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</si>
  <si>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</si>
  <si>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</si>
  <si>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</si>
  <si>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</si>
  <si>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</si>
  <si>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</si>
  <si>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</si>
  <si>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</si>
  <si>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</si>
  <si>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</si>
  <si>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</si>
  <si>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</si>
  <si>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</si>
  <si>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</si>
  <si>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</si>
  <si>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</si>
  <si>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</si>
  <si>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</si>
  <si>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</si>
  <si>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</si>
  <si>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</si>
  <si>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</si>
  <si>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</si>
  <si>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</si>
  <si>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</si>
  <si>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</si>
  <si>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</si>
  <si>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</si>
  <si>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</si>
  <si>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</si>
  <si>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</si>
  <si>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</si>
  <si>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</si>
  <si>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</si>
  <si>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</si>
  <si>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</si>
  <si>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</si>
  <si>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</si>
  <si>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</si>
  <si>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</si>
  <si>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</si>
  <si>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</si>
  <si>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</si>
  <si>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</si>
  <si>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</si>
  <si>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</si>
  <si>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</si>
  <si>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</si>
  <si>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</si>
  <si>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</si>
  <si>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</si>
  <si>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</si>
  <si>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</si>
  <si>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</si>
  <si>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</si>
  <si>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</si>
  <si>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</si>
  <si>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</si>
  <si>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</si>
  <si>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</si>
  <si>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</si>
  <si>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</si>
  <si>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</si>
  <si>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</si>
  <si>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</si>
  <si>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</si>
  <si>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</si>
  <si>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</si>
  <si>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</si>
  <si>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</si>
  <si>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</si>
  <si>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</si>
  <si>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</si>
  <si>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</si>
  <si>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</si>
  <si>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</si>
  <si>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</si>
  <si>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</si>
  <si>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</si>
  <si>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</si>
  <si>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</si>
  <si>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</si>
  <si>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</si>
  <si>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</si>
  <si>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</si>
  <si>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</si>
  <si>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</si>
  <si>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</si>
  <si>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</si>
  <si>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</si>
  <si>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</si>
  <si>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</si>
  <si>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</si>
  <si>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</si>
  <si>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</si>
  <si>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</si>
  <si>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</si>
  <si>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</si>
  <si>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</si>
  <si>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</si>
  <si>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</si>
  <si>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</si>
  <si>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</si>
  <si>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</si>
  <si>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</si>
  <si>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</si>
  <si>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</si>
  <si>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</si>
  <si>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</si>
  <si>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</si>
  <si>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</si>
  <si>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</si>
  <si>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</si>
  <si>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</si>
  <si>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</si>
  <si>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</si>
  <si>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</si>
  <si>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</si>
  <si>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</si>
  <si>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</si>
  <si>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</si>
  <si>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</si>
  <si>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</si>
  <si>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</si>
  <si>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</si>
  <si>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</si>
  <si>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</si>
  <si>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</si>
  <si>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</si>
  <si>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</si>
  <si>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</si>
  <si>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</si>
  <si>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</si>
  <si>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</si>
  <si>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</si>
  <si>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</si>
  <si>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</si>
  <si>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</si>
  <si>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</si>
  <si>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</si>
  <si>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</si>
  <si>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</si>
  <si>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</si>
  <si>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</si>
  <si>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</si>
  <si>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</si>
  <si>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</si>
  <si>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</si>
  <si>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</si>
  <si>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</si>
  <si>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</si>
  <si>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</si>
  <si>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</si>
  <si>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</si>
  <si>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</si>
  <si>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</si>
  <si>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</si>
  <si>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</si>
  <si>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</si>
  <si>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</si>
  <si>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</si>
  <si>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</si>
  <si>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</si>
  <si>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</si>
  <si>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</si>
  <si>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</si>
  <si>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</si>
  <si>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</si>
  <si>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</si>
  <si>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</si>
  <si>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</si>
  <si>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</si>
  <si>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</si>
  <si>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</si>
  <si>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</si>
  <si>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</si>
  <si>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</si>
  <si>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</si>
  <si>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</si>
  <si>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</si>
  <si>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</si>
  <si>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</si>
  <si>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</si>
  <si>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</si>
  <si>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</si>
  <si>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</si>
  <si>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</si>
  <si>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</si>
  <si>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</si>
  <si>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</si>
  <si>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</si>
  <si>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</si>
  <si>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</si>
  <si>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</si>
  <si>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</si>
  <si>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</si>
  <si>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</si>
  <si>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</si>
  <si>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</si>
  <si>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</si>
  <si>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</si>
  <si>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</si>
  <si>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</si>
  <si>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</si>
  <si>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</si>
  <si>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</si>
  <si>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</si>
  <si>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</si>
  <si>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</si>
  <si>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</si>
  <si>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</si>
  <si>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</si>
  <si>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</si>
  <si>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</si>
  <si>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</si>
  <si>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</si>
  <si>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</si>
  <si>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</si>
  <si>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</si>
  <si>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</si>
  <si>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</si>
  <si>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</si>
  <si>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</si>
  <si>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</si>
  <si>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</si>
  <si>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</si>
  <si>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</si>
  <si>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</si>
  <si>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</si>
  <si>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</si>
  <si>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</si>
  <si>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</si>
  <si>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</si>
  <si>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</si>
  <si>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</si>
  <si>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</si>
  <si>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</si>
  <si>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</si>
  <si>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</si>
  <si>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</si>
  <si>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</si>
  <si>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</si>
  <si>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</si>
  <si>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</si>
  <si>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</si>
  <si>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</si>
  <si>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</si>
  <si>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</si>
  <si>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</si>
  <si>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</si>
  <si>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</si>
  <si>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</si>
  <si>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</si>
  <si>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</si>
  <si>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</si>
  <si>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</si>
  <si>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</si>
  <si>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</si>
  <si>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</si>
  <si>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</si>
  <si>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</si>
  <si>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</si>
  <si>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</si>
  <si>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</si>
  <si>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</si>
  <si>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</si>
  <si>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</si>
  <si>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</si>
  <si>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</si>
  <si>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</si>
  <si>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</si>
  <si>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</si>
  <si>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</si>
  <si>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</si>
  <si>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</si>
  <si>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</si>
  <si>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</si>
  <si>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</si>
  <si>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</si>
  <si>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</si>
  <si>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</si>
  <si>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</si>
  <si>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</si>
  <si>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</si>
  <si>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</si>
  <si>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</si>
  <si>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</si>
  <si>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</si>
  <si>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</si>
  <si>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</si>
  <si>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</si>
  <si>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</si>
  <si>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</si>
  <si>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</si>
  <si>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</si>
  <si>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</si>
  <si>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</si>
  <si>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</si>
  <si>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</si>
  <si>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</si>
  <si>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</si>
  <si>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</si>
  <si>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</si>
  <si>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</si>
  <si>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</si>
  <si>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</si>
  <si>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</si>
  <si>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</si>
  <si>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</si>
  <si>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</si>
  <si>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</si>
  <si>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</si>
  <si>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</si>
  <si>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</si>
  <si>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</si>
  <si>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</si>
  <si>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</si>
  <si>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</si>
  <si>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</si>
  <si>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</si>
  <si>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</si>
  <si>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</si>
  <si>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</si>
  <si>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</si>
  <si>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</si>
  <si>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</si>
  <si>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</si>
  <si>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</si>
  <si>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</si>
  <si>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</si>
  <si>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</si>
  <si>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</si>
  <si>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</si>
  <si>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</si>
  <si>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</si>
  <si>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</si>
  <si>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</si>
  <si>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</si>
  <si>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</si>
  <si>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</si>
  <si>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</si>
  <si>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</si>
  <si>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</si>
  <si>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</si>
  <si>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</si>
  <si>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</si>
  <si>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</si>
  <si>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</si>
  <si>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</si>
  <si>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</si>
  <si>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</si>
  <si>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</si>
  <si>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</si>
  <si>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</si>
  <si>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</si>
  <si>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</si>
  <si>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</si>
  <si>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</si>
  <si>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</si>
  <si>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</si>
  <si>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</si>
  <si>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</si>
  <si>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</si>
  <si>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</si>
  <si>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</si>
  <si>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</si>
  <si>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</si>
  <si>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</si>
  <si>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</si>
  <si>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</si>
  <si>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</si>
  <si>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</si>
  <si>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</si>
  <si>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</si>
  <si>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</si>
  <si>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</si>
  <si>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</si>
  <si>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</si>
  <si>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</si>
  <si>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</si>
  <si>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</si>
  <si>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</si>
  <si>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</si>
  <si>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</si>
  <si>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</si>
  <si>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</si>
  <si>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</si>
  <si>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</si>
  <si>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</si>
  <si>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</si>
  <si>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</si>
  <si>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</si>
  <si>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</si>
  <si>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</si>
  <si>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</si>
  <si>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</si>
  <si>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</si>
  <si>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</si>
  <si>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</si>
  <si>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</si>
  <si>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</si>
  <si>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</si>
  <si>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</si>
  <si>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</si>
  <si>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</si>
  <si>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</si>
  <si>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</si>
  <si>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</si>
  <si>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</si>
  <si>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</si>
  <si>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</si>
  <si>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</si>
  <si>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</si>
  <si>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</si>
  <si>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</si>
  <si>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</si>
  <si>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</si>
  <si>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</si>
  <si>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</si>
  <si>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</si>
  <si>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</si>
  <si>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</si>
  <si>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</si>
  <si>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</si>
  <si>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</si>
  <si>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</si>
  <si>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</si>
  <si>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</si>
  <si>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</si>
  <si>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</si>
  <si>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</si>
  <si>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</si>
  <si>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</si>
  <si>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</si>
  <si>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</si>
  <si>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</si>
  <si>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</si>
  <si>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</si>
  <si>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</si>
  <si>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</si>
  <si>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</si>
  <si>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</si>
  <si>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</si>
  <si>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</si>
  <si>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</si>
  <si>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</si>
  <si>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</si>
  <si>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</si>
  <si>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</si>
  <si>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</si>
  <si>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</si>
  <si>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</si>
  <si>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</si>
  <si>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</si>
  <si>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</si>
  <si>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</si>
  <si>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</si>
  <si>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</si>
  <si>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</si>
  <si>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</si>
  <si>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</si>
  <si>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</si>
  <si>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</si>
  <si>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</si>
  <si>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</si>
  <si>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</si>
  <si>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</si>
  <si>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</si>
  <si>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</si>
  <si>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</si>
  <si>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</si>
  <si>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</si>
  <si>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</si>
  <si>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</si>
  <si>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</si>
  <si>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</si>
  <si>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</si>
  <si>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</si>
  <si>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</si>
  <si>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</si>
  <si>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</si>
  <si>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</si>
  <si>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</si>
  <si>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</si>
  <si>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</si>
  <si>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</si>
  <si>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</si>
  <si>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</si>
  <si>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</si>
  <si>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</si>
  <si>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</si>
  <si>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</si>
  <si>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</si>
  <si>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</si>
  <si>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</si>
  <si>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</si>
  <si>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</si>
  <si>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</si>
  <si>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</si>
  <si>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</si>
  <si>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</si>
  <si>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</si>
  <si>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</si>
  <si>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</si>
  <si>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</si>
  <si>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</si>
  <si>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</si>
  <si>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</si>
  <si>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</si>
  <si>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</si>
  <si>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</si>
  <si>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</si>
  <si>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</si>
  <si>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</si>
  <si>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</si>
  <si>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</si>
  <si>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</si>
  <si>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</si>
  <si>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</si>
  <si>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</si>
  <si>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</si>
  <si>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</si>
  <si>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</si>
  <si>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</si>
  <si>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</si>
  <si>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</si>
  <si>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</si>
  <si>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</si>
  <si>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</si>
  <si>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</si>
  <si>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</si>
  <si>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</si>
  <si>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</si>
  <si>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</si>
  <si>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</si>
  <si>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</si>
  <si>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</si>
  <si>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</si>
  <si>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</si>
  <si>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</si>
  <si>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</si>
  <si>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</si>
  <si>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</si>
  <si>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</si>
  <si>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</si>
  <si>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</si>
  <si>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</si>
  <si>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</si>
  <si>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</si>
  <si>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</si>
  <si>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</si>
  <si>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</si>
  <si>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</si>
  <si>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</si>
  <si>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</si>
  <si>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</si>
  <si>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</si>
  <si>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</si>
  <si>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</si>
  <si>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</si>
  <si>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</si>
  <si>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</si>
  <si>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</si>
  <si>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</si>
  <si>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</si>
  <si>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</si>
  <si>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</si>
  <si>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</si>
  <si>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</si>
  <si>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</si>
  <si>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</si>
  <si>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</si>
  <si>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</si>
  <si>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</si>
  <si>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</si>
  <si>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</si>
  <si>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</si>
  <si>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</si>
  <si>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</si>
  <si>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</si>
  <si>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</si>
  <si>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</si>
  <si>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</si>
  <si>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</si>
  <si>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</si>
  <si>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</si>
  <si>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</si>
  <si>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</si>
  <si>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</si>
  <si>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</si>
  <si>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</si>
  <si>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</si>
  <si>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</si>
  <si>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</si>
  <si>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</si>
  <si>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</si>
  <si>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</si>
  <si>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</si>
  <si>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</si>
  <si>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</si>
  <si>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</si>
  <si>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</si>
  <si>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</si>
  <si>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</si>
  <si>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</si>
  <si>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</si>
  <si>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</si>
  <si>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</si>
  <si>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</si>
  <si>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</si>
  <si>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</si>
  <si>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</si>
  <si>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</si>
  <si>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</si>
  <si>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</si>
  <si>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</si>
  <si>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</si>
  <si>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</si>
  <si>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</si>
  <si>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</si>
  <si>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</si>
  <si>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</si>
  <si>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</si>
  <si>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</si>
  <si>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</si>
  <si>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</si>
  <si>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</si>
  <si>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</si>
  <si>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</si>
  <si>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</si>
  <si>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</si>
  <si>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</si>
  <si>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</si>
  <si>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</si>
  <si>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</si>
  <si>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</si>
  <si>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</si>
  <si>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</si>
  <si>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</si>
  <si>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</si>
  <si>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</si>
  <si>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</si>
  <si>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</si>
  <si>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</si>
  <si>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</si>
  <si>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</si>
  <si>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</si>
  <si>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</si>
  <si>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</si>
  <si>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</si>
  <si>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</si>
  <si>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</si>
  <si>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</si>
  <si>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</si>
  <si>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</si>
  <si>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</si>
  <si>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</si>
  <si>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</si>
  <si>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</si>
  <si>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</si>
  <si>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</si>
  <si>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</si>
  <si>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</si>
  <si>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</si>
  <si>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</si>
  <si>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</si>
  <si>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</si>
  <si>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</si>
  <si>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</si>
  <si>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</si>
  <si>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</si>
  <si>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</si>
  <si>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</si>
  <si>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</si>
  <si>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</si>
  <si>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</si>
  <si>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</si>
  <si>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</si>
  <si>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</si>
  <si>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</si>
  <si>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</si>
  <si>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</si>
  <si>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</si>
  <si>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</si>
  <si>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</si>
  <si>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</si>
  <si>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</si>
  <si>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</si>
  <si>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</si>
  <si>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</si>
  <si>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</si>
  <si>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</si>
  <si>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</si>
  <si>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</si>
  <si>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</si>
  <si>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</si>
  <si>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</si>
  <si>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</si>
  <si>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</si>
  <si>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</si>
  <si>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</si>
  <si>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</si>
  <si>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</si>
  <si>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</si>
  <si>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</si>
  <si>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</si>
  <si>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</si>
  <si>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</si>
  <si>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</si>
  <si>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</si>
  <si>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</si>
  <si>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</si>
  <si>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</si>
  <si>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</si>
  <si>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</si>
  <si>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</si>
  <si>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</si>
  <si>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</si>
  <si>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</si>
  <si>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</si>
  <si>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</si>
  <si>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</si>
  <si>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</si>
  <si>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</si>
  <si>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</si>
  <si>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</si>
  <si>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</si>
  <si>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</si>
  <si>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</si>
  <si>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</si>
  <si>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</si>
  <si>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</si>
  <si>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</si>
  <si>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</si>
  <si>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</si>
  <si>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</si>
  <si>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</si>
  <si>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</si>
  <si>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</si>
  <si>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</si>
  <si>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</si>
  <si>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</si>
  <si>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</si>
  <si>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</si>
  <si>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</si>
  <si>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</si>
  <si>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</si>
  <si>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</si>
  <si>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</si>
  <si>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</si>
  <si>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</si>
  <si>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</si>
  <si>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</si>
  <si>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</si>
  <si>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</si>
  <si>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</si>
  <si>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</si>
  <si>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</si>
  <si>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</si>
  <si>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</si>
  <si>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</si>
  <si>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</si>
  <si>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</si>
  <si>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</si>
  <si>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</si>
  <si>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</si>
  <si>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</si>
  <si>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</si>
  <si>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</si>
  <si>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</si>
  <si>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</si>
  <si>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</si>
  <si>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</si>
  <si>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</si>
  <si>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</si>
  <si>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</si>
  <si>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</si>
  <si>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</si>
  <si>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</si>
  <si>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</si>
  <si>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</si>
  <si>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</si>
  <si>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</si>
  <si>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</si>
  <si>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</si>
  <si>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</si>
  <si>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</si>
  <si>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</si>
  <si>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</si>
  <si>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</si>
  <si>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</si>
  <si>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</si>
  <si>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</si>
  <si>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</si>
  <si>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</si>
  <si>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</si>
  <si>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</si>
  <si>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</si>
  <si>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</si>
  <si>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</si>
  <si>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</si>
  <si>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</si>
  <si>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</si>
  <si>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</si>
  <si>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</si>
  <si>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</si>
  <si>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</si>
  <si>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</si>
  <si>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</si>
  <si>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</si>
  <si>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</si>
  <si>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</si>
  <si>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</si>
  <si>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</si>
  <si>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</si>
  <si>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</si>
  <si>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</si>
  <si>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</si>
  <si>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</si>
  <si>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</si>
  <si>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</si>
  <si>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</si>
  <si>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</si>
  <si>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</si>
  <si>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</si>
  <si>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</si>
  <si>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</si>
  <si>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</si>
  <si>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</si>
  <si>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</si>
  <si>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</si>
  <si>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</si>
  <si>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</si>
  <si>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</si>
  <si>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</si>
  <si>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</si>
  <si>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</si>
  <si>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</si>
  <si>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</si>
  <si>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</si>
  <si>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</si>
  <si>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</si>
  <si>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</si>
  <si>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</si>
  <si>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</si>
  <si>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</si>
  <si>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</si>
  <si>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</si>
  <si>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</si>
  <si>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</si>
  <si>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</si>
  <si>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</si>
  <si>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</si>
  <si>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</si>
  <si>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</si>
  <si>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</si>
  <si>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</si>
  <si>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</si>
  <si>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</si>
  <si>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</si>
  <si>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</si>
  <si>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</si>
  <si>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</si>
  <si>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</si>
  <si>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</si>
  <si>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</si>
  <si>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</si>
  <si>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</si>
  <si>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</si>
  <si>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</si>
  <si>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</si>
  <si>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</si>
  <si>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</si>
  <si>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</si>
  <si>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</si>
  <si>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</si>
  <si>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</si>
  <si>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</si>
  <si>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</si>
  <si>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</si>
  <si>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</si>
  <si>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</si>
  <si>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</si>
  <si>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</si>
  <si>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</si>
  <si>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</si>
  <si>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</si>
  <si>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</si>
  <si>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</si>
  <si>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</si>
  <si>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</si>
  <si>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</si>
  <si>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</si>
  <si>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</si>
  <si>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</si>
  <si>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</si>
  <si>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</si>
  <si>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</si>
  <si>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</si>
  <si>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</si>
  <si>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</si>
  <si>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</si>
  <si>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</si>
  <si>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</si>
  <si>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</si>
  <si>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</si>
  <si>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</si>
  <si>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</si>
  <si>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</si>
  <si>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</si>
  <si>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</si>
  <si>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</si>
  <si>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</si>
  <si>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</si>
  <si>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</si>
  <si>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</si>
  <si>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</si>
  <si>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</si>
  <si>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</si>
  <si>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</si>
  <si>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</si>
  <si>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</si>
  <si>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</si>
  <si>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</si>
  <si>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</si>
  <si>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</si>
  <si>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</si>
  <si>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</si>
  <si>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</si>
  <si>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</si>
  <si>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</si>
  <si>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</si>
  <si>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</si>
  <si>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</si>
  <si>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</si>
  <si>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</si>
  <si>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</si>
  <si>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</si>
  <si>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</si>
  <si>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</si>
  <si>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</si>
  <si>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</si>
  <si>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</si>
  <si>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</si>
  <si>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</si>
  <si>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</si>
  <si>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</si>
  <si>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</si>
  <si>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</si>
  <si>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</si>
  <si>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</si>
  <si>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</si>
  <si>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</si>
  <si>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</si>
  <si>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</si>
  <si>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</si>
  <si>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</si>
  <si>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</si>
  <si>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</si>
  <si>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</si>
  <si>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</si>
  <si>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</si>
  <si>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</si>
  <si>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</si>
  <si>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</si>
  <si>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</si>
  <si>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</si>
  <si>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</si>
  <si>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</si>
  <si>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</si>
  <si>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</si>
  <si>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</si>
  <si>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</si>
  <si>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</si>
  <si>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</si>
  <si>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</si>
  <si>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</si>
  <si>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</si>
  <si>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</si>
  <si>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</si>
  <si>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</si>
  <si>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</si>
  <si>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</si>
  <si>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</si>
  <si>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</si>
  <si>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</si>
  <si>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</si>
  <si>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</si>
  <si>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</si>
  <si>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</si>
  <si>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</si>
  <si>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</si>
  <si>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</si>
  <si>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</si>
  <si>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</si>
  <si>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</si>
  <si>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</si>
  <si>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</si>
  <si>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</si>
  <si>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</si>
  <si>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</si>
  <si>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</si>
  <si>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</si>
  <si>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</si>
  <si>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</si>
  <si>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</si>
  <si>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</si>
  <si>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</si>
  <si>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</si>
  <si>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</si>
  <si>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</si>
  <si>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</si>
  <si>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</si>
  <si>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</si>
  <si>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</si>
  <si>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</si>
  <si>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</si>
  <si>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</si>
  <si>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</si>
  <si>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</si>
  <si>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</si>
  <si>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</si>
  <si>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</si>
  <si>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</si>
  <si>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</si>
  <si>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</si>
  <si>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</si>
  <si>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</si>
  <si>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</si>
  <si>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</si>
  <si>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</si>
  <si>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</si>
  <si>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</si>
  <si>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</si>
  <si>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</si>
  <si>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</si>
  <si>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</si>
  <si>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</si>
  <si>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</si>
  <si>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</si>
  <si>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</si>
  <si>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</si>
  <si>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</si>
  <si>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</si>
  <si>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</si>
  <si>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</si>
  <si>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</si>
  <si>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</si>
  <si>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</si>
  <si>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</si>
  <si>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</si>
  <si>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</si>
  <si>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</si>
  <si>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</si>
  <si>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</si>
  <si>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</si>
  <si>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</si>
  <si>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</si>
  <si>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</si>
  <si>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</si>
  <si>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</si>
  <si>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</si>
  <si>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</si>
  <si>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</si>
  <si>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</si>
  <si>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</si>
  <si>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</si>
  <si>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</si>
  <si>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</si>
  <si>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</si>
  <si>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</si>
  <si>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</si>
  <si>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</si>
  <si>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</si>
  <si>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</si>
  <si>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</si>
  <si>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</si>
  <si>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</si>
  <si>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</si>
  <si>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</si>
  <si>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</si>
  <si>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</si>
  <si>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</si>
  <si>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</si>
  <si>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</si>
  <si>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</si>
  <si>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</si>
  <si>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</si>
  <si>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</si>
  <si>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</si>
  <si>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</si>
  <si>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</si>
  <si>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</si>
  <si>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</si>
  <si>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</si>
  <si>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</si>
  <si>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</si>
  <si>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</si>
  <si>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</si>
  <si>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</si>
  <si>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</si>
  <si>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</si>
  <si>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</si>
  <si>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</si>
  <si>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</si>
  <si>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</si>
  <si>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</si>
  <si>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</si>
  <si>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</si>
  <si>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</si>
  <si>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</si>
  <si>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</si>
  <si>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</si>
  <si>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</si>
  <si>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</si>
  <si>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</si>
  <si>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</si>
  <si>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</si>
  <si>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</si>
  <si>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</si>
  <si>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</si>
  <si>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</si>
  <si>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</si>
  <si>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</si>
  <si>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</si>
  <si>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</si>
  <si>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</si>
  <si>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</si>
  <si>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</si>
  <si>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</si>
  <si>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</si>
  <si>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</si>
  <si>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</si>
  <si>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</si>
  <si>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</si>
  <si>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</si>
  <si>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</si>
  <si>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</si>
  <si>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</si>
  <si>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</si>
  <si>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</si>
  <si>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</si>
  <si>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</si>
  <si>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</si>
  <si>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</si>
  <si>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</si>
  <si>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</si>
  <si>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</si>
  <si>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</si>
  <si>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</si>
  <si>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</si>
  <si>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</si>
  <si>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</si>
  <si>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</si>
  <si>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</si>
  <si>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</si>
  <si>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</si>
  <si>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</si>
  <si>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</si>
  <si>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</si>
  <si>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</si>
  <si>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</si>
  <si>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</si>
  <si>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</si>
  <si>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</si>
  <si>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</si>
  <si>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</si>
  <si>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</si>
  <si>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</si>
  <si>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</si>
  <si>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</si>
  <si>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</si>
  <si>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</si>
  <si>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</si>
  <si>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</si>
  <si>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</si>
  <si>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</si>
  <si>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</si>
  <si>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</si>
  <si>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</si>
  <si>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</si>
  <si>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</si>
  <si>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</si>
  <si>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</si>
  <si>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</si>
  <si>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</si>
  <si>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</si>
  <si>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</si>
  <si>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</si>
  <si>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</si>
  <si>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</si>
  <si>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</si>
  <si>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</si>
  <si>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</si>
  <si>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</si>
  <si>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</si>
  <si>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</si>
  <si>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</si>
  <si>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</si>
  <si>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</si>
  <si>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</si>
  <si>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</si>
  <si>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</si>
  <si>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</si>
  <si>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</si>
  <si>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</si>
  <si>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</si>
  <si>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</si>
  <si>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</si>
  <si>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</si>
  <si>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</si>
  <si>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</si>
  <si>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</si>
  <si>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</si>
  <si>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</si>
  <si>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</si>
  <si>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</si>
  <si>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</si>
  <si>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</si>
  <si>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</si>
  <si>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</si>
  <si>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</si>
  <si>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</si>
  <si>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</si>
  <si>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</si>
  <si>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</si>
  <si>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</si>
  <si>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</si>
  <si>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</si>
  <si>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</si>
  <si>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</si>
  <si>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</si>
  <si>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</si>
  <si>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</si>
  <si>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</si>
  <si>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</si>
  <si>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</si>
  <si>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</si>
  <si>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</si>
  <si>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</si>
  <si>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</si>
  <si>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</si>
  <si>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</si>
  <si>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</si>
  <si>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</si>
  <si>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</si>
  <si>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</si>
  <si>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</si>
  <si>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</si>
  <si>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</si>
  <si>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</si>
  <si>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</si>
  <si>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</si>
  <si>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</si>
  <si>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</si>
  <si>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</si>
  <si>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</si>
  <si>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</si>
  <si>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</si>
  <si>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</si>
  <si>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</si>
  <si>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</si>
  <si>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</si>
  <si>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</si>
  <si>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</si>
  <si>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</si>
  <si>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</si>
  <si>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</si>
  <si>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</si>
  <si>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</si>
  <si>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</si>
  <si>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</si>
  <si>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</si>
  <si>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</si>
  <si>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</si>
  <si>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</si>
  <si>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</si>
  <si>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</si>
  <si>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</si>
  <si>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</si>
  <si>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</si>
  <si>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</si>
  <si>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</si>
  <si>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</si>
  <si>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</si>
  <si>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</si>
  <si>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</si>
  <si>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</si>
  <si>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</si>
  <si>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</si>
  <si>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</si>
  <si>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</si>
  <si>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</si>
  <si>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</si>
  <si>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</si>
  <si>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</si>
  <si>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</si>
  <si>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</si>
  <si>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</si>
  <si>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</si>
  <si>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</si>
  <si>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</si>
  <si>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</si>
  <si>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</si>
  <si>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</si>
  <si>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</si>
  <si>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</si>
  <si>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</si>
  <si>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</si>
  <si>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</si>
  <si>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</si>
  <si>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</si>
  <si>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</si>
  <si>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</si>
  <si>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</si>
  <si>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</si>
  <si>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</si>
  <si>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</si>
  <si>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</si>
  <si>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</si>
  <si>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</si>
  <si>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</si>
  <si>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</si>
  <si>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</si>
  <si>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</si>
  <si>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</si>
  <si>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</si>
  <si>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</si>
  <si>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</si>
  <si>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</si>
  <si>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</si>
  <si>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</si>
  <si>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</si>
  <si>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</si>
  <si>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</si>
  <si>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</si>
  <si>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</si>
  <si>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</si>
  <si>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</si>
  <si>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</si>
  <si>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</si>
  <si>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</si>
  <si>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</si>
  <si>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</si>
  <si>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</si>
  <si>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</si>
  <si>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</si>
  <si>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</si>
  <si>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</si>
  <si>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</si>
  <si>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</si>
  <si>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</si>
  <si>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</si>
  <si>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</si>
  <si>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</si>
  <si>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</si>
  <si>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</si>
  <si>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</si>
  <si>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</si>
  <si>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</si>
  <si>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</si>
  <si>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</si>
  <si>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</si>
  <si>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</si>
  <si>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</si>
  <si>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</si>
  <si>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</si>
  <si>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</si>
  <si>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</si>
  <si>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</si>
  <si>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</si>
  <si>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</si>
  <si>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</si>
  <si>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</si>
  <si>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</si>
  <si>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</si>
  <si>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</si>
  <si>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</si>
  <si>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</si>
  <si>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</si>
  <si>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</si>
  <si>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</si>
  <si>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</si>
  <si>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</si>
  <si>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</si>
  <si>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</si>
  <si>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</si>
  <si>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</si>
  <si>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</si>
  <si>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</si>
  <si>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</si>
  <si>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</si>
  <si>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</si>
  <si>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</si>
  <si>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</si>
  <si>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</si>
  <si>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</si>
  <si>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</si>
  <si>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</si>
  <si>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</si>
  <si>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</si>
  <si>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</si>
  <si>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</si>
  <si>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</si>
  <si>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</si>
  <si>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</si>
  <si>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</si>
  <si>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</si>
  <si>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</si>
  <si>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</si>
  <si>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</si>
  <si>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</si>
  <si>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</si>
  <si>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</si>
  <si>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</si>
  <si>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</si>
  <si>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</si>
  <si>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</si>
  <si>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</si>
  <si>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</si>
  <si>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</si>
  <si>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</si>
  <si>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</si>
  <si>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</si>
  <si>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</si>
  <si>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</si>
  <si>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</si>
  <si>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</si>
  <si>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</si>
  <si>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</si>
  <si>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</si>
  <si>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</si>
  <si>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</si>
  <si>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</si>
  <si>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</si>
  <si>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</si>
  <si>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</si>
  <si>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</si>
  <si>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</si>
  <si>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</si>
  <si>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</si>
  <si>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</si>
  <si>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</si>
  <si>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</si>
  <si>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</si>
  <si>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</si>
  <si>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</si>
  <si>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</si>
  <si>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</si>
  <si>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</si>
  <si>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</si>
  <si>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</si>
  <si>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</si>
  <si>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</si>
  <si>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</si>
  <si>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</si>
  <si>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</si>
  <si>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</si>
  <si>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</si>
  <si>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</si>
  <si>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</si>
  <si>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</si>
  <si>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</si>
  <si>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</si>
  <si>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</si>
  <si>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</si>
  <si>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</si>
  <si>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</si>
  <si>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</si>
  <si>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</si>
  <si>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</si>
  <si>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</si>
  <si>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</si>
  <si>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</si>
  <si>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</si>
  <si>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</si>
  <si>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</si>
  <si>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</si>
  <si>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</si>
  <si>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</si>
  <si>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</si>
  <si>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</si>
  <si>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</si>
  <si>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</si>
  <si>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</si>
  <si>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</si>
  <si>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</si>
  <si>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</si>
  <si>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</si>
  <si>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</si>
  <si>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</si>
  <si>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</si>
  <si>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</si>
  <si>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</si>
  <si>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</si>
  <si>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</si>
  <si>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</si>
  <si>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</si>
  <si>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</si>
  <si>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</si>
  <si>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</si>
  <si>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</si>
  <si>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</si>
  <si>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</si>
  <si>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</si>
  <si>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</si>
  <si>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</si>
  <si>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</si>
  <si>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</si>
  <si>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</si>
  <si>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</si>
  <si>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</si>
  <si>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</si>
  <si>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</si>
  <si>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</si>
  <si>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</si>
  <si>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</si>
  <si>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</si>
  <si>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</si>
  <si>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</si>
  <si>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</si>
  <si>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</si>
  <si>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</si>
  <si>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</si>
  <si>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</si>
  <si>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</si>
  <si>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</si>
  <si>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</si>
  <si>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</si>
  <si>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</si>
  <si>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</si>
  <si>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</si>
  <si>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</si>
  <si>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</si>
  <si>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</si>
  <si>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</si>
  <si>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</si>
  <si>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</si>
  <si>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</si>
  <si>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</si>
  <si>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</si>
  <si>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</si>
  <si>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</si>
  <si>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</si>
  <si>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</si>
  <si>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</si>
  <si>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</si>
  <si>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</si>
  <si>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</si>
  <si>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</si>
  <si>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</si>
  <si>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</si>
  <si>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</si>
  <si>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</si>
  <si>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</si>
  <si>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</si>
  <si>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</si>
  <si>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</si>
  <si>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</si>
  <si>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</si>
  <si>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</si>
  <si>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</si>
  <si>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</si>
  <si>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</si>
  <si>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</si>
  <si>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</si>
  <si>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</si>
  <si>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</si>
  <si>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</si>
  <si>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</si>
  <si>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</si>
  <si>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</si>
  <si>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</si>
  <si>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</si>
  <si>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</si>
  <si>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</si>
  <si>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</si>
  <si>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</si>
  <si>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</si>
  <si>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</si>
  <si>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</si>
  <si>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</si>
  <si>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</si>
  <si>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</si>
  <si>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</si>
  <si>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</si>
  <si>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</si>
  <si>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</si>
  <si>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</si>
  <si>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</si>
  <si>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</si>
  <si>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</si>
  <si>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</si>
  <si>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</si>
  <si>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</si>
  <si>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</si>
  <si>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</si>
  <si>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</si>
  <si>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</si>
  <si>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</si>
  <si>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</si>
  <si>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</si>
  <si>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</si>
  <si>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</si>
  <si>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</si>
  <si>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</si>
  <si>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</si>
  <si>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</si>
  <si>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</si>
  <si>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</si>
  <si>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</si>
  <si>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</si>
  <si>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</si>
  <si>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</si>
  <si>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</si>
  <si>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</si>
  <si>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</si>
  <si>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</si>
  <si>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</si>
  <si>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</si>
  <si>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</si>
  <si>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</si>
  <si>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</si>
  <si>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</si>
  <si>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</si>
  <si>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</si>
  <si>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</si>
  <si>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</si>
  <si>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</si>
  <si>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</si>
  <si>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</si>
  <si>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</si>
  <si>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</si>
  <si>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</si>
  <si>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</si>
  <si>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</si>
  <si>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</si>
  <si>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</si>
  <si>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</si>
  <si>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</si>
  <si>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</si>
  <si>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</si>
  <si>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</si>
  <si>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</si>
  <si>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</si>
  <si>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</si>
  <si>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</si>
  <si>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</si>
  <si>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</si>
  <si>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</si>
  <si>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</si>
  <si>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</si>
  <si>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</si>
  <si>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</si>
  <si>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</si>
  <si>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</si>
  <si>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</si>
  <si>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</si>
  <si>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</si>
  <si>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</si>
  <si>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</si>
  <si>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</si>
  <si>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</si>
  <si>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</si>
  <si>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</si>
  <si>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</si>
  <si>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</si>
  <si>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</si>
  <si>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</si>
  <si>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</si>
  <si>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</si>
  <si>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</si>
  <si>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</si>
  <si>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</si>
  <si>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</si>
  <si>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</si>
  <si>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</si>
  <si>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</si>
  <si>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</si>
  <si>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</si>
  <si>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</si>
  <si>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</si>
  <si>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</si>
  <si>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</si>
  <si>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</si>
  <si>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</si>
  <si>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</si>
  <si>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</si>
  <si>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</si>
  <si>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</si>
  <si>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</si>
  <si>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</si>
  <si>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</si>
  <si>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</si>
  <si>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</si>
  <si>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</si>
  <si>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</si>
  <si>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</si>
  <si>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</si>
  <si>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</si>
  <si>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</si>
  <si>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</si>
  <si>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</si>
  <si>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</si>
  <si>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</si>
  <si>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</si>
  <si>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</si>
  <si>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</si>
  <si>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</si>
  <si>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</si>
  <si>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</si>
  <si>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</si>
  <si>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</si>
  <si>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</si>
  <si>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</si>
  <si>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</si>
  <si>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</si>
  <si>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</si>
  <si>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</si>
  <si>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</si>
  <si>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</si>
  <si>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</si>
  <si>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</si>
  <si>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</si>
  <si>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</si>
  <si>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</si>
  <si>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</si>
  <si>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</si>
  <si>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</si>
  <si>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</si>
  <si>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</si>
  <si>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</si>
  <si>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</si>
  <si>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</si>
  <si>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</si>
  <si>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</si>
  <si>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</si>
  <si>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</si>
  <si>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</si>
  <si>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</si>
  <si>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</si>
  <si>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</si>
  <si>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</si>
  <si>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</si>
  <si>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</si>
  <si>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</si>
  <si>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</si>
  <si>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</si>
  <si>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</si>
  <si>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</si>
  <si>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</si>
  <si>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</si>
  <si>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</si>
  <si>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</si>
  <si>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</si>
  <si>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</si>
  <si>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</si>
  <si>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</si>
  <si>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</si>
  <si>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</si>
  <si>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</si>
  <si>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</si>
  <si>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</si>
  <si>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</si>
  <si>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</si>
  <si>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</si>
  <si>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</si>
  <si>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</si>
  <si>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</si>
  <si>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</si>
  <si>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</si>
  <si>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</si>
  <si>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</si>
  <si>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</si>
  <si>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</si>
  <si>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</si>
  <si>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</si>
  <si>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</si>
  <si>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</si>
  <si>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</si>
  <si>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</si>
  <si>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</si>
  <si>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</si>
  <si>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</si>
  <si>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</si>
  <si>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</si>
  <si>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</si>
  <si>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</si>
  <si>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</si>
  <si>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</si>
  <si>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</si>
  <si>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</si>
  <si>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</si>
  <si>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</si>
  <si>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</si>
  <si>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</si>
  <si>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</si>
  <si>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</si>
  <si>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</si>
  <si>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</si>
  <si>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</si>
  <si>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</si>
  <si>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</si>
  <si>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</si>
  <si>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</si>
  <si>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</si>
  <si>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</si>
  <si>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</si>
  <si>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</si>
  <si>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</si>
  <si>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</si>
  <si>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</si>
  <si>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</si>
  <si>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</si>
  <si>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</si>
  <si>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</si>
  <si>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</si>
  <si>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</si>
  <si>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</si>
  <si>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</si>
  <si>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</si>
  <si>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</si>
  <si>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</si>
  <si>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</si>
  <si>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</si>
  <si>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</si>
  <si>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</si>
  <si>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</si>
  <si>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</si>
  <si>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</si>
  <si>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</si>
  <si>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</si>
  <si>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</si>
  <si>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</si>
  <si>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</si>
  <si>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</si>
  <si>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</si>
  <si>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</si>
  <si>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</si>
  <si>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</si>
  <si>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</si>
  <si>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</si>
  <si>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</si>
  <si>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</si>
  <si>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</si>
  <si>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</si>
  <si>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</si>
  <si>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</si>
  <si>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</si>
  <si>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</si>
  <si>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</si>
  <si>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</si>
  <si>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</si>
  <si>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</si>
  <si>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</si>
  <si>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</si>
  <si>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</si>
  <si>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</si>
  <si>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</si>
  <si>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</si>
  <si>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</si>
  <si>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</si>
  <si>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</si>
  <si>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</si>
  <si>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</si>
  <si>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</si>
  <si>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</si>
  <si>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</si>
  <si>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</si>
  <si>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</si>
  <si>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</si>
  <si>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</si>
  <si>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</si>
  <si>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</si>
  <si>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</si>
  <si>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</si>
  <si>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</si>
  <si>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</si>
  <si>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</si>
  <si>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</si>
  <si>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</si>
  <si>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</si>
  <si>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</si>
  <si>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</si>
  <si>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</si>
  <si>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</si>
  <si>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</si>
  <si>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</si>
  <si>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</si>
  <si>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</si>
  <si>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</si>
  <si>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</si>
  <si>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</si>
  <si>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</si>
  <si>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</si>
  <si>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</si>
  <si>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</si>
  <si>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</si>
  <si>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</si>
  <si>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</si>
  <si>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</si>
  <si>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</si>
  <si>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</si>
  <si>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</si>
  <si>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</si>
  <si>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</si>
  <si>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</si>
  <si>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</si>
  <si>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</si>
  <si>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</si>
  <si>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</si>
  <si>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</si>
  <si>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</si>
  <si>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</si>
  <si>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</si>
  <si>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</si>
  <si>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</si>
  <si>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</si>
  <si>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</si>
  <si>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</si>
  <si>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</si>
  <si>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</si>
  <si>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</si>
  <si>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</si>
  <si>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</si>
  <si>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</si>
  <si>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</si>
  <si>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</si>
  <si>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</si>
  <si>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</si>
  <si>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</si>
  <si>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</si>
  <si>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</si>
  <si>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</si>
  <si>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</si>
  <si>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</si>
  <si>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</si>
  <si>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</si>
  <si>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</si>
  <si>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</si>
  <si>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</si>
  <si>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</si>
  <si>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</si>
  <si>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</si>
  <si>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</si>
  <si>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</si>
  <si>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</si>
  <si>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</si>
  <si>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</si>
  <si>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</si>
  <si>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</si>
  <si>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</si>
  <si>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</si>
  <si>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</si>
  <si>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</si>
  <si>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</si>
  <si>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</si>
  <si>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</si>
  <si>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</si>
  <si>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</si>
  <si>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</si>
  <si>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</si>
  <si>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</si>
  <si>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</si>
  <si>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</si>
  <si>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</si>
  <si>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</si>
  <si>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</si>
  <si>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</si>
  <si>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</si>
  <si>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</si>
  <si>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</si>
  <si>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</si>
  <si>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</si>
  <si>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</si>
  <si>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</si>
  <si>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</si>
  <si>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</si>
  <si>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</si>
  <si>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</si>
  <si>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</si>
  <si>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</si>
  <si>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</si>
  <si>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</si>
  <si>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</si>
  <si>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</si>
  <si>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</si>
  <si>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</si>
  <si>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</si>
  <si>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</si>
  <si>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</si>
  <si>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</si>
  <si>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</si>
  <si>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</si>
  <si>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</si>
  <si>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</si>
  <si>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</si>
  <si>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</si>
  <si>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</si>
  <si>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</si>
  <si>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</si>
  <si>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</si>
  <si>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</si>
  <si>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</si>
  <si>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</si>
  <si>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</si>
  <si>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</si>
  <si>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</si>
  <si>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</si>
  <si>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</si>
  <si>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</si>
  <si>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</si>
  <si>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</si>
  <si>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</si>
  <si>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</si>
  <si>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</si>
  <si>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</si>
  <si>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</si>
  <si>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</si>
  <si>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</si>
  <si>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</si>
  <si>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</si>
  <si>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</si>
  <si>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</si>
  <si>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</si>
  <si>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</si>
  <si>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</si>
  <si>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</si>
  <si>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</si>
  <si>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</si>
  <si>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</si>
  <si>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</si>
  <si>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</si>
  <si>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</si>
  <si>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</si>
  <si>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</si>
  <si>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</si>
  <si>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</si>
  <si>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</si>
  <si>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</si>
  <si>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</si>
  <si>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</si>
  <si>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</si>
  <si>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</si>
  <si>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</si>
  <si>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</si>
  <si>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</si>
  <si>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</si>
  <si>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</si>
  <si>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</si>
  <si>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</si>
  <si>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</si>
  <si>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</si>
  <si>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</si>
  <si>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</si>
  <si>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</si>
  <si>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</si>
  <si>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</si>
  <si>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</si>
  <si>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</si>
  <si>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</si>
  <si>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</si>
  <si>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</si>
  <si>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</si>
  <si>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</si>
  <si>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</si>
  <si>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</si>
  <si>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</si>
  <si>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</si>
  <si>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</si>
  <si>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</si>
  <si>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</si>
  <si>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</si>
  <si>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</si>
  <si>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</si>
  <si>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</si>
  <si>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</si>
  <si>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</si>
  <si>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</si>
  <si>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</si>
  <si>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</si>
  <si>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</si>
  <si>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</si>
  <si>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</si>
  <si>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</si>
  <si>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</si>
  <si>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</si>
  <si>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</si>
  <si>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</si>
  <si>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</si>
  <si>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</si>
  <si>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</si>
  <si>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</si>
  <si>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</si>
  <si>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</si>
  <si>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</si>
  <si>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</si>
  <si>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</si>
  <si>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</si>
  <si>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</si>
  <si>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</si>
  <si>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</si>
  <si>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</si>
  <si>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</si>
  <si>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</si>
  <si>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</si>
  <si>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</si>
  <si>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</si>
  <si>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</si>
  <si>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</si>
  <si>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</si>
  <si>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</si>
  <si>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</si>
  <si>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</si>
  <si>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</si>
  <si>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</si>
  <si>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</si>
  <si>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</si>
  <si>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</si>
  <si>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</si>
  <si>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</si>
  <si>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</si>
  <si>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</si>
  <si>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</si>
  <si>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</si>
  <si>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</si>
  <si>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</si>
  <si>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</si>
  <si>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</si>
  <si>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</si>
  <si>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</si>
  <si>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</si>
  <si>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</si>
  <si>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</si>
  <si>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</si>
  <si>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</si>
  <si>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</si>
  <si>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</si>
  <si>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</si>
  <si>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</si>
  <si>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</si>
  <si>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</si>
  <si>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</si>
  <si>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</si>
  <si>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</si>
  <si>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</si>
  <si>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</si>
  <si>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</si>
  <si>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</si>
  <si>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</si>
  <si>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</si>
  <si>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</si>
  <si>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</si>
  <si>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</si>
  <si>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</si>
  <si>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</si>
  <si>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</si>
  <si>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</si>
  <si>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</si>
  <si>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</si>
  <si>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</si>
  <si>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</si>
  <si>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</si>
  <si>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</si>
  <si>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</si>
  <si>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</si>
  <si>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</si>
  <si>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</si>
  <si>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</si>
  <si>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</si>
  <si>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</si>
  <si>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</si>
  <si>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</si>
  <si>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</si>
  <si>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</si>
  <si>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</si>
  <si>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</si>
  <si>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</si>
  <si>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</si>
  <si>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</si>
  <si>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</si>
  <si>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</si>
  <si>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</si>
  <si>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</si>
  <si>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</si>
  <si>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</si>
  <si>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</si>
  <si>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</si>
  <si>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</si>
  <si>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</si>
  <si>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</si>
  <si>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</si>
  <si>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</si>
  <si>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</si>
  <si>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</si>
  <si>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</si>
  <si>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</si>
  <si>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</si>
  <si>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</si>
  <si>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</si>
  <si>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</si>
  <si>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</si>
  <si>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</si>
  <si>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</si>
  <si>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</si>
  <si>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</si>
  <si>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</si>
  <si>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</si>
  <si>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</si>
  <si>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</si>
  <si>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</si>
  <si>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</si>
  <si>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</si>
  <si>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</si>
  <si>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</si>
  <si>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</si>
  <si>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</si>
  <si>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</si>
  <si>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</si>
  <si>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</si>
  <si>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</si>
  <si>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</si>
  <si>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</si>
  <si>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</si>
  <si>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</si>
  <si>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</si>
  <si>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</si>
  <si>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</si>
  <si>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</si>
  <si>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</si>
  <si>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</si>
  <si>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</si>
  <si>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</si>
  <si>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</si>
  <si>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</si>
  <si>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</si>
  <si>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</si>
  <si>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</si>
  <si>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</si>
  <si>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</si>
  <si>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</si>
  <si>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</si>
  <si>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</si>
  <si>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</si>
  <si>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</si>
  <si>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</si>
  <si>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</si>
  <si>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</si>
  <si>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</si>
  <si>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</si>
  <si>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</si>
  <si>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</si>
  <si>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</si>
  <si>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</si>
  <si>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</si>
  <si>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</si>
  <si>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</si>
  <si>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</si>
  <si>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</si>
  <si>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</si>
  <si>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</si>
  <si>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</si>
  <si>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</si>
  <si>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</si>
  <si>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</si>
  <si>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</si>
  <si>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</si>
  <si>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</si>
  <si>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</si>
  <si>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</si>
  <si>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</si>
  <si>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</si>
  <si>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</si>
  <si>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</si>
  <si>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</si>
  <si>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</si>
  <si>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</si>
  <si>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</si>
  <si>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</si>
  <si>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</si>
  <si>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</si>
  <si>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</si>
  <si>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</si>
  <si>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</si>
  <si>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</si>
  <si>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</si>
  <si>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</si>
  <si>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</si>
  <si>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</si>
  <si>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</si>
  <si>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</si>
  <si>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</si>
  <si>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</si>
  <si>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</si>
  <si>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</si>
  <si>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</si>
  <si>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</si>
  <si>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</si>
  <si>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</si>
  <si>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</si>
  <si>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</si>
  <si>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</si>
  <si>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</si>
  <si>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</si>
  <si>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</si>
  <si>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</si>
  <si>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</si>
  <si>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</si>
  <si>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</si>
  <si>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</si>
  <si>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</si>
  <si>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</si>
  <si>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</si>
  <si>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</si>
  <si>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</si>
  <si>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</si>
  <si>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</si>
  <si>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</si>
  <si>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</si>
  <si>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</si>
  <si>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</si>
  <si>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</si>
  <si>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</si>
  <si>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</si>
  <si>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</si>
  <si>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</si>
  <si>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</si>
  <si>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</si>
  <si>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</si>
  <si>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</si>
  <si>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</si>
  <si>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</si>
  <si>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</si>
  <si>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</si>
  <si>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</si>
  <si>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</si>
  <si>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</si>
  <si>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</si>
  <si>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</si>
  <si>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</si>
  <si>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</si>
  <si>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</si>
  <si>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</si>
  <si>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</si>
  <si>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</si>
  <si>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</si>
  <si>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</si>
  <si>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</si>
  <si>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</si>
  <si>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</si>
  <si>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</si>
  <si>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</si>
  <si>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</si>
  <si>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</si>
  <si>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</si>
  <si>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</si>
  <si>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</si>
  <si>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</si>
  <si>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</si>
  <si>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</si>
  <si>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</si>
  <si>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</si>
  <si>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</si>
  <si>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</si>
  <si>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</si>
  <si>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</si>
  <si>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</si>
  <si>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</si>
  <si>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</si>
  <si>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</si>
  <si>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</si>
  <si>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</si>
  <si>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</si>
  <si>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</si>
  <si>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</si>
  <si>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</si>
  <si>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</si>
  <si>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</si>
  <si>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</si>
  <si>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</si>
  <si>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</si>
  <si>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</si>
  <si>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</si>
  <si>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</si>
  <si>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</si>
  <si>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</si>
  <si>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</si>
  <si>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</si>
  <si>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</si>
  <si>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</si>
  <si>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</si>
  <si>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</si>
  <si>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</si>
  <si>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</si>
  <si>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</si>
  <si>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</si>
  <si>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</si>
  <si>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</si>
  <si>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</si>
  <si>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</si>
  <si>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</si>
  <si>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</si>
  <si>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</si>
  <si>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</si>
  <si>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</si>
  <si>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</si>
  <si>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</si>
  <si>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</si>
  <si>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</si>
  <si>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</si>
  <si>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</si>
  <si>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</si>
  <si>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</si>
  <si>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</si>
  <si>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</si>
  <si>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</si>
  <si>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</si>
  <si>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</si>
  <si>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</si>
  <si>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</si>
  <si>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</si>
  <si>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</si>
  <si>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</si>
  <si>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</si>
  <si>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</si>
  <si>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</si>
  <si>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</si>
  <si>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</si>
  <si>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</si>
  <si>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</si>
  <si>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</si>
  <si>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</si>
  <si>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</si>
  <si>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</si>
  <si>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</si>
  <si>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</si>
  <si>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</si>
  <si>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</si>
  <si>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</si>
  <si>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</si>
  <si>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</si>
  <si>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</si>
  <si>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</si>
  <si>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</si>
  <si>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</si>
  <si>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</si>
  <si>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</si>
  <si>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</si>
  <si>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</si>
  <si>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</si>
  <si>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</si>
  <si>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</si>
  <si>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</si>
  <si>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</si>
  <si>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</si>
  <si>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</si>
  <si>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</si>
  <si>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</si>
  <si>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</si>
  <si>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</si>
  <si>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</si>
  <si>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</si>
  <si>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</si>
  <si>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</si>
  <si>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</si>
  <si>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</si>
  <si>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</si>
  <si>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</si>
  <si>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</si>
  <si>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</si>
  <si>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</si>
  <si>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</si>
  <si>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</si>
  <si>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</si>
  <si>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</si>
  <si>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</si>
  <si>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</si>
  <si>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</si>
  <si>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</si>
  <si>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</si>
  <si>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</si>
  <si>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</si>
  <si>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</si>
  <si>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</si>
  <si>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</si>
  <si>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</si>
  <si>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</si>
  <si>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</si>
  <si>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</si>
  <si>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</si>
  <si>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</si>
  <si>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</si>
  <si>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</si>
  <si>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</si>
  <si>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</si>
  <si>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</si>
  <si>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</si>
  <si>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</si>
  <si>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</si>
  <si>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</si>
  <si>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</si>
  <si>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</si>
  <si>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</si>
  <si>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</si>
  <si>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</si>
  <si>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</si>
  <si>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</si>
  <si>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</si>
  <si>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</si>
  <si>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</si>
  <si>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</si>
  <si>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</si>
  <si>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</si>
  <si>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</si>
  <si>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</si>
  <si>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</si>
  <si>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</si>
  <si>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</si>
  <si>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</si>
  <si>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</si>
  <si>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</si>
  <si>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</si>
  <si>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</si>
  <si>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</si>
  <si>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</si>
  <si>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</si>
  <si>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</si>
  <si>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</si>
  <si>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</si>
  <si>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</si>
  <si>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</si>
  <si>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</si>
  <si>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</si>
  <si>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</si>
  <si>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</si>
  <si>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</si>
  <si>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</si>
  <si>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</si>
  <si>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</si>
  <si>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</si>
  <si>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</si>
  <si>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</si>
  <si>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</si>
  <si>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</si>
  <si>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</si>
  <si>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</si>
  <si>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</si>
  <si>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</si>
  <si>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</si>
  <si>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</si>
  <si>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</si>
  <si>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</si>
  <si>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</si>
  <si>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</si>
  <si>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</si>
  <si>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</si>
  <si>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</si>
  <si>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</si>
  <si>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</si>
  <si>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</si>
  <si>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</si>
  <si>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</si>
  <si>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</si>
  <si>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</si>
  <si>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</si>
  <si>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</si>
  <si>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</si>
  <si>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</si>
  <si>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</si>
  <si>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</si>
  <si>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</si>
  <si>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</si>
  <si>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</si>
  <si>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</si>
  <si>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</si>
  <si>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</si>
  <si>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</si>
  <si>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</si>
  <si>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</si>
  <si>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</si>
  <si>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</si>
  <si>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</si>
  <si>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</si>
  <si>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</si>
  <si>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</si>
  <si>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</si>
  <si>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</si>
  <si>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</si>
  <si>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</si>
  <si>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</si>
  <si>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</si>
  <si>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</si>
  <si>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</si>
  <si>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</si>
  <si>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</si>
  <si>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</si>
  <si>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</si>
  <si>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</si>
  <si>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</si>
  <si>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</si>
  <si>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</si>
  <si>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</si>
  <si>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</si>
  <si>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</si>
  <si>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</si>
  <si>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</si>
  <si>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</si>
  <si>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</si>
  <si>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</si>
  <si>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</si>
  <si>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</si>
  <si>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</si>
  <si>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</si>
  <si>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</si>
  <si>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</si>
  <si>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</si>
  <si>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</si>
  <si>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</si>
  <si>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</si>
  <si>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</si>
  <si>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</si>
  <si>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</si>
  <si>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</si>
  <si>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</si>
  <si>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</si>
  <si>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</si>
  <si>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</si>
  <si>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</si>
  <si>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</si>
  <si>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</si>
  <si>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</si>
  <si>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</si>
  <si>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</si>
  <si>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</si>
  <si>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</si>
  <si>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</si>
  <si>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</si>
  <si>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</si>
  <si>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</si>
  <si>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</si>
  <si>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</si>
  <si>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</si>
  <si>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</si>
  <si>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</si>
  <si>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</si>
  <si>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</si>
  <si>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</si>
  <si>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</si>
  <si>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</si>
  <si>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</si>
  <si>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</si>
  <si>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</si>
  <si>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</si>
  <si>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</si>
  <si>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</si>
  <si>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</si>
  <si>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</si>
  <si>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</si>
  <si>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</si>
  <si>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</si>
  <si>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</si>
  <si>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</si>
  <si>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</si>
  <si>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</si>
  <si>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</si>
  <si>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</si>
  <si>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</si>
  <si>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</si>
  <si>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</si>
  <si>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</si>
  <si>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</si>
  <si>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</si>
  <si>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</si>
  <si>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</si>
  <si>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</si>
  <si>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</si>
  <si>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</si>
  <si>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</si>
  <si>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</si>
  <si>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</si>
  <si>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</si>
  <si>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</si>
  <si>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</si>
  <si>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</si>
  <si>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</si>
  <si>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</si>
  <si>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</si>
  <si>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</si>
  <si>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</si>
  <si>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</si>
  <si>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</si>
  <si>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</si>
  <si>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</si>
  <si>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</si>
  <si>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</si>
  <si>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</si>
  <si>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</si>
  <si>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</si>
  <si>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</si>
  <si>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</si>
  <si>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</si>
  <si>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</si>
  <si>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</si>
  <si>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</si>
  <si>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</si>
  <si>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</si>
  <si>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</si>
  <si>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</si>
  <si>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</si>
  <si>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</si>
  <si>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</si>
  <si>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</si>
  <si>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</si>
  <si>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</si>
  <si>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</si>
  <si>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</si>
  <si>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</si>
  <si>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</si>
  <si>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</si>
  <si>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</si>
  <si>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</si>
  <si>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</si>
  <si>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</si>
  <si>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</si>
  <si>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</si>
  <si>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</si>
  <si>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</si>
  <si>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</si>
  <si>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</si>
  <si>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</si>
  <si>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</si>
  <si>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</si>
  <si>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</si>
  <si>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</si>
  <si>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</si>
  <si>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</si>
  <si>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</si>
  <si>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</si>
  <si>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</si>
  <si>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</si>
  <si>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</si>
  <si>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</si>
  <si>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</si>
  <si>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</si>
  <si>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</si>
  <si>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</si>
  <si>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</si>
  <si>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</si>
  <si>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</si>
  <si>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</si>
  <si>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</si>
  <si>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</si>
  <si>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</si>
  <si>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</si>
  <si>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</si>
  <si>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</si>
  <si>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</si>
  <si>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</si>
  <si>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</si>
  <si>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</si>
  <si>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</si>
  <si>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</si>
  <si>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</si>
  <si>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</si>
  <si>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</si>
  <si>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</si>
  <si>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</si>
  <si>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</si>
  <si>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</si>
  <si>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</si>
  <si>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</si>
  <si>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</si>
  <si>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</si>
  <si>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</si>
  <si>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</si>
  <si>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</si>
  <si>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</si>
  <si>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</si>
  <si>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</si>
  <si>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</si>
  <si>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</si>
  <si>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</si>
  <si>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</si>
  <si>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</si>
  <si>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</si>
  <si>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</si>
  <si>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</si>
  <si>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</si>
  <si>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</si>
  <si>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</si>
  <si>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</si>
  <si>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</si>
  <si>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</si>
  <si>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</si>
  <si>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</si>
  <si>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</si>
  <si>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</si>
  <si>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</si>
  <si>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</si>
  <si>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</si>
  <si>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</si>
  <si>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</si>
  <si>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</si>
  <si>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</si>
  <si>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</si>
  <si>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</si>
  <si>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</si>
  <si>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</si>
  <si>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</si>
  <si>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</si>
  <si>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</si>
  <si>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</si>
  <si>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</si>
  <si>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</si>
  <si>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</si>
  <si>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</si>
  <si>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</si>
  <si>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</si>
  <si>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</si>
  <si>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</si>
  <si>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</si>
  <si>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</si>
  <si>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</si>
  <si>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</si>
  <si>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</si>
  <si>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</si>
  <si>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</si>
  <si>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</si>
  <si>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</si>
  <si>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</si>
  <si>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</si>
  <si>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</si>
  <si>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</si>
  <si>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</si>
  <si>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</si>
  <si>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</si>
  <si>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</si>
  <si>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</si>
  <si>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</si>
  <si>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</si>
  <si>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</si>
  <si>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</si>
  <si>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</si>
  <si>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</si>
  <si>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</si>
  <si>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</si>
  <si>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</si>
  <si>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</si>
  <si>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</si>
  <si>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</si>
  <si>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</si>
  <si>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</si>
  <si>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</si>
  <si>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</si>
  <si>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</si>
  <si>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</si>
  <si>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</si>
  <si>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</si>
  <si>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</si>
  <si>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</si>
  <si>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</si>
  <si>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</si>
  <si>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</si>
  <si>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</si>
  <si>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</si>
  <si>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</si>
  <si>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</si>
  <si>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</si>
  <si>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</si>
  <si>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</si>
  <si>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</si>
  <si>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</si>
  <si>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</si>
  <si>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</si>
  <si>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</si>
  <si>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</si>
  <si>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</si>
  <si>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</si>
  <si>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</si>
  <si>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</si>
  <si>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</si>
  <si>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</si>
  <si>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</si>
  <si>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</si>
  <si>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</si>
  <si>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</si>
  <si>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</si>
  <si>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</si>
  <si>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</si>
  <si>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</si>
  <si>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</si>
  <si>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</si>
  <si>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</si>
  <si>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</si>
  <si>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</si>
  <si>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</si>
  <si>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</si>
  <si>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</si>
  <si>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</si>
  <si>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</si>
  <si>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</si>
  <si>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</si>
  <si>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</si>
  <si>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</si>
  <si>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</si>
  <si>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</si>
  <si>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</si>
  <si>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</si>
  <si>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</si>
  <si>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</si>
  <si>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</si>
  <si>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</si>
  <si>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</si>
  <si>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</si>
  <si>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</si>
  <si>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</si>
  <si>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</si>
  <si>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</si>
  <si>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</si>
  <si>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</si>
  <si>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</si>
  <si>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</si>
  <si>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</si>
  <si>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</si>
  <si>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</si>
  <si>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</si>
  <si>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</si>
  <si>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</si>
  <si>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</si>
  <si>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</si>
  <si>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</si>
  <si>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</si>
  <si>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</si>
  <si>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</si>
  <si>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</si>
  <si>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</si>
  <si>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</si>
  <si>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</si>
  <si>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</si>
  <si>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</si>
  <si>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</si>
  <si>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</si>
  <si>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</si>
  <si>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</si>
  <si>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</si>
  <si>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</si>
  <si>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</si>
  <si>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</si>
  <si>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</si>
  <si>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</si>
  <si>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</si>
  <si>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</si>
  <si>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</si>
  <si>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</si>
  <si>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</si>
  <si>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</si>
  <si>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</si>
  <si>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</si>
  <si>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</si>
  <si>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</si>
  <si>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</si>
  <si>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</si>
  <si>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</si>
  <si>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</si>
  <si>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</si>
  <si>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</si>
  <si>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</si>
  <si>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</si>
  <si>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</si>
  <si>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</si>
  <si>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</si>
  <si>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</si>
  <si>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</si>
  <si>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</si>
  <si>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</si>
  <si>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</si>
  <si>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</si>
  <si>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</si>
  <si>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</si>
  <si>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</si>
  <si>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</si>
  <si>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</si>
  <si>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</si>
  <si>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</si>
  <si>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</si>
  <si>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</si>
  <si>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</si>
  <si>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</si>
  <si>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</si>
  <si>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</si>
  <si>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</si>
  <si>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</si>
  <si>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</si>
  <si>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</si>
  <si>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</si>
  <si>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</si>
  <si>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</si>
  <si>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</si>
  <si>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</si>
  <si>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</si>
  <si>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</si>
  <si>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</si>
  <si>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</si>
  <si>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</si>
  <si>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</si>
  <si>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</si>
  <si>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</si>
  <si>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</si>
  <si>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</si>
  <si>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</si>
  <si>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</si>
  <si>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</si>
  <si>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</si>
  <si>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</si>
  <si>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</si>
  <si>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</si>
  <si>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</si>
  <si>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</si>
  <si>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</si>
  <si>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</si>
  <si>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</si>
  <si>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</si>
  <si>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</si>
  <si>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</si>
  <si>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</si>
  <si>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</si>
  <si>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</si>
  <si>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</si>
  <si>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</si>
  <si>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</si>
  <si>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</si>
  <si>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</si>
  <si>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</si>
  <si>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</si>
  <si>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</si>
  <si>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</si>
  <si>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</si>
  <si>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</si>
  <si>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</si>
  <si>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</si>
  <si>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</si>
  <si>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</si>
  <si>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</si>
  <si>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</si>
  <si>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</si>
  <si>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</si>
  <si>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</si>
  <si>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</si>
  <si>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</si>
  <si>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</si>
  <si>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</si>
  <si>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</si>
  <si>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</si>
  <si>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</si>
  <si>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</si>
  <si>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</si>
  <si>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</si>
  <si>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</si>
  <si>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</si>
  <si>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</si>
  <si>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</si>
  <si>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</si>
  <si>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</si>
  <si>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</si>
  <si>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</si>
  <si>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</si>
  <si>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</si>
  <si>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</si>
  <si>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</si>
  <si>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</si>
  <si>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</si>
  <si>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</si>
  <si>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</si>
  <si>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</si>
  <si>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</si>
  <si>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</si>
  <si>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</si>
  <si>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</si>
  <si>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</si>
  <si>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</si>
  <si>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</si>
  <si>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</si>
  <si>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</si>
  <si>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</si>
  <si>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</si>
  <si>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</si>
  <si>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</si>
  <si>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</si>
  <si>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</si>
  <si>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</si>
  <si>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</si>
  <si>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</si>
  <si>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</si>
  <si>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</si>
  <si>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</si>
  <si>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</si>
  <si>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</si>
  <si>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</si>
  <si>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</si>
  <si>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</si>
  <si>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</si>
  <si>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</si>
  <si>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</si>
  <si>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</si>
  <si>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</si>
  <si>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</si>
  <si>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</si>
  <si>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</si>
  <si>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</si>
  <si>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</si>
  <si>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</si>
  <si>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</si>
  <si>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</si>
  <si>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</si>
  <si>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</si>
  <si>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</si>
  <si>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</si>
  <si>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</si>
  <si>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</si>
  <si>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</si>
  <si>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</si>
  <si>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</si>
  <si>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</si>
  <si>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</si>
  <si>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</si>
  <si>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</si>
  <si>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</si>
  <si>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</si>
  <si>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</si>
  <si>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</si>
  <si>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</si>
  <si>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</si>
  <si>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</si>
  <si>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</si>
  <si>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</si>
  <si>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</si>
  <si>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</si>
  <si>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</si>
  <si>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</si>
  <si>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</si>
  <si>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</si>
  <si>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</si>
  <si>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</si>
  <si>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</si>
  <si>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</si>
  <si>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</si>
  <si>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</si>
  <si>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</si>
  <si>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</si>
  <si>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</si>
  <si>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</si>
  <si>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</si>
  <si>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</si>
  <si>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</si>
  <si>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</si>
  <si>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</si>
  <si>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</si>
  <si>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</si>
  <si>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</si>
  <si>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</si>
  <si>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</si>
  <si>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</si>
  <si>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</si>
  <si>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</si>
  <si>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</si>
  <si>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</si>
  <si>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</si>
  <si>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</si>
  <si>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</si>
  <si>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</si>
  <si>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</si>
  <si>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</si>
  <si>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</si>
  <si>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</si>
  <si>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</si>
  <si>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</si>
  <si>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</si>
  <si>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</si>
  <si>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</si>
  <si>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</si>
  <si>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</si>
  <si>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</si>
  <si>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</si>
  <si>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</si>
  <si>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</si>
  <si>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</si>
  <si>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</si>
  <si>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</si>
  <si>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</si>
  <si>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</si>
  <si>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</si>
  <si>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</si>
  <si>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</si>
  <si>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</si>
  <si>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</si>
  <si>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</si>
  <si>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</si>
  <si>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</si>
  <si>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</si>
  <si>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</si>
  <si>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</si>
  <si>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</si>
  <si>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</si>
  <si>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</si>
  <si>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</si>
  <si>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</si>
  <si>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</si>
  <si>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</si>
  <si>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</si>
  <si>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</si>
  <si>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</si>
  <si>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</si>
  <si>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</si>
  <si>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</si>
  <si>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</si>
  <si>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</si>
  <si>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</si>
  <si>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</si>
  <si>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</si>
  <si>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</si>
  <si>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</si>
  <si>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</si>
  <si>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</si>
  <si>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</si>
  <si>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</si>
  <si>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</si>
  <si>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</si>
  <si>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</si>
  <si>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</si>
  <si>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</si>
  <si>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</si>
  <si>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</si>
  <si>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</si>
  <si>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</si>
  <si>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</si>
  <si>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</si>
  <si>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</si>
  <si>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</si>
  <si>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</si>
  <si>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</si>
  <si>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</si>
  <si>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</si>
  <si>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</si>
  <si>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</si>
  <si>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</si>
  <si>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</si>
  <si>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</si>
  <si>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</si>
  <si>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</si>
  <si>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</si>
  <si>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</si>
  <si>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</si>
  <si>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</si>
  <si>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</si>
  <si>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</si>
  <si>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</si>
  <si>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</si>
  <si>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</si>
  <si>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</si>
  <si>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</si>
  <si>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</si>
  <si>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</si>
  <si>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</si>
  <si>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</si>
  <si>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</si>
  <si>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</si>
  <si>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</si>
  <si>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</si>
  <si>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</si>
  <si>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</si>
  <si>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</si>
  <si>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</si>
  <si>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</si>
  <si>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</si>
  <si>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</si>
  <si>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</si>
  <si>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</si>
  <si>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</si>
  <si>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</si>
  <si>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</si>
  <si>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</si>
  <si>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</si>
  <si>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</si>
  <si>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</si>
  <si>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</si>
  <si>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</si>
  <si>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</si>
  <si>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</si>
  <si>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</si>
  <si>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</si>
  <si>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</si>
  <si>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</si>
  <si>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</si>
  <si>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</si>
  <si>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</si>
  <si>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</si>
  <si>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</si>
  <si>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</si>
  <si>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</si>
  <si>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</si>
  <si>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</si>
  <si>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</si>
  <si>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</si>
  <si>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</si>
  <si>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</si>
  <si>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</si>
  <si>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</si>
  <si>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</si>
  <si>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</si>
  <si>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</si>
  <si>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</si>
  <si>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</si>
  <si>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</si>
  <si>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</si>
  <si>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</si>
  <si>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</si>
  <si>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</si>
  <si>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</si>
  <si>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</si>
  <si>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</si>
  <si>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</si>
  <si>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</si>
  <si>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</si>
  <si>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</si>
  <si>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</si>
  <si>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</si>
  <si>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</si>
  <si>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</si>
  <si>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</si>
  <si>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</si>
  <si>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</si>
  <si>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</si>
  <si>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</si>
  <si>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</si>
  <si>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</si>
  <si>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</si>
  <si>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</si>
  <si>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</si>
  <si>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</si>
  <si>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</si>
  <si>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</si>
  <si>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</si>
  <si>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</si>
  <si>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</si>
  <si>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</si>
  <si>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</si>
  <si>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</si>
  <si>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</si>
  <si>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</si>
  <si>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</si>
  <si>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</si>
  <si>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</si>
  <si>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</si>
  <si>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</si>
  <si>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</si>
  <si>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</si>
  <si>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</si>
  <si>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</si>
  <si>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</si>
  <si>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</si>
  <si>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</si>
  <si>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</si>
  <si>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</si>
  <si>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</si>
  <si>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</si>
  <si>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</si>
  <si>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</si>
  <si>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</si>
  <si>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</si>
  <si>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</si>
  <si>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</si>
  <si>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</si>
  <si>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</si>
  <si>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</si>
  <si>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</si>
  <si>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</si>
  <si>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</si>
  <si>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</si>
  <si>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</si>
  <si>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</si>
  <si>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</si>
  <si>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</si>
  <si>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</si>
  <si>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</si>
  <si>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</si>
  <si>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</si>
  <si>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</si>
  <si>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</si>
  <si>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</si>
  <si>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</si>
  <si>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</si>
  <si>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</si>
  <si>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</si>
  <si>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</si>
  <si>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</si>
  <si>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</si>
  <si>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</si>
  <si>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</si>
  <si>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</si>
  <si>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</si>
  <si>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</si>
  <si>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</si>
  <si>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</si>
  <si>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</si>
  <si>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</si>
  <si>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</si>
  <si>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</si>
  <si>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</si>
  <si>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</si>
  <si>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</si>
  <si>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</si>
  <si>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</si>
  <si>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</si>
  <si>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</si>
  <si>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</si>
  <si>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</si>
  <si>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</si>
  <si>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</si>
  <si>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</si>
  <si>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</si>
  <si>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</si>
  <si>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</si>
  <si>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</si>
  <si>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</si>
  <si>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</si>
  <si>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</si>
  <si>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</si>
  <si>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</si>
  <si>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</si>
  <si>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</si>
  <si>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</si>
  <si>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</si>
  <si>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</si>
  <si>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</si>
  <si>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</si>
  <si>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</si>
  <si>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</si>
  <si>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</si>
  <si>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</si>
  <si>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</si>
  <si>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</si>
  <si>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</si>
  <si>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</si>
  <si>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</si>
  <si>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</si>
  <si>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</si>
  <si>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</si>
  <si>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</si>
  <si>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</si>
  <si>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</si>
  <si>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</si>
  <si>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</si>
  <si>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</si>
  <si>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</si>
  <si>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</si>
  <si>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</si>
  <si>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</si>
  <si>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</si>
  <si>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</si>
  <si>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</si>
  <si>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</si>
  <si>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</si>
  <si>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</si>
  <si>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</si>
  <si>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</si>
  <si>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</si>
  <si>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</si>
  <si>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</si>
  <si>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</si>
  <si>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</si>
  <si>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</si>
  <si>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</si>
  <si>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</si>
  <si>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</si>
  <si>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</si>
  <si>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</si>
  <si>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</si>
  <si>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</si>
  <si>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</si>
  <si>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</si>
  <si>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</si>
  <si>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</si>
  <si>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</si>
  <si>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</si>
  <si>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</si>
  <si>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</si>
  <si>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</si>
  <si>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</si>
  <si>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</si>
  <si>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</si>
  <si>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</si>
  <si>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</si>
  <si>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</si>
  <si>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</si>
  <si>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</si>
  <si>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</si>
  <si>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</si>
  <si>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</si>
  <si>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</si>
  <si>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</si>
  <si>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</si>
  <si>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</si>
  <si>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</si>
  <si>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</si>
  <si>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</si>
  <si>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</si>
  <si>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</si>
  <si>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</si>
  <si>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</si>
  <si>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</si>
  <si>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</si>
  <si>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</si>
  <si>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</si>
  <si>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</si>
  <si>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</si>
  <si>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</si>
  <si>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</si>
  <si>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</si>
  <si>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</si>
  <si>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</si>
  <si>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</si>
  <si>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</si>
  <si>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</si>
  <si>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</si>
  <si>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</si>
  <si>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</si>
  <si>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</si>
  <si>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</si>
  <si>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</si>
  <si>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</si>
  <si>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</si>
  <si>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</si>
  <si>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</si>
  <si>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</si>
  <si>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</si>
  <si>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</si>
  <si>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</si>
  <si>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</si>
  <si>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</si>
  <si>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</si>
  <si>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</si>
  <si>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</si>
  <si>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</si>
  <si>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</si>
  <si>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</si>
  <si>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</si>
  <si>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</si>
  <si>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</si>
  <si>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</si>
  <si>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</si>
  <si>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</si>
  <si>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</si>
  <si>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</si>
  <si>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</si>
  <si>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</si>
  <si>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</si>
  <si>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</si>
  <si>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</si>
  <si>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</si>
  <si>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</si>
  <si>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</si>
  <si>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</si>
  <si>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</si>
  <si>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</si>
  <si>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</si>
  <si>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</si>
  <si>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</si>
  <si>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</si>
  <si>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</si>
  <si>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</si>
  <si>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</si>
  <si>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</si>
  <si>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</si>
  <si>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</si>
  <si>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</si>
  <si>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</si>
  <si>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</si>
  <si>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</si>
  <si>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</si>
  <si>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</si>
  <si>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</si>
  <si>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</si>
  <si>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</si>
  <si>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</si>
  <si>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</si>
  <si>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</si>
  <si>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</si>
  <si>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</si>
  <si>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</si>
  <si>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</si>
  <si>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</si>
  <si>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</si>
  <si>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</si>
  <si>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</si>
  <si>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</si>
  <si>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</si>
  <si>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</si>
  <si>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</si>
  <si>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</si>
  <si>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</si>
  <si>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</si>
  <si>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</si>
  <si>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</si>
  <si>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</si>
  <si>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</si>
  <si>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</si>
  <si>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</si>
  <si>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</si>
  <si>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</si>
  <si>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</si>
  <si>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</si>
  <si>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</si>
  <si>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</si>
  <si>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</si>
  <si>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</si>
  <si>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</si>
  <si>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</si>
  <si>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</si>
  <si>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</si>
  <si>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</si>
  <si>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</si>
  <si>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</si>
  <si>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</si>
  <si>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</si>
  <si>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</si>
  <si>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</si>
  <si>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</si>
  <si>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</si>
  <si>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</si>
  <si>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</si>
  <si>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</si>
  <si>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</si>
  <si>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</si>
  <si>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</si>
  <si>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</si>
  <si>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</si>
  <si>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</si>
  <si>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</si>
  <si>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</si>
  <si>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</si>
  <si>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</si>
  <si>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</si>
  <si>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</si>
  <si>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</si>
  <si>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</si>
  <si>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</si>
  <si>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</si>
  <si>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</si>
  <si>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</si>
  <si>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</si>
  <si>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</si>
  <si>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</si>
  <si>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</si>
  <si>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</si>
  <si>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</si>
  <si>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</si>
  <si>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</si>
  <si>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</si>
  <si>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</si>
  <si>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</si>
  <si>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</si>
  <si>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</si>
  <si>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</si>
  <si>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</si>
  <si>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</si>
  <si>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</si>
  <si>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</si>
  <si>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</si>
  <si>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</si>
  <si>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</si>
  <si>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</si>
  <si>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</si>
  <si>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</si>
  <si>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</si>
  <si>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</si>
  <si>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</si>
  <si>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</si>
  <si>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</si>
  <si>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</si>
  <si>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</si>
  <si>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</si>
  <si>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</si>
  <si>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</si>
  <si>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</si>
  <si>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</si>
  <si>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</si>
  <si>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</si>
  <si>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</si>
  <si>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</si>
  <si>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</si>
  <si>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</si>
  <si>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</si>
  <si>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</si>
  <si>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</si>
  <si>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</si>
  <si>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</si>
  <si>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</si>
  <si>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</si>
  <si>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</si>
  <si>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</si>
  <si>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</si>
  <si>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</si>
  <si>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</si>
  <si>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</si>
  <si>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</si>
  <si>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</si>
  <si>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</si>
  <si>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</si>
  <si>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</si>
  <si>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</si>
  <si>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</si>
  <si>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</si>
  <si>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</si>
  <si>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</si>
  <si>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</si>
  <si>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</si>
  <si>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</si>
  <si>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</si>
  <si>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</si>
  <si>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</si>
  <si>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</si>
  <si>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</si>
  <si>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</si>
  <si>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</si>
  <si>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</si>
  <si>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</si>
  <si>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</si>
  <si>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</si>
  <si>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</si>
  <si>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</si>
  <si>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</si>
  <si>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</si>
  <si>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</si>
  <si>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</si>
  <si>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</si>
  <si>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</si>
  <si>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</si>
  <si>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</si>
  <si>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</si>
  <si>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</si>
  <si>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</si>
  <si>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</si>
  <si>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</si>
  <si>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</si>
  <si>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</si>
  <si>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</si>
  <si>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</si>
  <si>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</si>
  <si>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</si>
  <si>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</si>
  <si>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</si>
  <si>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</si>
  <si>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</si>
  <si>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</si>
  <si>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</si>
  <si>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</si>
  <si>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</si>
  <si>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</si>
  <si>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</si>
  <si>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</si>
  <si>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</si>
  <si>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</si>
  <si>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</si>
  <si>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</si>
  <si>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</si>
  <si>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</si>
  <si>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</si>
  <si>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</si>
  <si>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</si>
  <si>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</si>
  <si>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</si>
  <si>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</si>
  <si>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</si>
  <si>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</si>
  <si>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</si>
  <si>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</si>
  <si>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</si>
  <si>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</si>
  <si>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</si>
  <si>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</si>
  <si>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</si>
  <si>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</si>
  <si>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</si>
  <si>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</si>
  <si>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</si>
  <si>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</si>
  <si>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</si>
  <si>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</si>
  <si>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</si>
  <si>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</si>
  <si>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</si>
  <si>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</si>
  <si>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</si>
  <si>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</si>
  <si>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</si>
  <si>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</si>
  <si>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</si>
  <si>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</si>
  <si>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</si>
  <si>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</si>
  <si>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</si>
  <si>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</si>
  <si>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</si>
  <si>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</si>
  <si>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</si>
  <si>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</si>
  <si>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</si>
  <si>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</si>
  <si>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</si>
  <si>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</si>
  <si>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</si>
  <si>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</si>
  <si>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</si>
  <si>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</si>
  <si>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</si>
  <si>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</si>
  <si>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</si>
  <si>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</si>
  <si>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</si>
  <si>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</si>
  <si>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</si>
  <si>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</si>
  <si>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</si>
  <si>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</si>
  <si>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</si>
  <si>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</si>
  <si>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</si>
  <si>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</si>
  <si>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</si>
  <si>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</si>
  <si>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</si>
  <si>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</si>
  <si>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</si>
  <si>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</si>
  <si>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</si>
  <si>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</si>
  <si>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</si>
  <si>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</si>
  <si>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</si>
  <si>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</si>
  <si>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</si>
  <si>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</si>
  <si>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</si>
  <si>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</si>
  <si>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</si>
  <si>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</si>
  <si>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</si>
  <si>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</si>
  <si>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</si>
  <si>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</si>
  <si>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</si>
  <si>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</si>
  <si>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</si>
  <si>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</si>
  <si>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</si>
  <si>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</si>
  <si>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</si>
  <si>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</si>
  <si>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</si>
  <si>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</si>
  <si>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</si>
  <si>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</si>
  <si>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</si>
  <si>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</si>
  <si>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</si>
  <si>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</si>
  <si>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</si>
  <si>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</si>
  <si>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</si>
  <si>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</si>
  <si>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</si>
  <si>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</si>
  <si>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</si>
  <si>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</si>
  <si>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</si>
  <si>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</si>
  <si>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</si>
  <si>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</si>
  <si>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</si>
  <si>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</si>
  <si>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</si>
  <si>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</si>
  <si>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</si>
  <si>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</si>
  <si>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</si>
  <si>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</si>
  <si>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</si>
  <si>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</si>
  <si>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</si>
  <si>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</si>
  <si>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</si>
  <si>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</si>
  <si>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</si>
  <si>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</si>
  <si>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</si>
  <si>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</si>
  <si>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</si>
  <si>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</si>
  <si>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</si>
  <si>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</si>
  <si>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</si>
  <si>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</si>
  <si>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</si>
  <si>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</si>
  <si>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</si>
  <si>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</si>
  <si>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</si>
  <si>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</si>
  <si>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</si>
  <si>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</si>
  <si>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</si>
  <si>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</si>
  <si>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</si>
  <si>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</si>
  <si>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</si>
  <si>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</si>
  <si>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</si>
  <si>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</si>
  <si>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</si>
  <si>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</si>
  <si>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</si>
  <si>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</si>
  <si>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</si>
  <si>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</si>
  <si>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</si>
  <si>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</si>
  <si>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</si>
  <si>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</si>
  <si>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</si>
  <si>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</si>
  <si>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</si>
  <si>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</si>
  <si>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</si>
  <si>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</si>
  <si>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</si>
  <si>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</si>
  <si>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</si>
  <si>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</si>
  <si>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</si>
  <si>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</si>
  <si>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</si>
  <si>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</si>
  <si>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</si>
  <si>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</si>
  <si>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</si>
  <si>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</si>
  <si>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</si>
  <si>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</si>
  <si>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</si>
  <si>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</si>
  <si>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</si>
  <si>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</si>
  <si>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</si>
  <si>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</si>
  <si>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</si>
  <si>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</si>
  <si>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</si>
  <si>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</si>
  <si>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</si>
  <si>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</si>
  <si>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</si>
  <si>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</si>
  <si>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</si>
  <si>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</si>
  <si>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</si>
  <si>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</si>
  <si>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</si>
  <si>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</si>
  <si>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</si>
  <si>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</si>
  <si>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</si>
  <si>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</si>
  <si>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</si>
  <si>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</si>
  <si>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</si>
  <si>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</si>
  <si>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</si>
  <si>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</si>
  <si>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</si>
  <si>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</si>
  <si>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</si>
  <si>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</si>
  <si>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</si>
  <si>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</si>
  <si>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</si>
  <si>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</si>
  <si>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</si>
  <si>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</si>
  <si>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</si>
  <si>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</si>
  <si>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</si>
  <si>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</si>
  <si>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</si>
  <si>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</si>
  <si>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</si>
  <si>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</si>
  <si>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</si>
  <si>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</si>
  <si>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</si>
  <si>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</si>
  <si>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</si>
  <si>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</si>
  <si>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</si>
  <si>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</si>
  <si>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</si>
  <si>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</si>
  <si>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</si>
  <si>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</si>
  <si>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</si>
  <si>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</si>
  <si>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</si>
  <si>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</si>
  <si>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</si>
  <si>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</si>
  <si>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</si>
  <si>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</si>
  <si>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</si>
  <si>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</si>
  <si>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</si>
  <si>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</si>
  <si>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</si>
  <si>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</si>
  <si>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</si>
  <si>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</si>
  <si>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</si>
  <si>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</si>
  <si>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</si>
  <si>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</si>
  <si>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</si>
  <si>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</si>
  <si>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</si>
  <si>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</si>
  <si>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</si>
  <si>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</si>
  <si>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</si>
  <si>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</si>
  <si>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</si>
  <si>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</si>
  <si>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</si>
  <si>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</si>
  <si>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</si>
  <si>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</si>
  <si>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</si>
  <si>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</si>
  <si>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</si>
  <si>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</si>
  <si>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</si>
  <si>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</si>
  <si>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</si>
  <si>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</si>
  <si>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</si>
  <si>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</si>
  <si>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</si>
  <si>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</si>
  <si>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</si>
  <si>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</si>
  <si>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</si>
  <si>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</si>
  <si>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</si>
  <si>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</si>
  <si>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</si>
  <si>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</si>
  <si>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</si>
  <si>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</si>
  <si>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</si>
  <si>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</si>
  <si>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</si>
  <si>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</si>
  <si>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</si>
  <si>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</si>
  <si>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</si>
  <si>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</si>
  <si>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</si>
  <si>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</si>
  <si>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</si>
  <si>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</si>
  <si>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</si>
  <si>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</si>
  <si>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</si>
  <si>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</si>
  <si>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</si>
  <si>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</si>
  <si>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</si>
  <si>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</si>
  <si>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</si>
  <si>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</si>
  <si>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</si>
  <si>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</si>
  <si>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</si>
  <si>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</si>
  <si>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</si>
  <si>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</si>
  <si>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</si>
  <si>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</si>
  <si>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</si>
  <si>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</si>
  <si>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</si>
  <si>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</si>
  <si>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</si>
  <si>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</si>
  <si>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</si>
  <si>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</si>
  <si>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</si>
  <si>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</si>
  <si>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</si>
  <si>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</si>
  <si>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</si>
  <si>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</si>
  <si>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</si>
  <si>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</si>
  <si>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</si>
  <si>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</si>
  <si>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</si>
  <si>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</si>
  <si>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</si>
  <si>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</si>
  <si>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</si>
  <si>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</si>
  <si>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</si>
  <si>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</si>
  <si>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</si>
  <si>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</si>
  <si>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</si>
  <si>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</si>
  <si>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</si>
  <si>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</si>
  <si>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</si>
  <si>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</si>
  <si>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</si>
  <si>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</si>
  <si>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</si>
  <si>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</si>
  <si>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</si>
  <si>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</si>
  <si>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</si>
  <si>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</si>
  <si>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</si>
  <si>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</si>
  <si>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</si>
  <si>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</si>
  <si>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</si>
  <si>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</si>
  <si>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</si>
  <si>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</si>
  <si>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</si>
  <si>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</si>
  <si>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</si>
  <si>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</si>
  <si>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</si>
  <si>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</si>
  <si>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</si>
  <si>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</si>
  <si>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</si>
  <si>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</si>
  <si>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</si>
  <si>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</si>
  <si>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</si>
  <si>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</si>
  <si>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</si>
  <si>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</si>
  <si>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</si>
  <si>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</si>
  <si>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</si>
  <si>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</si>
  <si>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</si>
  <si>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</si>
  <si>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</si>
  <si>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</si>
  <si>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</si>
  <si>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</si>
  <si>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</si>
  <si>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</si>
  <si>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</si>
  <si>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</si>
  <si>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</si>
  <si>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</si>
  <si>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</si>
  <si>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</si>
  <si>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</si>
  <si>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</si>
  <si>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</si>
  <si>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</si>
  <si>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</si>
  <si>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</si>
  <si>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</si>
  <si>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</si>
  <si>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</si>
  <si>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</si>
  <si>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</si>
  <si>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</si>
  <si>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</si>
  <si>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</si>
  <si>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</si>
  <si>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</si>
  <si>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</si>
  <si>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</si>
  <si>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</si>
  <si>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</si>
  <si>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</si>
  <si>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</si>
  <si>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</si>
  <si>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</si>
  <si>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</si>
  <si>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</si>
  <si>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</si>
  <si>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</si>
  <si>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</si>
  <si>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</si>
  <si>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</si>
  <si>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</si>
  <si>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</si>
  <si>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</si>
  <si>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</si>
  <si>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</si>
  <si>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</si>
  <si>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</si>
  <si>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</si>
  <si>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</si>
  <si>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</si>
  <si>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</si>
  <si>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</si>
  <si>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</si>
  <si>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</si>
  <si>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</si>
  <si>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</si>
  <si>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</si>
  <si>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</si>
  <si>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</si>
  <si>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</si>
  <si>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</si>
  <si>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</si>
  <si>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</si>
  <si>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</si>
  <si>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</si>
  <si>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</si>
  <si>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</si>
  <si>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</si>
  <si>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</si>
  <si>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</si>
  <si>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</si>
  <si>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</si>
  <si>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</si>
  <si>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</si>
  <si>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</si>
  <si>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</si>
  <si>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</si>
  <si>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</si>
  <si>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</si>
  <si>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</si>
  <si>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</si>
  <si>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</si>
  <si>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</si>
  <si>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</si>
  <si>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</si>
  <si>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</si>
  <si>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</si>
  <si>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</si>
  <si>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</si>
  <si>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</si>
  <si>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</si>
  <si>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</si>
  <si>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</si>
  <si>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</si>
  <si>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</si>
  <si>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</si>
  <si>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</si>
  <si>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</si>
  <si>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</si>
  <si>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</si>
  <si>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</si>
  <si>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</si>
  <si>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</si>
  <si>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</si>
  <si>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</si>
  <si>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</si>
  <si>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</si>
  <si>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</si>
  <si>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</si>
  <si>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</si>
  <si>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</si>
  <si>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</si>
  <si>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</si>
  <si>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</si>
  <si>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</si>
  <si>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</si>
  <si>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</si>
  <si>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</si>
  <si>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</si>
  <si>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</si>
  <si>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</si>
  <si>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</si>
  <si>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</si>
  <si>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</si>
  <si>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</si>
  <si>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</si>
  <si>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</si>
  <si>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</si>
  <si>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</si>
  <si>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</si>
  <si>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</si>
  <si>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</si>
  <si>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</si>
  <si>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</si>
  <si>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</si>
  <si>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</si>
  <si>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</si>
  <si>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</si>
  <si>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</si>
  <si>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</si>
  <si>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</si>
  <si>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</si>
  <si>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</si>
  <si>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</si>
  <si>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</si>
  <si>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</si>
  <si>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</si>
  <si>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</si>
  <si>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</si>
  <si>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</si>
  <si>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</si>
  <si>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</si>
  <si>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</si>
  <si>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</si>
  <si>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</si>
  <si>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</si>
  <si>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</si>
  <si>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</si>
  <si>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</si>
  <si>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</si>
  <si>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</si>
  <si>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</si>
  <si>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</si>
  <si>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</si>
  <si>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</si>
  <si>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</si>
  <si>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</si>
  <si>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</si>
  <si>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</si>
  <si>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</si>
  <si>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</si>
  <si>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</si>
  <si>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</si>
  <si>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</si>
  <si>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</si>
  <si>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</si>
  <si>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</si>
  <si>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</si>
  <si>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</si>
  <si>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</si>
  <si>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</si>
  <si>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</si>
  <si>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</si>
  <si>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</si>
  <si>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</si>
  <si>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</si>
  <si>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</si>
  <si>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</si>
  <si>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</si>
  <si>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</si>
  <si>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</si>
  <si>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</si>
  <si>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</si>
  <si>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</si>
  <si>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</si>
  <si>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</si>
  <si>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</si>
  <si>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</si>
  <si>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</si>
  <si>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</si>
  <si>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</si>
  <si>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</si>
  <si>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</si>
  <si>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</si>
  <si>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</si>
  <si>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</si>
  <si>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</si>
  <si>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</si>
  <si>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</si>
  <si>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</si>
  <si>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</si>
  <si>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</si>
  <si>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</si>
  <si>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</si>
  <si>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</si>
  <si>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</si>
  <si>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</si>
  <si>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</si>
  <si>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</si>
  <si>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</si>
  <si>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</si>
  <si>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</si>
  <si>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</si>
  <si>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</si>
  <si>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</si>
  <si>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</si>
  <si>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</si>
  <si>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</si>
  <si>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</si>
  <si>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</si>
  <si>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</si>
  <si>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</si>
  <si>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</si>
  <si>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</si>
  <si>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</si>
  <si>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</si>
  <si>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</si>
  <si>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</si>
  <si>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</si>
  <si>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</si>
  <si>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</si>
  <si>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</si>
  <si>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</si>
  <si>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</si>
  <si>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</si>
  <si>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</si>
  <si>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</si>
  <si>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</si>
  <si>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</si>
  <si>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</si>
  <si>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</si>
  <si>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</si>
  <si>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</si>
  <si>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</si>
  <si>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</si>
  <si>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</si>
  <si>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</si>
  <si>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</si>
  <si>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</si>
  <si>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</si>
  <si>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</si>
  <si>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</si>
  <si>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</si>
  <si>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</si>
  <si>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</si>
  <si>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</si>
  <si>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</si>
  <si>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</si>
  <si>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</si>
  <si>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</si>
  <si>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</si>
  <si>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</si>
  <si>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</si>
  <si>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</si>
  <si>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</si>
  <si>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</si>
  <si>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</si>
  <si>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</si>
  <si>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</si>
  <si>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</si>
  <si>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</si>
  <si>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</si>
  <si>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</si>
  <si>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</si>
  <si>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</si>
  <si>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</si>
  <si>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</si>
  <si>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</si>
  <si>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</si>
  <si>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</si>
  <si>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</si>
  <si>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</si>
  <si>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</si>
  <si>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</si>
  <si>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</si>
  <si>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</si>
  <si>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</si>
  <si>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</si>
  <si>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</si>
  <si>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</si>
  <si>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</si>
  <si>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</si>
  <si>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</si>
  <si>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</si>
  <si>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</si>
  <si>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</si>
  <si>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</si>
  <si>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</si>
  <si>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</si>
  <si>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</si>
  <si>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</si>
  <si>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</si>
  <si>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</si>
  <si>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</si>
  <si>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</si>
  <si>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</si>
  <si>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</si>
  <si>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</si>
  <si>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</si>
  <si>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</si>
  <si>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</si>
  <si>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</si>
  <si>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</si>
  <si>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</si>
  <si>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</si>
  <si>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</si>
  <si>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</si>
  <si>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</si>
  <si>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</si>
  <si>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</si>
  <si>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</si>
  <si>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</si>
  <si>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</si>
  <si>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</si>
  <si>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</si>
  <si>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</si>
  <si>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</si>
  <si>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</si>
  <si>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</si>
  <si>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</si>
  <si>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</si>
  <si>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</si>
  <si>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</si>
  <si>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</si>
  <si>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</si>
  <si>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</si>
  <si>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</si>
  <si>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</si>
  <si>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</si>
  <si>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</si>
  <si>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</si>
  <si>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</si>
  <si>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</si>
  <si>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</si>
  <si>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</si>
  <si>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</si>
  <si>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</si>
  <si>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</si>
  <si>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</si>
  <si>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</si>
  <si>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</si>
  <si>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</si>
  <si>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</si>
  <si>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</si>
  <si>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</si>
  <si>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</si>
  <si>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</si>
  <si>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</si>
  <si>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</si>
  <si>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</si>
  <si>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</si>
  <si>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</si>
  <si>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</si>
  <si>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</si>
  <si>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</si>
  <si>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</si>
  <si>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</si>
  <si>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</si>
  <si>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</si>
  <si>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</si>
  <si>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</si>
  <si>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</si>
  <si>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</si>
  <si>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</si>
  <si>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</si>
  <si>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</si>
  <si>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</si>
  <si>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</si>
  <si>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</si>
  <si>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</si>
  <si>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</si>
  <si>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</si>
  <si>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</si>
  <si>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</si>
  <si>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</si>
  <si>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</si>
  <si>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</si>
  <si>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</si>
  <si>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</si>
  <si>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</si>
  <si>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</si>
  <si>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</si>
  <si>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</si>
  <si>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</si>
  <si>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</si>
  <si>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</si>
  <si>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</si>
  <si>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</si>
  <si>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</si>
  <si>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</si>
  <si>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</si>
  <si>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</si>
  <si>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</si>
  <si>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</si>
  <si>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</si>
  <si>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</si>
  <si>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</si>
  <si>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</si>
  <si>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</si>
  <si>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</si>
  <si>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</si>
  <si>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</si>
  <si>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</si>
  <si>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</si>
  <si>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</si>
  <si>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</si>
  <si>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</si>
  <si>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</si>
  <si>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</si>
  <si>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</si>
  <si>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</si>
  <si>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</si>
  <si>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</si>
  <si>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</si>
  <si>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</si>
  <si>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</si>
  <si>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</si>
  <si>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</si>
  <si>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</si>
  <si>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</si>
  <si>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</si>
  <si>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</si>
  <si>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</si>
  <si>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</si>
  <si>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</si>
  <si>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</si>
  <si>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</si>
  <si>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</si>
  <si>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</si>
  <si>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</si>
  <si>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</si>
  <si>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</si>
  <si>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</si>
  <si>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</si>
  <si>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</si>
  <si>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</si>
  <si>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</si>
  <si>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</si>
  <si>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</si>
  <si>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</si>
  <si>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</si>
  <si>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</si>
  <si>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</si>
  <si>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</si>
  <si>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</si>
  <si>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</si>
  <si>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</si>
  <si>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</si>
  <si>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</si>
  <si>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</si>
  <si>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</si>
  <si>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</si>
  <si>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</si>
  <si>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</si>
  <si>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</si>
  <si>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</si>
  <si>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</si>
  <si>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</si>
  <si>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</si>
  <si>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</si>
  <si>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</si>
  <si>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</si>
  <si>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</si>
  <si>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</si>
  <si>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</si>
  <si>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</si>
  <si>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</si>
  <si>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</si>
  <si>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</si>
  <si>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</si>
  <si>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</si>
  <si>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</si>
  <si>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</si>
  <si>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</si>
  <si>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</si>
  <si>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</si>
  <si>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</si>
  <si>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</si>
  <si>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</si>
  <si>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</si>
  <si>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</si>
  <si>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</si>
  <si>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</si>
  <si>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</si>
  <si>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</si>
  <si>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</si>
  <si>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</si>
  <si>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</si>
  <si>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</si>
  <si>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</si>
  <si>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</si>
  <si>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</si>
  <si>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</si>
  <si>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</si>
  <si>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</si>
  <si>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</si>
  <si>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</si>
  <si>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</si>
  <si>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</si>
  <si>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</si>
  <si>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</si>
  <si>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</si>
  <si>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</si>
  <si>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</si>
  <si>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</si>
  <si>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</si>
  <si>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</si>
  <si>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</si>
  <si>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</si>
  <si>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</si>
  <si>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</si>
  <si>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</si>
  <si>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</si>
  <si>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</si>
  <si>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</si>
  <si>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</si>
  <si>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</si>
  <si>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</si>
  <si>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</si>
  <si>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</si>
  <si>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</si>
  <si>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</si>
  <si>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</si>
  <si>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</si>
  <si>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</si>
  <si>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</si>
  <si>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</si>
  <si>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</si>
  <si>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</si>
  <si>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</si>
  <si>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</si>
  <si>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</si>
  <si>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</si>
  <si>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</si>
  <si>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</si>
  <si>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</si>
  <si>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</si>
  <si>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</si>
  <si>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</si>
  <si>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</si>
  <si>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</si>
  <si>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</si>
  <si>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</si>
  <si>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</si>
  <si>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</si>
  <si>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</si>
  <si>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</si>
  <si>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</si>
  <si>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</si>
  <si>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</si>
  <si>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</si>
  <si>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</si>
  <si>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</si>
  <si>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</si>
  <si>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</si>
  <si>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</si>
  <si>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</si>
  <si>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</si>
  <si>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</si>
  <si>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</si>
  <si>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</si>
  <si>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</si>
  <si>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</si>
  <si>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</si>
  <si>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</si>
  <si>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</si>
  <si>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</si>
  <si>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</si>
  <si>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</si>
  <si>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</si>
  <si>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</si>
  <si>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</si>
  <si>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</si>
  <si>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</si>
  <si>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</si>
  <si>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</si>
  <si>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</si>
  <si>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</si>
  <si>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</si>
  <si>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</si>
  <si>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</si>
  <si>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</si>
  <si>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</si>
  <si>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</si>
  <si>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</si>
  <si>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</si>
  <si>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</si>
  <si>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</si>
  <si>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</si>
  <si>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</si>
  <si>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</si>
  <si>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</si>
  <si>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</si>
  <si>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</si>
  <si>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</si>
  <si>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</si>
  <si>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</si>
  <si>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</si>
  <si>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</si>
  <si>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</si>
  <si>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</si>
  <si>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</si>
  <si>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</si>
  <si>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</si>
  <si>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</si>
  <si>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</si>
  <si>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</si>
  <si>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</si>
  <si>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</si>
  <si>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</si>
  <si>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</si>
  <si>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</si>
  <si>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</si>
  <si>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</si>
  <si>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</si>
  <si>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</si>
  <si>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</si>
  <si>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</si>
  <si>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</si>
  <si>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</si>
  <si>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</si>
  <si>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</si>
  <si>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</si>
  <si>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</si>
  <si>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</si>
  <si>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</si>
  <si>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</si>
  <si>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</si>
  <si>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</si>
  <si>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</si>
  <si>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</si>
  <si>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</si>
  <si>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</si>
  <si>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</si>
  <si>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</si>
  <si>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</si>
  <si>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</si>
  <si>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</si>
  <si>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</si>
  <si>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</si>
  <si>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</si>
  <si>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</si>
  <si>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</si>
  <si>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</si>
  <si>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</si>
  <si>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</si>
  <si>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</si>
  <si>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</si>
  <si>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</si>
  <si>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</si>
  <si>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</si>
  <si>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</si>
  <si>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</si>
  <si>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</si>
  <si>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</si>
  <si>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</si>
  <si>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</si>
  <si>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</si>
  <si>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</si>
  <si>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</si>
  <si>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</si>
  <si>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</si>
  <si>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</si>
  <si>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</si>
  <si>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</si>
  <si>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</si>
  <si>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</si>
  <si>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</si>
  <si>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</si>
  <si>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</si>
  <si>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</si>
  <si>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</si>
  <si>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</si>
  <si>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</si>
  <si>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</si>
  <si>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</si>
  <si>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</si>
  <si>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</si>
  <si>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</si>
  <si>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</si>
  <si>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</si>
  <si>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</si>
  <si>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</si>
  <si>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</si>
  <si>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</si>
  <si>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</si>
  <si>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</si>
  <si>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</si>
  <si>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</si>
  <si>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</si>
  <si>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</si>
  <si>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</si>
  <si>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</si>
  <si>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</si>
  <si>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</si>
  <si>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</si>
  <si>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</si>
  <si>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</si>
  <si>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</si>
  <si>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</si>
  <si>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</si>
  <si>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</si>
  <si>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</si>
  <si>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</si>
  <si>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</si>
  <si>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</si>
  <si>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</si>
  <si>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</si>
  <si>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</si>
  <si>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</si>
  <si>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</si>
  <si>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</si>
  <si>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</si>
  <si>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</si>
  <si>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</si>
  <si>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</si>
  <si>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</si>
  <si>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</si>
  <si>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</si>
  <si>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</si>
  <si>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</si>
  <si>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</si>
  <si>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</si>
  <si>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</si>
  <si>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</si>
  <si>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</si>
  <si>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</si>
  <si>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</si>
  <si>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</si>
  <si>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</si>
  <si>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</si>
  <si>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</si>
  <si>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</si>
  <si>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</si>
  <si>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</si>
  <si>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</si>
  <si>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</si>
  <si>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</si>
  <si>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</si>
  <si>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</si>
  <si>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</si>
  <si>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</si>
  <si>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</si>
  <si>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</si>
  <si>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</si>
  <si>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</si>
  <si>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</si>
  <si>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</si>
  <si>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</si>
  <si>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</si>
  <si>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</si>
  <si>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</si>
  <si>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</si>
  <si>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</si>
  <si>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</si>
  <si>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</si>
  <si>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</si>
  <si>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</si>
  <si>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</si>
  <si>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</si>
  <si>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</si>
  <si>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</si>
  <si>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</si>
  <si>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</si>
  <si>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</si>
  <si>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</si>
  <si>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</si>
  <si>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</si>
  <si>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</si>
  <si>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</si>
  <si>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</si>
  <si>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</si>
  <si>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</si>
  <si>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</si>
  <si>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</si>
  <si>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</si>
  <si>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</si>
  <si>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</si>
  <si>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</si>
  <si>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</si>
  <si>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</si>
  <si>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</si>
  <si>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</si>
  <si>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</si>
  <si>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</si>
  <si>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</si>
  <si>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</si>
  <si>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</si>
  <si>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</si>
  <si>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</si>
  <si>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</si>
  <si>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</si>
  <si>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</si>
  <si>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</si>
  <si>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</si>
  <si>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</si>
  <si>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</si>
  <si>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</si>
  <si>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</si>
  <si>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</si>
  <si>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</si>
  <si>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</si>
  <si>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</si>
  <si>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</si>
  <si>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</si>
  <si>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</si>
  <si>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</si>
  <si>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</si>
  <si>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</si>
  <si>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</si>
  <si>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</si>
  <si>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</si>
  <si>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</si>
  <si>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</si>
  <si>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</si>
  <si>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</si>
  <si>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</si>
  <si>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</si>
  <si>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</si>
  <si>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</si>
  <si>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</si>
  <si>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</si>
  <si>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</si>
  <si>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</si>
  <si>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</si>
  <si>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</si>
  <si>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</si>
  <si>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</si>
  <si>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</si>
  <si>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</si>
  <si>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</si>
  <si>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</si>
  <si>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</si>
  <si>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</si>
  <si>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</si>
  <si>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</si>
  <si>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</si>
  <si>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</si>
  <si>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</si>
  <si>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</si>
  <si>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</si>
  <si>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</si>
  <si>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</si>
  <si>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</si>
  <si>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</si>
  <si>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</si>
  <si>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</si>
  <si>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</si>
  <si>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</si>
  <si>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</si>
  <si>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</si>
  <si>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</si>
  <si>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</si>
  <si>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</si>
  <si>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</si>
  <si>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</si>
  <si>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</si>
  <si>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</si>
  <si>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</si>
  <si>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</si>
  <si>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</si>
  <si>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</si>
  <si>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</si>
  <si>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</si>
  <si>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</si>
  <si>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</si>
  <si>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</si>
  <si>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</si>
  <si>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</si>
  <si>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</si>
  <si>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</si>
  <si>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</si>
  <si>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</si>
  <si>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</si>
  <si>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</si>
  <si>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</si>
  <si>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</si>
  <si>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</si>
  <si>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</si>
  <si>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</si>
  <si>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</si>
  <si>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</si>
  <si>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</si>
  <si>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</si>
  <si>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</si>
  <si>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</si>
  <si>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</si>
  <si>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</si>
  <si>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</si>
  <si>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</si>
  <si>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</si>
  <si>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</si>
  <si>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</si>
  <si>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</si>
  <si>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</si>
  <si>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</si>
  <si>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</si>
  <si>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</si>
  <si>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</si>
  <si>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</si>
  <si>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</si>
  <si>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</si>
  <si>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</si>
  <si>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</si>
  <si>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</si>
  <si>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</si>
  <si>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</si>
  <si>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</si>
  <si>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</si>
  <si>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</si>
  <si>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</si>
  <si>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</si>
  <si>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</si>
  <si>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</si>
  <si>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</si>
  <si>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</si>
  <si>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</si>
  <si>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</si>
  <si>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</si>
  <si>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</si>
  <si>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</si>
  <si>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</si>
  <si>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</si>
  <si>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</si>
  <si>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</si>
  <si>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</si>
  <si>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</si>
  <si>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</si>
  <si>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</si>
  <si>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</si>
  <si>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</si>
  <si>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</si>
  <si>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</si>
  <si>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</si>
  <si>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</si>
  <si>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</si>
  <si>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</si>
  <si>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</si>
  <si>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</si>
  <si>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</si>
  <si>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</si>
  <si>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</si>
  <si>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</si>
  <si>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</si>
  <si>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</si>
  <si>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</si>
  <si>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</si>
  <si>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</si>
  <si>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</si>
  <si>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</si>
  <si>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</si>
  <si>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</si>
  <si>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</si>
  <si>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</si>
  <si>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</si>
  <si>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</si>
  <si>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</si>
  <si>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</si>
  <si>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</si>
  <si>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</si>
  <si>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</si>
  <si>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</si>
  <si>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</si>
  <si>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</si>
  <si>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</si>
  <si>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</si>
  <si>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</si>
  <si>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</si>
  <si>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</si>
  <si>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</si>
  <si>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</si>
  <si>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</si>
  <si>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</si>
  <si>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</si>
  <si>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</si>
  <si>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</si>
  <si>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</si>
  <si>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</si>
  <si>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</si>
  <si>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</si>
  <si>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</si>
  <si>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</si>
  <si>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</si>
  <si>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</si>
  <si>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</si>
  <si>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</si>
  <si>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</si>
  <si>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</si>
  <si>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</si>
  <si>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</si>
  <si>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</si>
  <si>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</si>
  <si>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</si>
  <si>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</si>
  <si>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</si>
  <si>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</si>
  <si>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</si>
  <si>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</si>
  <si>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</si>
  <si>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</si>
  <si>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</si>
  <si>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</si>
  <si>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</si>
  <si>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</si>
  <si>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</si>
  <si>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</si>
  <si>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</si>
  <si>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</si>
  <si>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</si>
  <si>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</si>
  <si>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</si>
  <si>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</si>
  <si>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</si>
  <si>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</si>
  <si>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</si>
  <si>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</si>
  <si>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</si>
  <si>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</si>
  <si>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</si>
  <si>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</si>
  <si>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</si>
  <si>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</si>
  <si>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</si>
  <si>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</si>
  <si>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</si>
  <si>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</si>
  <si>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</si>
  <si>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</si>
  <si>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</si>
  <si>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</si>
  <si>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</si>
  <si>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</si>
  <si>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</si>
  <si>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</si>
  <si>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</si>
  <si>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</si>
  <si>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</si>
  <si>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</si>
  <si>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</si>
  <si>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</si>
  <si>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</si>
  <si>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</si>
  <si>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</si>
  <si>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</si>
  <si>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</si>
  <si>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</si>
  <si>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</si>
  <si>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</si>
  <si>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</si>
  <si>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</si>
  <si>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</si>
  <si>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</si>
  <si>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</si>
  <si>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</si>
  <si>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</si>
  <si>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</si>
  <si>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</si>
  <si>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</si>
  <si>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</si>
  <si>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</si>
  <si>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</si>
  <si>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</si>
  <si>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</si>
  <si>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</si>
  <si>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</si>
  <si>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</si>
  <si>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</si>
  <si>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</si>
  <si>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</si>
  <si>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</si>
  <si>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</si>
  <si>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</si>
  <si>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</si>
  <si>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</si>
  <si>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</si>
  <si>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</si>
  <si>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</si>
  <si>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</si>
  <si>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</si>
  <si>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</si>
  <si>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</si>
  <si>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</si>
  <si>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</si>
  <si>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</si>
  <si>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</si>
  <si>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</si>
  <si>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</si>
  <si>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</si>
  <si>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</si>
  <si>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</si>
  <si>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</si>
  <si>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</si>
  <si>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</si>
  <si>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</si>
  <si>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</si>
  <si>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</si>
  <si>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</si>
  <si>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</si>
  <si>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</si>
  <si>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</si>
  <si>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</si>
  <si>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</si>
  <si>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</si>
  <si>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</si>
  <si>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</si>
  <si>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</si>
  <si>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</si>
  <si>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</si>
  <si>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</si>
  <si>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</si>
  <si>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</si>
  <si>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</si>
  <si>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</si>
  <si>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</si>
  <si>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</si>
  <si>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</si>
  <si>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</si>
  <si>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</si>
  <si>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</si>
  <si>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</si>
  <si>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</si>
  <si>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</si>
  <si>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</si>
  <si>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</si>
  <si>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</si>
  <si>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</si>
  <si>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</si>
  <si>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</si>
  <si>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</si>
  <si>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</si>
  <si>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</si>
  <si>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</si>
  <si>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</si>
  <si>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</si>
  <si>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</si>
  <si>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</si>
  <si>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</si>
  <si>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</si>
  <si>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</si>
  <si>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</si>
  <si>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</si>
  <si>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</si>
  <si>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</si>
  <si>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</si>
  <si>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</si>
  <si>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</si>
  <si>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</si>
  <si>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</si>
  <si>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</si>
  <si>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</si>
  <si>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</si>
  <si>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</si>
  <si>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</si>
  <si>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</si>
  <si>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</si>
  <si>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</si>
  <si>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</si>
  <si>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</si>
  <si>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</si>
  <si>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</si>
  <si>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</si>
  <si>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</si>
  <si>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</si>
  <si>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</si>
  <si>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</si>
  <si>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</si>
  <si>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</si>
  <si>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</si>
  <si>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</si>
  <si>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</si>
  <si>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</si>
  <si>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</si>
  <si>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</si>
  <si>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</si>
  <si>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</si>
  <si>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</si>
  <si>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</si>
  <si>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</si>
  <si>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</si>
  <si>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</si>
  <si>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</si>
  <si>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</si>
  <si>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</si>
  <si>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</si>
  <si>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</si>
  <si>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</si>
  <si>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</si>
  <si>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</si>
  <si>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</si>
  <si>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</si>
  <si>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</si>
  <si>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</si>
  <si>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</si>
  <si>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</si>
  <si>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</si>
  <si>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</si>
  <si>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</si>
  <si>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</si>
  <si>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</si>
  <si>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</si>
  <si>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</si>
  <si>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</si>
  <si>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</si>
  <si>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</si>
  <si>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</si>
  <si>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</si>
  <si>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</si>
  <si>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</si>
  <si>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</si>
  <si>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</si>
  <si>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</si>
  <si>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</si>
  <si>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</si>
  <si>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</si>
  <si>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</si>
  <si>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</si>
  <si>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</si>
  <si>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</si>
  <si>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</si>
  <si>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</si>
  <si>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</si>
  <si>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</si>
  <si>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</si>
  <si>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</si>
  <si>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</si>
  <si>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</si>
  <si>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</si>
  <si>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</si>
  <si>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</si>
  <si>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</si>
  <si>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</si>
  <si>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</si>
  <si>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</si>
  <si>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</si>
  <si>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</si>
  <si>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</si>
  <si>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</si>
  <si>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</si>
  <si>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</si>
  <si>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</si>
  <si>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</si>
  <si>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</si>
  <si>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</si>
  <si>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</si>
  <si>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</si>
  <si>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</si>
  <si>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</si>
  <si>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</si>
  <si>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</si>
  <si>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</si>
  <si>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</si>
  <si>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</si>
  <si>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</si>
  <si>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</si>
  <si>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</si>
  <si>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</si>
  <si>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</si>
  <si>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</si>
  <si>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</si>
  <si>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</si>
  <si>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</si>
  <si>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</si>
  <si>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</si>
  <si>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</si>
  <si>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</si>
  <si>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</si>
  <si>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</si>
  <si>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</si>
  <si>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</si>
  <si>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</si>
  <si>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</si>
  <si>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</si>
  <si>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</si>
  <si>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</si>
  <si>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</si>
  <si>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</si>
  <si>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</si>
  <si>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</si>
  <si>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</si>
  <si>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</si>
  <si>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</si>
  <si>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</si>
  <si>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</si>
  <si>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</si>
  <si>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</si>
  <si>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</si>
  <si>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</si>
  <si>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</si>
  <si>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</si>
  <si>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</si>
  <si>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</si>
  <si>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</si>
  <si>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</si>
  <si>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</si>
  <si>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</si>
  <si>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</si>
  <si>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</si>
  <si>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</si>
  <si>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</si>
  <si>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</si>
  <si>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</si>
  <si>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</si>
  <si>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</si>
  <si>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</si>
  <si>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</si>
  <si>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</si>
  <si>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</si>
  <si>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</si>
  <si>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</si>
  <si>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</si>
  <si>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</si>
  <si>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</si>
  <si>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</si>
  <si>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</si>
  <si>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</si>
  <si>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</si>
  <si>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</si>
  <si>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</si>
  <si>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</si>
  <si>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</si>
  <si>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</si>
  <si>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</si>
  <si>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</si>
  <si>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</si>
  <si>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</si>
  <si>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</si>
  <si>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</si>
  <si>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</si>
  <si>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</si>
  <si>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</si>
  <si>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</si>
  <si>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</si>
  <si>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</si>
  <si>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</si>
  <si>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</si>
  <si>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</si>
  <si>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</si>
  <si>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</si>
  <si>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</si>
  <si>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</si>
  <si>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</si>
  <si>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</si>
  <si>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</si>
  <si>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</si>
  <si>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</si>
  <si>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</si>
  <si>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</si>
  <si>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</si>
  <si>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</si>
  <si>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</si>
  <si>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</si>
  <si>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</si>
  <si>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</si>
  <si>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</si>
  <si>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</si>
  <si>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</si>
  <si>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</si>
  <si>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</si>
  <si>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</si>
  <si>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</si>
  <si>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</si>
  <si>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</si>
  <si>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</si>
  <si>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</si>
  <si>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</si>
  <si>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</si>
  <si>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</si>
  <si>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</si>
  <si>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</si>
  <si>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</si>
  <si>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</si>
  <si>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</si>
  <si>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</si>
  <si>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</si>
  <si>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</si>
  <si>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</si>
  <si>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</si>
  <si>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</si>
  <si>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</si>
  <si>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</si>
  <si>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</si>
  <si>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</si>
  <si>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</si>
  <si>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</si>
  <si>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</si>
  <si>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</si>
  <si>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</si>
  <si>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</si>
  <si>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</si>
  <si>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</si>
  <si>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</si>
  <si>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</si>
  <si>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</si>
  <si>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</si>
  <si>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</si>
  <si>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</si>
  <si>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</si>
  <si>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</si>
  <si>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</si>
  <si>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</si>
  <si>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</si>
  <si>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</si>
  <si>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</si>
  <si>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</si>
  <si>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</si>
  <si>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</si>
  <si>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</si>
  <si>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</si>
  <si>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</si>
  <si>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</si>
  <si>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</si>
  <si>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</si>
  <si>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</si>
  <si>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</si>
  <si>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</si>
  <si>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</si>
  <si>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</si>
  <si>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</si>
  <si>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</si>
  <si>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</si>
  <si>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</si>
  <si>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</si>
  <si>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</si>
  <si>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</si>
  <si>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</si>
  <si>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</si>
  <si>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</si>
  <si>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</si>
  <si>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</si>
  <si>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</si>
  <si>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</si>
  <si>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</si>
  <si>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</si>
  <si>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</si>
  <si>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</si>
  <si>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</si>
  <si>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</si>
  <si>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</si>
  <si>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</si>
  <si>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</si>
  <si>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</si>
  <si>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</si>
  <si>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</si>
  <si>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</si>
  <si>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</si>
  <si>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</si>
  <si>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</si>
  <si>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</si>
  <si>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</si>
  <si>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</si>
  <si>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</si>
  <si>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</si>
  <si>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</si>
  <si>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</si>
  <si>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</si>
  <si>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</si>
  <si>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</si>
  <si>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</si>
  <si>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</si>
  <si>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</si>
  <si>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</si>
  <si>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</si>
  <si>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</si>
  <si>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</si>
  <si>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</si>
  <si>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</si>
  <si>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</si>
  <si>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</si>
  <si>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</si>
  <si>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</si>
  <si>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</si>
  <si>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</si>
  <si>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</si>
  <si>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</si>
  <si>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</si>
  <si>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</si>
  <si>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</si>
  <si>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</si>
  <si>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</si>
  <si>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</si>
  <si>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</si>
  <si>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</si>
  <si>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</si>
  <si>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</si>
  <si>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</si>
  <si>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</si>
  <si>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</si>
  <si>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</si>
  <si>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</si>
  <si>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</si>
  <si>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</si>
  <si>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</si>
  <si>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</si>
  <si>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</si>
  <si>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</si>
  <si>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</si>
  <si>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</si>
  <si>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</si>
  <si>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</si>
  <si>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</si>
  <si>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</si>
  <si>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</si>
  <si>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</si>
  <si>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</si>
  <si>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</si>
  <si>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</si>
  <si>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</si>
  <si>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</si>
  <si>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</si>
  <si>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</si>
  <si>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</si>
  <si>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</si>
  <si>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</si>
  <si>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</si>
  <si>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</si>
  <si>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</si>
  <si>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</si>
  <si>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</si>
  <si>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</si>
  <si>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</si>
  <si>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</si>
  <si>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</si>
  <si>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</si>
  <si>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</si>
  <si>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</si>
  <si>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</si>
  <si>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</si>
  <si>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</si>
  <si>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</si>
  <si>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</si>
  <si>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</si>
  <si>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</si>
  <si>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</si>
  <si>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</si>
  <si>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</si>
  <si>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</si>
  <si>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</si>
  <si>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</si>
  <si>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</si>
  <si>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</si>
  <si>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</si>
  <si>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</si>
  <si>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</si>
  <si>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</si>
  <si>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</si>
  <si>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</si>
  <si>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</si>
  <si>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</si>
  <si>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</si>
  <si>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</si>
  <si>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</si>
  <si>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</si>
  <si>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</si>
  <si>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</si>
  <si>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</si>
  <si>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</si>
  <si>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</si>
  <si>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</si>
  <si>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</si>
  <si>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</si>
  <si>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</si>
  <si>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</si>
  <si>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</si>
  <si>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</si>
  <si>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</si>
  <si>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</si>
  <si>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</si>
  <si>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</si>
  <si>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</si>
  <si>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</si>
  <si>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</si>
  <si>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</si>
  <si>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</si>
  <si>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</si>
  <si>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</si>
  <si>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</si>
  <si>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</si>
  <si>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</si>
  <si>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</si>
  <si>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</si>
  <si>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</si>
  <si>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</si>
  <si>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</si>
  <si>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</si>
  <si>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</si>
  <si>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</si>
  <si>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</si>
  <si>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</si>
  <si>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</si>
  <si>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</si>
  <si>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</si>
  <si>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</si>
  <si>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</si>
  <si>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</si>
  <si>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</si>
  <si>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</si>
  <si>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</si>
  <si>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</si>
  <si>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</si>
  <si>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</si>
  <si>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</si>
  <si>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</si>
  <si>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</si>
  <si>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</si>
  <si>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</si>
  <si>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</si>
  <si>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</si>
  <si>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</si>
  <si>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</si>
  <si>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</si>
  <si>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</si>
  <si>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</si>
  <si>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</si>
  <si>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</si>
  <si>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</si>
  <si>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</si>
  <si>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</si>
  <si>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</si>
  <si>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</si>
  <si>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</si>
  <si>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</si>
  <si>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</si>
  <si>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</si>
  <si>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</si>
  <si>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</si>
  <si>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</si>
  <si>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</si>
  <si>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</si>
  <si>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</si>
  <si>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</si>
  <si>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</si>
  <si>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</si>
  <si>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</si>
  <si>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</si>
  <si>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</si>
  <si>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</si>
  <si>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</si>
  <si>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</si>
  <si>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</si>
  <si>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</si>
  <si>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</si>
  <si>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</si>
  <si>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</si>
  <si>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</si>
  <si>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</si>
  <si>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</si>
  <si>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</si>
  <si>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</si>
  <si>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</si>
  <si>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</si>
  <si>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</si>
  <si>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</si>
  <si>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</si>
  <si>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</si>
  <si>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</si>
  <si>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</si>
  <si>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</si>
  <si>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</si>
  <si>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</si>
  <si>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</si>
  <si>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</si>
  <si>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</si>
  <si>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</si>
  <si>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</si>
  <si>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</si>
  <si>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</si>
  <si>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</si>
  <si>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</si>
  <si>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</si>
  <si>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</si>
  <si>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</si>
  <si>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</si>
  <si>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</si>
  <si>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</si>
  <si>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</si>
  <si>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</si>
  <si>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</si>
  <si>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</si>
  <si>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</si>
  <si>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</si>
  <si>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</si>
  <si>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</si>
  <si>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</si>
  <si>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</si>
  <si>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</si>
  <si>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</si>
  <si>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</si>
  <si>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</si>
  <si>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</si>
  <si>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</si>
  <si>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</si>
  <si>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</si>
  <si>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</si>
  <si>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</si>
  <si>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</si>
  <si>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</si>
  <si>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</si>
  <si>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</si>
  <si>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</si>
  <si>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</si>
  <si>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</si>
  <si>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</si>
  <si>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</si>
  <si>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</si>
  <si>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</si>
  <si>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</si>
  <si>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</si>
  <si>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</si>
  <si>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</si>
  <si>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</si>
  <si>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</si>
  <si>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</si>
  <si>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</si>
  <si>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</si>
  <si>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</si>
  <si>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</si>
  <si>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</si>
  <si>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</si>
  <si>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</si>
  <si>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</si>
  <si>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</si>
  <si>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</si>
  <si>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</si>
  <si>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</si>
  <si>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</si>
  <si>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</si>
  <si>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</si>
  <si>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</si>
  <si>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</si>
  <si>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</si>
  <si>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</si>
  <si>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</si>
  <si>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</si>
  <si>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</si>
  <si>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</si>
  <si>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</si>
  <si>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</si>
  <si>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</si>
  <si>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</si>
  <si>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</si>
  <si>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</si>
  <si>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</si>
  <si>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</si>
  <si>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</si>
  <si>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</si>
  <si>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</si>
  <si>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</si>
  <si>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</si>
  <si>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</si>
  <si>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</si>
  <si>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</si>
  <si>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</si>
  <si>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</si>
  <si>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</si>
  <si>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</si>
  <si>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</si>
  <si>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</si>
  <si>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</si>
  <si>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</si>
  <si>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</si>
  <si>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</si>
  <si>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</si>
  <si>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</si>
  <si>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</si>
  <si>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</si>
  <si>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</si>
  <si>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</si>
  <si>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</si>
  <si>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</si>
  <si>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</si>
  <si>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</si>
  <si>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</si>
  <si>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</si>
  <si>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</si>
  <si>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</si>
  <si>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</si>
  <si>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</si>
  <si>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</si>
  <si>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</si>
  <si>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</si>
  <si>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</si>
  <si>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</si>
  <si>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</si>
  <si>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</si>
  <si>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</si>
  <si>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</si>
  <si>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</si>
  <si>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</si>
  <si>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</si>
  <si>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</si>
  <si>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</si>
  <si>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</si>
  <si>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</si>
  <si>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</si>
  <si>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</si>
  <si>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</si>
  <si>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</si>
  <si>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</si>
  <si>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</si>
  <si>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</si>
  <si>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</si>
  <si>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</si>
  <si>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</si>
  <si>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</si>
  <si>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</si>
  <si>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</si>
  <si>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</si>
  <si>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</si>
  <si>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</si>
  <si>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</si>
  <si>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</si>
  <si>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</si>
  <si>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</si>
  <si>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</si>
  <si>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</si>
  <si>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</si>
  <si>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</si>
  <si>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</si>
  <si>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</si>
  <si>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</si>
  <si>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</si>
  <si>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</si>
  <si>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</si>
  <si>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</si>
  <si>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</si>
  <si>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</si>
  <si>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</si>
  <si>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</si>
  <si>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</si>
  <si>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</si>
  <si>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</si>
  <si>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</si>
  <si>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</si>
  <si>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</si>
  <si>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</si>
  <si>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</si>
  <si>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</si>
  <si>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</si>
  <si>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</si>
  <si>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</si>
  <si>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</si>
  <si>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</si>
  <si>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</si>
  <si>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</si>
  <si>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</si>
  <si>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</si>
  <si>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</si>
  <si>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</si>
  <si>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</si>
  <si>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</si>
  <si>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</si>
  <si>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</si>
  <si>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</si>
  <si>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</si>
  <si>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</si>
  <si>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</si>
  <si>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</si>
  <si>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</si>
  <si>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</si>
  <si>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</si>
  <si>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</si>
  <si>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</si>
  <si>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</si>
  <si>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</si>
  <si>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</si>
  <si>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</si>
  <si>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</si>
  <si>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</si>
  <si>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</si>
  <si>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</si>
  <si>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</si>
  <si>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</si>
  <si>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</si>
  <si>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</si>
  <si>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</si>
  <si>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</si>
  <si>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</si>
  <si>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</si>
  <si>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</si>
  <si>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</si>
  <si>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</si>
  <si>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</si>
  <si>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</si>
  <si>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</si>
  <si>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</si>
  <si>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</si>
  <si>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</si>
  <si>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</si>
  <si>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</si>
  <si>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</si>
  <si>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</si>
  <si>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</si>
  <si>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</si>
  <si>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</si>
  <si>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</si>
  <si>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</si>
  <si>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</si>
  <si>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</si>
  <si>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</si>
  <si>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</si>
  <si>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</si>
  <si>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</si>
  <si>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</si>
  <si>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</si>
  <si>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</si>
  <si>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</si>
  <si>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</si>
  <si>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</si>
  <si>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</si>
  <si>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</si>
  <si>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</si>
  <si>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</si>
  <si>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</si>
  <si>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</si>
  <si>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</si>
  <si>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</si>
  <si>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</si>
  <si>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</si>
  <si>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</si>
  <si>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</si>
  <si>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</si>
  <si>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</si>
  <si>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</si>
  <si>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</si>
  <si>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</si>
  <si>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</si>
  <si>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</si>
  <si>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</si>
  <si>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</si>
  <si>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</si>
  <si>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</si>
  <si>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</si>
  <si>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</si>
  <si>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</si>
  <si>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</si>
  <si>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</si>
  <si>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</si>
  <si>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</si>
  <si>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</si>
  <si>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</si>
  <si>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</si>
  <si>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</si>
  <si>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</si>
  <si>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</si>
  <si>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</si>
  <si>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</si>
  <si>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</si>
  <si>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</si>
  <si>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</si>
  <si>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</si>
  <si>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</si>
  <si>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</si>
  <si>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</si>
  <si>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</si>
  <si>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</si>
  <si>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</si>
  <si>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</si>
  <si>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</si>
  <si>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</si>
  <si>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</si>
  <si>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</si>
  <si>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</si>
  <si>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</si>
  <si>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</si>
  <si>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</si>
  <si>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</si>
  <si>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</si>
  <si>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</si>
  <si>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</si>
  <si>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</si>
  <si>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</si>
  <si>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</si>
  <si>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</si>
  <si>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</si>
  <si>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</si>
  <si>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</si>
  <si>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</si>
  <si>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</si>
  <si>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</si>
  <si>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</si>
  <si>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</si>
  <si>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</si>
  <si>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</si>
  <si>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</si>
  <si>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</si>
  <si>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</si>
  <si>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</si>
  <si>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</si>
  <si>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</si>
  <si>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</si>
  <si>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</si>
  <si>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</si>
  <si>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</si>
  <si>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</si>
  <si>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</si>
  <si>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</si>
  <si>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</si>
  <si>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</si>
  <si>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</si>
  <si>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</si>
  <si>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</si>
  <si>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</si>
  <si>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</si>
  <si>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</si>
  <si>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</si>
  <si>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</si>
  <si>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</si>
  <si>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</si>
  <si>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</si>
  <si>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</si>
  <si>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</si>
  <si>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</si>
  <si>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</si>
  <si>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</si>
  <si>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</si>
  <si>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</si>
  <si>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</si>
  <si>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</si>
  <si>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</si>
  <si>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</si>
  <si>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</si>
  <si>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</si>
  <si>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</si>
  <si>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</si>
  <si>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</si>
  <si>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</si>
  <si>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</si>
  <si>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</si>
  <si>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</si>
  <si>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</si>
  <si>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</si>
  <si>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</si>
  <si>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</si>
  <si>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</si>
  <si>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</si>
  <si>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</si>
  <si>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</si>
  <si>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</si>
  <si>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</si>
  <si>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</si>
  <si>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</si>
  <si>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</si>
  <si>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</si>
  <si>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</si>
  <si>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</si>
  <si>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</si>
  <si>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</si>
  <si>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</si>
  <si>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</si>
  <si>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</si>
  <si>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</si>
  <si>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</si>
  <si>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</si>
  <si>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</si>
  <si>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</si>
  <si>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</si>
  <si>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</si>
  <si>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</si>
  <si>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</si>
  <si>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</si>
  <si>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</si>
  <si>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</si>
  <si>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</si>
  <si>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</si>
  <si>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</si>
  <si>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</si>
  <si>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</si>
  <si>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</si>
  <si>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</si>
  <si>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</si>
  <si>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</si>
  <si>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</si>
  <si>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</si>
  <si>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</si>
  <si>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</si>
  <si>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</si>
  <si>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</si>
  <si>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</si>
  <si>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</si>
  <si>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</si>
  <si>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</si>
  <si>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</si>
  <si>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</si>
  <si>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</si>
  <si>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</si>
  <si>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</si>
  <si>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</si>
  <si>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</si>
  <si>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</si>
  <si>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</si>
  <si>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</si>
  <si>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</si>
  <si>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</si>
  <si>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</si>
  <si>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</si>
  <si>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</si>
  <si>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</si>
  <si>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</si>
  <si>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</si>
  <si>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</si>
  <si>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</si>
  <si>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</si>
  <si>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</si>
  <si>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</si>
  <si>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</si>
  <si>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</si>
  <si>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</si>
  <si>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</si>
  <si>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</si>
  <si>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</si>
  <si>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</si>
  <si>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</si>
  <si>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</si>
  <si>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</si>
  <si>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</si>
  <si>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</si>
  <si>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</si>
  <si>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</si>
  <si>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</si>
  <si>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</si>
  <si>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</si>
  <si>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</si>
  <si>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</si>
  <si>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</si>
  <si>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</si>
  <si>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</si>
  <si>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</si>
  <si>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</si>
  <si>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</si>
  <si>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</si>
  <si>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</si>
  <si>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</si>
  <si>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</si>
  <si>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</si>
  <si>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</si>
  <si>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</si>
  <si>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</si>
  <si>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</si>
  <si>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</si>
  <si>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</si>
  <si>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</si>
  <si>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</si>
  <si>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</si>
  <si>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</si>
  <si>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</si>
  <si>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</si>
  <si>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</si>
  <si>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</si>
  <si>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</si>
  <si>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</si>
  <si>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</si>
  <si>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</si>
  <si>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</si>
  <si>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</si>
  <si>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</si>
  <si>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</si>
  <si>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</si>
  <si>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</si>
  <si>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</si>
  <si>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</si>
  <si>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</si>
  <si>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</si>
  <si>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</si>
  <si>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</si>
  <si>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</si>
  <si>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</si>
  <si>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</si>
  <si>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</si>
  <si>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</si>
  <si>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</si>
  <si>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</si>
  <si>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</si>
  <si>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</si>
  <si>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</si>
  <si>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</si>
  <si>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</si>
  <si>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</si>
  <si>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</si>
  <si>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</si>
  <si>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</si>
  <si>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</si>
  <si>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</si>
  <si>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</si>
  <si>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</si>
  <si>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</si>
  <si>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</si>
  <si>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</si>
  <si>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</si>
  <si>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</si>
  <si>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</si>
  <si>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</si>
  <si>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</si>
  <si>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</si>
  <si>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</si>
  <si>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</si>
  <si>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</si>
  <si>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</si>
  <si>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</si>
  <si>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</si>
  <si>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</si>
  <si>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</si>
  <si>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</si>
  <si>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</si>
  <si>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</si>
  <si>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</si>
  <si>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</si>
  <si>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</si>
  <si>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</si>
  <si>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</si>
  <si>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</si>
  <si>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</si>
  <si>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</si>
  <si>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</si>
  <si>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</si>
  <si>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</si>
  <si>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</si>
  <si>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</si>
  <si>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</si>
  <si>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</si>
  <si>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</si>
  <si>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</si>
  <si>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</si>
  <si>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</si>
  <si>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</si>
  <si>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</si>
  <si>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</si>
  <si>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</si>
  <si>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</si>
  <si>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</si>
  <si>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</si>
  <si>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</si>
  <si>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</si>
  <si>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</si>
  <si>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</si>
  <si>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</si>
  <si>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</si>
  <si>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</si>
  <si>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</si>
  <si>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</si>
  <si>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</si>
  <si>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</si>
  <si>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</si>
  <si>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</si>
  <si>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</si>
  <si>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</si>
  <si>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</si>
  <si>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</si>
  <si>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</si>
  <si>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</si>
  <si>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</si>
  <si>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</si>
  <si>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</si>
  <si>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</si>
  <si>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</si>
  <si>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</si>
  <si>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</si>
  <si>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</si>
  <si>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</si>
  <si>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</si>
  <si>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</si>
  <si>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</si>
  <si>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</si>
  <si>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</si>
  <si>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</si>
  <si>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</si>
  <si>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</si>
  <si>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</si>
  <si>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</si>
  <si>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</si>
  <si>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</si>
  <si>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</si>
  <si>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</si>
  <si>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</si>
  <si>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</si>
  <si>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</si>
  <si>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</si>
  <si>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</si>
  <si>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</si>
  <si>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</si>
  <si>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</si>
  <si>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</si>
  <si>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</si>
  <si>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</si>
  <si>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</si>
  <si>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</si>
  <si>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</si>
  <si>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</si>
  <si>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</si>
  <si>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</si>
  <si>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</si>
  <si>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</si>
  <si>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</si>
  <si>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</si>
  <si>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</si>
  <si>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</si>
  <si>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</si>
  <si>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</si>
  <si>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</si>
  <si>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</si>
  <si>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</si>
  <si>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</si>
  <si>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</si>
  <si>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</si>
  <si>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</si>
  <si>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</si>
  <si>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</si>
  <si>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</si>
  <si>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</si>
  <si>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</si>
  <si>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</si>
  <si>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</si>
  <si>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</si>
  <si>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</si>
  <si>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</si>
  <si>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</si>
  <si>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</si>
  <si>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</si>
  <si>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</si>
  <si>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</si>
  <si>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</si>
  <si>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</si>
  <si>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</si>
  <si>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</si>
  <si>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</si>
  <si>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</si>
  <si>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</si>
  <si>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</si>
  <si>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</si>
  <si>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</si>
  <si>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</si>
  <si>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</si>
  <si>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</si>
  <si>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</si>
  <si>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</si>
  <si>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</si>
  <si>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</si>
  <si>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</si>
  <si>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</si>
  <si>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</si>
  <si>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</si>
  <si>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</si>
  <si>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</si>
  <si>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</si>
  <si>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</si>
  <si>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</si>
  <si>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</si>
  <si>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</si>
  <si>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</si>
  <si>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</si>
  <si>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</si>
  <si>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</si>
  <si>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</si>
  <si>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</si>
  <si>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</si>
  <si>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</si>
  <si>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</si>
  <si>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</si>
  <si>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</si>
  <si>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</si>
  <si>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</si>
  <si>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</si>
  <si>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</si>
  <si>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</si>
  <si>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</si>
  <si>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</si>
  <si>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</si>
  <si>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</si>
  <si>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</si>
  <si>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</si>
  <si>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</si>
  <si>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</si>
  <si>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</si>
  <si>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</si>
  <si>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</si>
  <si>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</si>
  <si>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</si>
  <si>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</si>
  <si>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</si>
  <si>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</si>
  <si>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</si>
  <si>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</si>
  <si>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</si>
  <si>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</si>
  <si>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</si>
  <si>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</si>
  <si>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</si>
  <si>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</si>
  <si>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</si>
  <si>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</si>
  <si>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</si>
  <si>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</si>
  <si>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</si>
  <si>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</si>
  <si>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</si>
  <si>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</si>
  <si>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</si>
  <si>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</si>
  <si>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</si>
  <si>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</si>
  <si>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</si>
  <si>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</si>
  <si>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</si>
  <si>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</si>
  <si>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</si>
  <si>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</si>
  <si>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</si>
  <si>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</si>
  <si>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</si>
  <si>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</si>
  <si>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</si>
  <si>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</si>
  <si>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</si>
  <si>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</si>
  <si>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</si>
  <si>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</si>
  <si>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</si>
  <si>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</si>
  <si>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</si>
  <si>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</si>
  <si>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</si>
  <si>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</si>
  <si>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</si>
  <si>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</si>
  <si>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</si>
  <si>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</si>
  <si>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</si>
  <si>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</si>
  <si>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</si>
  <si>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</si>
  <si>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</si>
  <si>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</si>
  <si>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</si>
  <si>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</si>
  <si>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</si>
  <si>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</si>
  <si>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</si>
  <si>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</si>
  <si>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</si>
  <si>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</si>
  <si>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</si>
  <si>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</si>
  <si>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</si>
  <si>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</si>
  <si>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</si>
  <si>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</si>
  <si>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</si>
  <si>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</si>
  <si>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</si>
  <si>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</si>
  <si>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</si>
  <si>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</si>
  <si>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</si>
  <si>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</si>
  <si>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</si>
  <si>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</si>
  <si>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</si>
  <si>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</si>
  <si>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</si>
  <si>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</si>
  <si>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</si>
  <si>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</si>
  <si>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</si>
  <si>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</si>
  <si>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</si>
  <si>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</si>
  <si>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</si>
  <si>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</si>
  <si>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</si>
  <si>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</si>
  <si>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</si>
  <si>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</si>
  <si>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</si>
  <si>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</si>
  <si>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</si>
  <si>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</si>
  <si>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</si>
  <si>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</si>
  <si>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</si>
  <si>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</si>
  <si>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</si>
  <si>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</si>
  <si>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</si>
  <si>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</si>
  <si>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</si>
  <si>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</si>
  <si>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</si>
  <si>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</si>
  <si>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</si>
  <si>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</si>
  <si>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</si>
  <si>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</si>
  <si>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</si>
  <si>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</si>
  <si>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</si>
  <si>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</si>
  <si>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</si>
  <si>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</si>
  <si>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</si>
  <si>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</si>
  <si>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</si>
  <si>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</si>
  <si>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</si>
  <si>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</si>
  <si>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</si>
  <si>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</si>
  <si>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</si>
  <si>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</si>
  <si>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</si>
  <si>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</si>
  <si>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</si>
  <si>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</si>
  <si>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</si>
  <si>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</si>
  <si>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</si>
  <si>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</si>
  <si>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</si>
  <si>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</si>
  <si>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</si>
  <si>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</si>
  <si>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</si>
  <si>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</si>
  <si>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</si>
  <si>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</si>
  <si>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</si>
  <si>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</si>
  <si>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</si>
  <si>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</si>
  <si>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</si>
  <si>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</si>
  <si>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</si>
  <si>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</si>
  <si>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</si>
  <si>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</si>
  <si>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</si>
  <si>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</si>
  <si>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</si>
  <si>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</si>
  <si>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</si>
  <si>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</si>
  <si>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</si>
  <si>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</si>
  <si>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</si>
  <si>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</si>
  <si>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</si>
  <si>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</si>
  <si>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</si>
  <si>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</si>
  <si>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</si>
  <si>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</si>
  <si>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</si>
  <si>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</si>
  <si>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</si>
  <si>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</si>
  <si>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</si>
  <si>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</si>
  <si>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</si>
  <si>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</si>
  <si>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</si>
  <si>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</si>
  <si>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</si>
  <si>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</si>
  <si>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</si>
  <si>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</si>
  <si>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</si>
  <si>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</si>
  <si>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</si>
  <si>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</si>
  <si>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</si>
  <si>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</si>
  <si>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</si>
  <si>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</si>
  <si>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</si>
  <si>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</si>
  <si>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</si>
  <si>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</si>
  <si>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</si>
  <si>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</si>
  <si>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</si>
  <si>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</si>
  <si>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</si>
  <si>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</si>
  <si>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</si>
  <si>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</si>
  <si>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</si>
  <si>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</si>
  <si>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</si>
  <si>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</si>
  <si>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</si>
  <si>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</si>
  <si>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</si>
  <si>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</si>
  <si>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</si>
  <si>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</si>
  <si>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</si>
  <si>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</si>
  <si>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</si>
  <si>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</si>
  <si>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</si>
  <si>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</si>
  <si>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</si>
  <si>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</si>
  <si>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</si>
  <si>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</si>
  <si>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</si>
  <si>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</si>
  <si>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</si>
  <si>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</si>
  <si>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</si>
  <si>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</si>
  <si>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</si>
  <si>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</si>
  <si>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</si>
  <si>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</si>
  <si>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</si>
  <si>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</si>
  <si>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</si>
  <si>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</si>
  <si>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</si>
  <si>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</si>
  <si>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</si>
  <si>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</si>
  <si>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</si>
  <si>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</si>
  <si>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</si>
  <si>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</si>
  <si>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</si>
  <si>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</si>
  <si>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</si>
  <si>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</si>
  <si>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</si>
  <si>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</si>
  <si>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</si>
  <si>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</si>
  <si>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</si>
  <si>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</si>
  <si>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</si>
  <si>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</si>
  <si>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</si>
  <si>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</si>
  <si>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</si>
  <si>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</si>
  <si>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</si>
  <si>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</si>
  <si>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</si>
  <si>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</si>
  <si>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</si>
  <si>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</si>
  <si>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</si>
  <si>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</si>
  <si>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</si>
  <si>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</si>
  <si>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</si>
  <si>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</si>
  <si>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</si>
  <si>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</si>
  <si>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</si>
  <si>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</si>
  <si>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</si>
  <si>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</si>
  <si>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</si>
  <si>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</si>
  <si>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</si>
  <si>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</si>
  <si>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</si>
  <si>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</si>
  <si>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</si>
  <si>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</si>
  <si>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</si>
  <si>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</si>
  <si>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</si>
  <si>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</si>
  <si>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</si>
  <si>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</si>
  <si>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</si>
  <si>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</si>
  <si>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</si>
  <si>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</si>
  <si>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</si>
  <si>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</si>
  <si>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</si>
  <si>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</si>
  <si>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</si>
  <si>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</si>
  <si>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</si>
  <si>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</si>
  <si>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</si>
  <si>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</si>
  <si>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</si>
  <si>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</si>
  <si>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</si>
  <si>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</si>
  <si>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</si>
  <si>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</si>
  <si>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</si>
  <si>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</si>
  <si>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</si>
  <si>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</si>
  <si>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</si>
  <si>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</si>
  <si>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</si>
  <si>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</si>
  <si>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</si>
  <si>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</si>
  <si>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</si>
  <si>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</si>
  <si>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</si>
  <si>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</si>
  <si>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</si>
  <si>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</si>
  <si>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</si>
  <si>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</si>
  <si>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</si>
  <si>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</si>
  <si>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</si>
  <si>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</si>
  <si>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</si>
  <si>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</si>
  <si>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</si>
  <si>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</si>
  <si>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</si>
  <si>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</si>
  <si>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</si>
  <si>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</si>
  <si>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</si>
  <si>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</si>
  <si>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</si>
  <si>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</si>
  <si>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</si>
  <si>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</si>
  <si>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</si>
  <si>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</si>
  <si>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</si>
  <si>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</si>
  <si>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</si>
  <si>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</si>
  <si>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</si>
  <si>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</si>
  <si>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</si>
  <si>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</si>
  <si>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</si>
  <si>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</si>
  <si>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</si>
  <si>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</si>
  <si>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</si>
  <si>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</si>
  <si>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</si>
  <si>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</si>
  <si>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</si>
  <si>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</si>
  <si>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</si>
  <si>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</si>
  <si>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</si>
  <si>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</si>
  <si>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</si>
  <si>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</si>
  <si>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</si>
  <si>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</si>
  <si>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</si>
  <si>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</si>
  <si>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</si>
  <si>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</si>
  <si>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</si>
  <si>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</si>
  <si>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</si>
  <si>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</si>
  <si>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</si>
  <si>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</si>
  <si>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</si>
  <si>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</si>
  <si>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</si>
  <si>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</si>
  <si>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</si>
  <si>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</si>
  <si>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</si>
  <si>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</si>
  <si>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</si>
  <si>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</si>
  <si>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</si>
  <si>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</si>
  <si>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</si>
  <si>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</si>
  <si>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</si>
  <si>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</si>
  <si>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</si>
  <si>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</si>
  <si>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</si>
  <si>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</si>
  <si>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</si>
  <si>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</si>
  <si>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</si>
  <si>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</si>
  <si>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</si>
  <si>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</si>
  <si>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</si>
  <si>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</si>
  <si>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</si>
  <si>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</si>
  <si>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</si>
  <si>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</si>
  <si>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</si>
  <si>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</si>
  <si>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</si>
  <si>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</si>
  <si>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</si>
  <si>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</si>
  <si>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</si>
  <si>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</si>
  <si>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</si>
  <si>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</si>
  <si>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</si>
  <si>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</si>
  <si>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</si>
  <si>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</si>
  <si>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</si>
  <si>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</si>
  <si>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</si>
  <si>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</si>
  <si>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</si>
  <si>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</si>
  <si>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</si>
  <si>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</si>
  <si>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</si>
  <si>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</si>
  <si>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</si>
  <si>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</si>
  <si>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</si>
  <si>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</si>
  <si>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</si>
  <si>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</si>
  <si>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</si>
  <si>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</si>
  <si>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</si>
  <si>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</si>
  <si>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</si>
  <si>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</si>
  <si>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</si>
  <si>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</si>
  <si>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</si>
  <si>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</si>
  <si>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</si>
  <si>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</si>
  <si>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</si>
  <si>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</si>
  <si>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</si>
  <si>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</si>
  <si>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</si>
  <si>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</si>
  <si>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</si>
  <si>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</si>
  <si>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</si>
  <si>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</si>
  <si>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</si>
  <si>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</si>
  <si>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</si>
  <si>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</si>
  <si>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</si>
  <si>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</si>
  <si>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</si>
  <si>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</si>
  <si>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</si>
  <si>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</si>
  <si>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</si>
  <si>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</si>
  <si>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</si>
  <si>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</si>
  <si>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</si>
  <si>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</si>
  <si>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</si>
  <si>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</si>
  <si>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</si>
  <si>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</si>
  <si>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</si>
  <si>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</si>
  <si>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</si>
  <si>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</si>
  <si>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</si>
  <si>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</si>
  <si>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</si>
  <si>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</si>
  <si>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</si>
  <si>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</si>
  <si>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</si>
  <si>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</si>
  <si>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</si>
  <si>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</si>
  <si>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</si>
  <si>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</si>
  <si>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</si>
  <si>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</si>
  <si>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</si>
  <si>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</si>
  <si>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</si>
  <si>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</si>
  <si>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</si>
  <si>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</si>
  <si>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</si>
  <si>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</si>
  <si>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</si>
  <si>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</si>
  <si>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</si>
  <si>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</si>
  <si>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</si>
  <si>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</si>
  <si>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</si>
  <si>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</si>
  <si>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</si>
  <si>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</si>
  <si>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</si>
  <si>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</si>
  <si>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</si>
  <si>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</si>
  <si>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</si>
  <si>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</si>
  <si>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</si>
  <si>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</si>
  <si>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</si>
  <si>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</si>
  <si>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</si>
  <si>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</si>
  <si>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</si>
  <si>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</si>
  <si>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</si>
  <si>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</si>
  <si>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</si>
  <si>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</si>
  <si>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</si>
  <si>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</si>
  <si>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</si>
  <si>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</si>
  <si>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</si>
  <si>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</si>
  <si>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</si>
  <si>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</si>
  <si>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</si>
  <si>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</si>
  <si>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</si>
  <si>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</si>
  <si>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</si>
  <si>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</si>
  <si>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</si>
  <si>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</si>
  <si>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</si>
  <si>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</si>
  <si>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</si>
  <si>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</si>
  <si>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</si>
  <si>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</si>
  <si>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</si>
  <si>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</si>
  <si>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</si>
  <si>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</si>
  <si>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</si>
  <si>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</si>
  <si>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</si>
  <si>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</si>
  <si>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</si>
  <si>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</si>
  <si>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</si>
  <si>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</si>
  <si>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</si>
  <si>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</si>
  <si>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</si>
  <si>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</si>
  <si>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</si>
  <si>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</si>
  <si>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</si>
  <si>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</si>
  <si>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</si>
  <si>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</si>
  <si>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</si>
  <si>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</si>
  <si>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</si>
  <si>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</si>
  <si>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</si>
  <si>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</si>
  <si>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</si>
  <si>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</si>
  <si>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</si>
  <si>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</si>
  <si>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</si>
  <si>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</si>
  <si>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</si>
  <si>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</si>
  <si>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</si>
  <si>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</si>
  <si>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</si>
  <si>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</si>
  <si>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</si>
  <si>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</si>
  <si>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</si>
  <si>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</si>
  <si>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</si>
  <si>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</si>
  <si>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</si>
  <si>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</si>
  <si>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</si>
  <si>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</si>
  <si>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</si>
  <si>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</si>
  <si>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</si>
  <si>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</si>
  <si>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</si>
  <si>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</si>
  <si>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</si>
  <si>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</si>
  <si>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</si>
  <si>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</si>
  <si>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</si>
  <si>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</si>
  <si>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</si>
  <si>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</si>
  <si>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</si>
  <si>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</si>
  <si>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</si>
  <si>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</si>
  <si>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</si>
  <si>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</si>
  <si>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</si>
  <si>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</si>
  <si>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</si>
  <si>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</si>
  <si>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</si>
  <si>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</si>
  <si>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</si>
  <si>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</si>
  <si>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</si>
  <si>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</si>
  <si>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</si>
  <si>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</si>
  <si>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</si>
  <si>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</si>
  <si>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</si>
  <si>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</si>
  <si>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</si>
  <si>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</si>
  <si>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</si>
  <si>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</si>
  <si>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</si>
  <si>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</si>
  <si>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</si>
  <si>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</si>
  <si>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</si>
  <si>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</si>
  <si>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</si>
  <si>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</si>
  <si>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</si>
  <si>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</si>
  <si>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</si>
  <si>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</si>
  <si>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</si>
  <si>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</si>
  <si>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</si>
  <si>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</si>
  <si>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</si>
  <si>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</si>
  <si>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</si>
  <si>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</si>
  <si>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</si>
  <si>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</si>
  <si>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</si>
  <si>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</si>
  <si>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</si>
  <si>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</si>
  <si>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</si>
  <si>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</si>
  <si>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</si>
  <si>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</si>
  <si>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</si>
  <si>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</si>
  <si>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</si>
  <si>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</si>
  <si>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</si>
  <si>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</si>
  <si>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</si>
  <si>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</si>
  <si>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</si>
  <si>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</si>
  <si>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</si>
  <si>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</si>
  <si>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</si>
  <si>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</si>
  <si>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</si>
  <si>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</si>
  <si>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</si>
  <si>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</si>
  <si>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</si>
  <si>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</si>
  <si>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</si>
  <si>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</si>
  <si>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</si>
  <si>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</si>
  <si>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</si>
  <si>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</si>
  <si>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</si>
  <si>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</si>
  <si>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</si>
  <si>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</si>
  <si>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</si>
  <si>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</si>
  <si>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</si>
  <si>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</si>
  <si>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</si>
  <si>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</si>
  <si>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</si>
  <si>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</si>
  <si>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</si>
  <si>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</si>
  <si>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</si>
  <si>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</si>
  <si>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</si>
  <si>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</si>
  <si>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</si>
  <si>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</si>
  <si>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</si>
  <si>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</si>
  <si>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</si>
  <si>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</si>
  <si>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</si>
  <si>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</si>
  <si>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</si>
  <si>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</si>
  <si>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</si>
  <si>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</si>
  <si>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</si>
  <si>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</si>
  <si>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</si>
  <si>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</si>
  <si>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</si>
  <si>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</si>
  <si>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</si>
  <si>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</si>
  <si>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</si>
  <si>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</si>
  <si>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</si>
  <si>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</si>
  <si>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</si>
  <si>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</si>
  <si>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</si>
  <si>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</si>
  <si>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</si>
  <si>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</si>
  <si>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</si>
  <si>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</si>
  <si>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</si>
  <si>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</si>
  <si>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</si>
  <si>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</si>
  <si>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</si>
  <si>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</si>
  <si>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</si>
  <si>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</si>
  <si>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</si>
  <si>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</si>
  <si>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</si>
  <si>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</si>
  <si>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</si>
  <si>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</si>
  <si>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</si>
  <si>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</si>
  <si>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</si>
  <si>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</si>
  <si>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</si>
  <si>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</si>
  <si>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</si>
  <si>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</si>
  <si>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</si>
  <si>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</si>
  <si>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</si>
  <si>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</si>
  <si>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</si>
  <si>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</si>
  <si>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</si>
  <si>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</si>
  <si>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</si>
  <si>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</si>
  <si>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</si>
  <si>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</si>
  <si>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</si>
  <si>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</si>
  <si>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</si>
  <si>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</si>
  <si>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</si>
  <si>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</si>
  <si>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</si>
  <si>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</si>
  <si>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</si>
  <si>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</si>
  <si>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</si>
  <si>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</si>
  <si>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</si>
  <si>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</si>
  <si>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</si>
  <si>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</si>
  <si>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</si>
  <si>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</si>
  <si>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</si>
  <si>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</si>
  <si>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</si>
  <si>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</si>
  <si>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</si>
  <si>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</si>
  <si>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</si>
  <si>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</si>
  <si>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</si>
  <si>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</si>
  <si>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</si>
  <si>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</si>
  <si>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</si>
  <si>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</si>
  <si>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</si>
  <si>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</si>
  <si>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</si>
  <si>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</si>
  <si>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</si>
  <si>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</si>
  <si>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</si>
  <si>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</si>
  <si>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</si>
  <si>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</si>
  <si>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</si>
  <si>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</si>
  <si>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</si>
  <si>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</si>
  <si>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</si>
  <si>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</si>
  <si>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</si>
  <si>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</si>
  <si>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</si>
  <si>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</si>
  <si>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</si>
  <si>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</si>
  <si>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</si>
  <si>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</si>
  <si>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</si>
  <si>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</si>
  <si>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</si>
  <si>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</si>
  <si>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</si>
  <si>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</si>
  <si>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</si>
  <si>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</si>
  <si>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</si>
  <si>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</si>
  <si>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</si>
  <si>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</si>
  <si>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</si>
  <si>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</si>
  <si>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</si>
  <si>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</si>
  <si>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</si>
  <si>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</si>
  <si>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</si>
  <si>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</si>
  <si>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</si>
  <si>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</si>
  <si>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</si>
  <si>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</si>
  <si>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</si>
  <si>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</si>
  <si>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</si>
  <si>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</si>
  <si>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</si>
  <si>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</si>
  <si>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</si>
  <si>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</si>
  <si>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</si>
  <si>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</si>
  <si>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</si>
  <si>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</si>
  <si>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</si>
  <si>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</si>
  <si>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</si>
  <si>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</si>
  <si>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</si>
  <si>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</si>
  <si>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</si>
  <si>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</si>
  <si>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</si>
  <si>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</si>
  <si>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</si>
  <si>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</si>
  <si>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</si>
  <si>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</si>
  <si>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</si>
  <si>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</si>
  <si>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</si>
  <si>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</si>
  <si>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</si>
  <si>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</si>
  <si>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</si>
  <si>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</si>
  <si>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</si>
  <si>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</si>
  <si>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</si>
  <si>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</si>
  <si>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</si>
  <si>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</si>
  <si>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</si>
  <si>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</si>
  <si>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</si>
  <si>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</si>
  <si>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</si>
  <si>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</si>
  <si>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</si>
  <si>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</si>
  <si>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</si>
  <si>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</si>
  <si>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</si>
  <si>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</si>
  <si>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</si>
  <si>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</si>
  <si>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</si>
  <si>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</si>
  <si>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</si>
  <si>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</si>
  <si>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</si>
  <si>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</si>
  <si>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</si>
  <si>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</si>
  <si>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</si>
  <si>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</si>
  <si>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</si>
  <si>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</si>
  <si>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</si>
  <si>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</si>
  <si>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</si>
  <si>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</si>
  <si>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</si>
  <si>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</si>
  <si>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</si>
  <si>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</si>
  <si>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</si>
  <si>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</si>
  <si>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</si>
  <si>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</si>
  <si>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</si>
  <si>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</si>
  <si>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</si>
  <si>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</si>
  <si>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</si>
  <si>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</si>
  <si>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</si>
  <si>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</si>
  <si>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</si>
  <si>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</si>
  <si>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</si>
  <si>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</si>
  <si>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</si>
  <si>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</si>
  <si>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</si>
  <si>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</si>
  <si>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</si>
  <si>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</si>
  <si>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</si>
  <si>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</si>
  <si>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</si>
  <si>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</si>
  <si>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</si>
  <si>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</si>
  <si>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</si>
  <si>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</si>
  <si>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</si>
  <si>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</si>
  <si>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</si>
  <si>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</si>
  <si>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</si>
  <si>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</si>
  <si>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</si>
  <si>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</si>
  <si>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</si>
  <si>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</si>
  <si>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</si>
  <si>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</si>
  <si>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</si>
  <si>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</si>
  <si>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</si>
  <si>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</si>
  <si>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</si>
  <si>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</si>
  <si>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</si>
  <si>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</si>
  <si>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</si>
  <si>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</si>
  <si>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</si>
  <si>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</si>
  <si>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</si>
  <si>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</si>
  <si>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</si>
  <si>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</si>
  <si>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</si>
  <si>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</si>
  <si>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</si>
  <si>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</si>
  <si>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</si>
  <si>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</si>
  <si>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</si>
  <si>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</si>
  <si>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</si>
  <si>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</si>
  <si>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</si>
  <si>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</si>
  <si>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</si>
  <si>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</si>
  <si>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</si>
  <si>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</si>
  <si>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</si>
  <si>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</si>
  <si>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</si>
  <si>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</si>
  <si>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</si>
  <si>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</si>
  <si>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</si>
  <si>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</si>
  <si>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</si>
  <si>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</si>
  <si>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</si>
  <si>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</si>
  <si>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</si>
  <si>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</si>
  <si>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</si>
  <si>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</si>
  <si>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</si>
  <si>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</si>
  <si>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</si>
  <si>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</si>
  <si>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</si>
  <si>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</si>
  <si>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</si>
  <si>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</si>
  <si>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</si>
  <si>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</si>
  <si>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</si>
  <si>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</si>
  <si>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</si>
  <si>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</si>
  <si>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</si>
  <si>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</si>
  <si>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</si>
  <si>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</si>
  <si>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</si>
  <si>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</si>
  <si>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</si>
  <si>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</si>
  <si>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</si>
  <si>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</si>
  <si>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</si>
  <si>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</si>
  <si>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</si>
  <si>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</si>
  <si>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</si>
  <si>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</si>
  <si>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</si>
  <si>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</si>
  <si>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</si>
  <si>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</si>
  <si>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</si>
  <si>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</si>
  <si>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</si>
  <si>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</si>
  <si>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</si>
  <si>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</si>
  <si>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</si>
  <si>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</si>
  <si>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</si>
  <si>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</si>
  <si>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</si>
  <si>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</si>
  <si>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</si>
  <si>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</si>
  <si>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</si>
  <si>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</si>
  <si>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</si>
  <si>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</si>
  <si>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</si>
  <si>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</si>
  <si>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</si>
  <si>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</si>
  <si>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</si>
  <si>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</si>
  <si>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</si>
  <si>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</si>
  <si>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</si>
  <si>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</si>
  <si>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</si>
  <si>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</si>
  <si>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</si>
  <si>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</si>
  <si>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</si>
  <si>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</si>
  <si>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</si>
  <si>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</si>
  <si>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</si>
  <si>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</si>
  <si>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</si>
  <si>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</si>
  <si>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</si>
  <si>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</si>
  <si>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</si>
  <si>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</si>
  <si>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</si>
  <si>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</si>
  <si>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</si>
  <si>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</si>
  <si>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</si>
  <si>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</si>
  <si>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</si>
  <si>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</si>
  <si>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</si>
  <si>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</si>
  <si>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</si>
  <si>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</si>
  <si>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</si>
  <si>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</si>
  <si>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</si>
  <si>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</si>
  <si>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</si>
  <si>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</si>
  <si>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</si>
  <si>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</si>
  <si>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</si>
  <si>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</si>
  <si>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</si>
  <si>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</si>
  <si>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</si>
  <si>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</si>
  <si>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</si>
  <si>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</si>
  <si>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</si>
  <si>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</si>
  <si>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</si>
  <si>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</si>
  <si>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</si>
  <si>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</si>
  <si>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</si>
  <si>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</si>
  <si>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</si>
  <si>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</si>
  <si>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</si>
  <si>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</si>
  <si>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</si>
  <si>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</si>
  <si>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</si>
  <si>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</si>
  <si>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</si>
  <si>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</si>
  <si>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</si>
  <si>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</si>
  <si>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</si>
  <si>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</si>
  <si>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</si>
  <si>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</si>
  <si>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</si>
  <si>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</si>
  <si>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</si>
  <si>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</si>
  <si>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</si>
  <si>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</si>
  <si>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</si>
  <si>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</si>
  <si>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</si>
  <si>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</si>
  <si>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</si>
  <si>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</si>
  <si>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</si>
  <si>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</si>
  <si>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</si>
  <si>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</si>
  <si>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</si>
  <si>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</si>
  <si>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</si>
  <si>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</si>
  <si>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</si>
  <si>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</si>
  <si>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</si>
  <si>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</si>
  <si>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</si>
  <si>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</si>
  <si>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</si>
  <si>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</si>
  <si>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</si>
  <si>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</si>
  <si>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</si>
  <si>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</si>
  <si>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</si>
  <si>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</si>
  <si>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</si>
  <si>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</si>
  <si>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</si>
  <si>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</si>
  <si>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</si>
  <si>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</si>
  <si>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</si>
  <si>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</si>
  <si>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</si>
  <si>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</si>
  <si>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</si>
  <si>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</si>
  <si>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</si>
  <si>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</si>
  <si>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</si>
  <si>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</si>
  <si>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</si>
  <si>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</si>
  <si>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</si>
  <si>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</si>
  <si>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</si>
  <si>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</si>
  <si>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</si>
  <si>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</si>
  <si>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</si>
  <si>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</si>
  <si>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</si>
  <si>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</si>
  <si>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</si>
  <si>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</si>
  <si>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</si>
  <si>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</si>
  <si>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</si>
  <si>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</si>
  <si>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</si>
  <si>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</si>
  <si>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</si>
  <si>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</si>
  <si>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</si>
  <si>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</si>
  <si>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</si>
  <si>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</si>
  <si>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</si>
  <si>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</si>
  <si>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</si>
  <si>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</si>
  <si>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</si>
  <si>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</si>
  <si>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</si>
  <si>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</si>
  <si>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</si>
  <si>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</si>
  <si>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</si>
  <si>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</si>
  <si>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</si>
  <si>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</si>
  <si>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</si>
  <si>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</si>
  <si>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</si>
  <si>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</si>
  <si>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</si>
  <si>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</si>
  <si>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</si>
  <si>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</si>
  <si>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</si>
  <si>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</si>
  <si>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</si>
  <si>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</si>
  <si>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</si>
  <si>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</si>
  <si>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</si>
  <si>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</si>
  <si>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</si>
  <si>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</si>
  <si>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</si>
  <si>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</si>
  <si>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</si>
  <si>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</si>
  <si>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</si>
  <si>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</si>
  <si>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</si>
  <si>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</si>
  <si>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</si>
  <si>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</si>
  <si>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</si>
  <si>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</si>
  <si>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</si>
  <si>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</si>
  <si>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</si>
  <si>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</si>
  <si>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</si>
  <si>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</si>
  <si>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</si>
  <si>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</si>
  <si>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</si>
  <si>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</si>
  <si>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</si>
  <si>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</si>
  <si>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</si>
  <si>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</si>
  <si>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</si>
  <si>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</si>
  <si>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</si>
  <si>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</si>
  <si>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</si>
  <si>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</si>
  <si>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</si>
  <si>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</si>
  <si>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</si>
  <si>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</si>
  <si>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</si>
  <si>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</si>
  <si>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</si>
  <si>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</si>
  <si>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</si>
  <si>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</si>
  <si>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</si>
  <si>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</si>
  <si>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</si>
  <si>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</si>
  <si>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</si>
  <si>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</si>
  <si>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</si>
  <si>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</si>
  <si>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</si>
  <si>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</si>
  <si>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</si>
  <si>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</si>
  <si>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</si>
  <si>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</si>
  <si>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</si>
  <si>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</si>
  <si>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</si>
  <si>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</si>
  <si>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</si>
  <si>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</si>
  <si>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</si>
  <si>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</si>
  <si>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</si>
  <si>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</si>
  <si>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</si>
  <si>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</si>
  <si>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</si>
  <si>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</si>
  <si>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</si>
  <si>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</si>
  <si>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</si>
  <si>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</si>
  <si>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</si>
  <si>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</si>
  <si>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</si>
  <si>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</si>
  <si>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</si>
  <si>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</si>
  <si>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</si>
  <si>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</si>
  <si>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</si>
  <si>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</si>
  <si>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</si>
  <si>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</si>
  <si>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</si>
  <si>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</si>
  <si>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</si>
  <si>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</si>
  <si>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</si>
  <si>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</si>
  <si>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</si>
  <si>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</si>
  <si>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</si>
  <si>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</si>
  <si>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</si>
  <si>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</si>
  <si>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</si>
  <si>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</si>
  <si>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</si>
  <si>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</si>
  <si>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</si>
  <si>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</si>
  <si>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</si>
  <si>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</si>
  <si>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</si>
  <si>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</si>
  <si>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</si>
  <si>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</si>
  <si>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</si>
  <si>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</si>
  <si>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</si>
  <si>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</si>
  <si>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</si>
  <si>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</si>
  <si>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</si>
  <si>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</si>
  <si>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</si>
  <si>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</si>
  <si>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</si>
  <si>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</si>
  <si>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</si>
  <si>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</si>
  <si>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</si>
  <si>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</si>
  <si>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</si>
  <si>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</si>
  <si>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</si>
  <si>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</si>
  <si>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</si>
  <si>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</si>
  <si>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</si>
  <si>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</si>
  <si>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</si>
  <si>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</si>
  <si>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</si>
  <si>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</si>
  <si>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</si>
  <si>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</si>
  <si>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</si>
  <si>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</si>
  <si>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</si>
  <si>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</si>
  <si>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</si>
  <si>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</si>
  <si>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</si>
  <si>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</si>
  <si>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</si>
  <si>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</si>
  <si>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</si>
  <si>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</si>
  <si>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</si>
  <si>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</si>
  <si>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</si>
  <si>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</si>
  <si>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</si>
  <si>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</si>
  <si>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</si>
  <si>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</si>
  <si>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</si>
  <si>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</si>
  <si>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</si>
  <si>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</si>
  <si>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</si>
  <si>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</si>
  <si>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</si>
  <si>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</si>
  <si>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</si>
  <si>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</si>
  <si>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</si>
  <si>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</si>
  <si>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</si>
  <si>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</si>
  <si>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</si>
  <si>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</si>
  <si>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</si>
  <si>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</si>
  <si>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</si>
  <si>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</si>
  <si>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</si>
  <si>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</si>
  <si>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</si>
  <si>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</si>
  <si>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</si>
  <si>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</si>
  <si>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</si>
  <si>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</si>
  <si>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</si>
  <si>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</si>
  <si>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</si>
  <si>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</si>
  <si>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</si>
  <si>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</si>
  <si>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</si>
  <si>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</si>
  <si>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</si>
  <si>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</si>
  <si>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</si>
  <si>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</si>
  <si>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</si>
  <si>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</si>
  <si>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</si>
  <si>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</si>
  <si>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</si>
  <si>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</si>
  <si>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</si>
  <si>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</si>
  <si>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</si>
  <si>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</si>
  <si>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</si>
  <si>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</si>
  <si>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</si>
  <si>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</si>
  <si>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</si>
  <si>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</si>
  <si>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</si>
  <si>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</si>
  <si>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</si>
  <si>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</si>
  <si>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</si>
  <si>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</si>
  <si>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</si>
  <si>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</si>
  <si>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</si>
  <si>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</si>
  <si>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</si>
  <si>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</si>
  <si>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</si>
  <si>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</si>
  <si>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</si>
  <si>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</si>
  <si>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</si>
  <si>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</si>
  <si>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</si>
  <si>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</si>
  <si>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</si>
  <si>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</si>
  <si>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</si>
  <si>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</si>
  <si>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</si>
  <si>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</si>
  <si>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</si>
  <si>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</si>
  <si>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</si>
  <si>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</si>
  <si>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</si>
  <si>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</si>
  <si>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</si>
  <si>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</si>
  <si>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</si>
  <si>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</si>
  <si>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</si>
  <si>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</si>
  <si>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</si>
  <si>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</si>
  <si>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</si>
  <si>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</si>
  <si>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</si>
  <si>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</si>
  <si>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</si>
  <si>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</si>
  <si>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</si>
  <si>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</si>
  <si>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</si>
  <si>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</si>
  <si>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</si>
  <si>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</si>
  <si>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</si>
  <si>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</si>
  <si>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</si>
  <si>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</si>
  <si>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</si>
  <si>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</si>
  <si>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</si>
  <si>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</si>
  <si>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</si>
  <si>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</si>
  <si>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</si>
  <si>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</si>
  <si>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</si>
  <si>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</si>
  <si>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</si>
  <si>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</si>
  <si>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</si>
  <si>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</si>
  <si>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</si>
  <si>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</si>
  <si>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</si>
  <si>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</si>
  <si>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</si>
  <si>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</si>
  <si>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</si>
  <si>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</si>
  <si>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</si>
  <si>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</si>
  <si>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</si>
  <si>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</si>
  <si>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</si>
  <si>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</si>
  <si>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</si>
  <si>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</si>
  <si>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</si>
  <si>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</si>
  <si>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</si>
  <si>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</si>
  <si>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</si>
  <si>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</si>
  <si>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</si>
  <si>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</si>
  <si>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</si>
  <si>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</si>
  <si>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</si>
  <si>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</si>
  <si>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</si>
  <si>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</si>
  <si>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</si>
  <si>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</si>
  <si>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</si>
  <si>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</si>
  <si>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</si>
  <si>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</si>
  <si>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</si>
  <si>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</si>
  <si>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</si>
  <si>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</si>
  <si>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</si>
  <si>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</si>
  <si>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</si>
  <si>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</si>
  <si>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</si>
  <si>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</si>
  <si>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</si>
  <si>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</si>
  <si>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</si>
  <si>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</si>
  <si>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</si>
  <si>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</si>
  <si>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</si>
  <si>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</si>
  <si>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</si>
  <si>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</si>
  <si>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</si>
  <si>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</si>
  <si>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</si>
  <si>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</si>
  <si>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</si>
  <si>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</si>
  <si>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</si>
  <si>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</si>
  <si>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</si>
  <si>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</si>
  <si>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</si>
  <si>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</si>
  <si>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</si>
  <si>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</si>
  <si>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</si>
  <si>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</si>
  <si>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</si>
  <si>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</si>
  <si>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</si>
  <si>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</si>
  <si>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</si>
  <si>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</si>
  <si>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</si>
  <si>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</si>
  <si>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</si>
  <si>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</si>
  <si>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</si>
  <si>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</si>
  <si>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</si>
  <si>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</si>
  <si>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</si>
  <si>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</si>
  <si>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</si>
  <si>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</si>
  <si>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</si>
  <si>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</si>
  <si>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</si>
  <si>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</si>
  <si>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</si>
  <si>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</si>
  <si>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</si>
  <si>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</si>
  <si>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</si>
  <si>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</si>
  <si>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</si>
  <si>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</si>
  <si>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</si>
  <si>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</si>
  <si>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</si>
  <si>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</si>
  <si>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</si>
  <si>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</si>
  <si>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</si>
  <si>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</si>
  <si>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</si>
  <si>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</si>
  <si>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</si>
  <si>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</si>
  <si>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</si>
  <si>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</si>
  <si>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</si>
  <si>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</si>
  <si>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</si>
  <si>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</si>
  <si>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</si>
  <si>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</si>
  <si>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</si>
  <si>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</si>
  <si>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</si>
  <si>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</si>
  <si>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</si>
  <si>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</si>
  <si>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</si>
  <si>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</si>
  <si>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</si>
  <si>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</si>
  <si>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</si>
  <si>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</si>
  <si>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</si>
  <si>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</si>
  <si>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</si>
  <si>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</si>
  <si>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</si>
  <si>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</si>
  <si>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</si>
  <si>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</si>
  <si>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</si>
  <si>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</si>
  <si>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</si>
  <si>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</si>
  <si>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</si>
  <si>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</si>
  <si>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</si>
  <si>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</si>
  <si>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</si>
  <si>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</si>
  <si>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</si>
  <si>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</si>
  <si>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</si>
  <si>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</si>
  <si>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</si>
  <si>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</si>
  <si>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</si>
  <si>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</si>
  <si>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</si>
  <si>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</si>
  <si>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</si>
  <si>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</si>
  <si>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</si>
  <si>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</si>
  <si>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</si>
  <si>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</si>
  <si>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</si>
  <si>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</si>
  <si>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</si>
  <si>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</si>
  <si>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</si>
  <si>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</si>
  <si>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</si>
  <si>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</si>
  <si>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</si>
  <si>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</si>
  <si>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</si>
  <si>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</si>
  <si>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</si>
  <si>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</si>
  <si>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</si>
  <si>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</si>
  <si>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</si>
  <si>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</si>
  <si>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</si>
  <si>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</si>
  <si>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</si>
  <si>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</si>
  <si>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</si>
  <si>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</si>
  <si>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</si>
  <si>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</si>
  <si>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</si>
  <si>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</si>
  <si>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</si>
  <si>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</si>
  <si>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</si>
  <si>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</si>
  <si>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</si>
  <si>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</si>
  <si>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</si>
  <si>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</si>
  <si>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</si>
  <si>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</si>
  <si>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</si>
  <si>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</si>
  <si>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</si>
  <si>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</si>
  <si>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</si>
  <si>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</si>
  <si>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</si>
  <si>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</si>
  <si>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</si>
  <si>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</si>
  <si>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</si>
  <si>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</si>
  <si>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</si>
  <si>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</si>
  <si>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</si>
  <si>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</si>
  <si>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</si>
  <si>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</si>
  <si>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</si>
  <si>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</si>
  <si>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</si>
  <si>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</si>
  <si>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</si>
  <si>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</si>
  <si>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</si>
  <si>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</si>
  <si>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</si>
  <si>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</si>
  <si>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</si>
  <si>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</si>
  <si>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</si>
  <si>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</si>
  <si>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</si>
  <si>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</si>
  <si>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</si>
  <si>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</si>
  <si>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</si>
  <si>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</si>
  <si>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</si>
  <si>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</si>
  <si>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</si>
  <si>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</si>
  <si>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</si>
  <si>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</si>
  <si>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</si>
  <si>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</si>
  <si>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</si>
  <si>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</si>
  <si>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</si>
  <si>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</si>
  <si>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</si>
  <si>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</si>
  <si>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</si>
  <si>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</si>
  <si>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</si>
  <si>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</si>
  <si>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</si>
  <si>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</si>
  <si>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</si>
  <si>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</si>
  <si>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</si>
  <si>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</si>
  <si>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</si>
  <si>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</si>
  <si>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</si>
  <si>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</si>
  <si>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</si>
  <si>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</si>
  <si>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</si>
  <si>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</si>
  <si>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</si>
  <si>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</si>
  <si>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</si>
  <si>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</si>
  <si>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</si>
  <si>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</si>
  <si>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</si>
  <si>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</si>
  <si>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</si>
  <si>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</si>
  <si>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</si>
  <si>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</si>
  <si>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</si>
  <si>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</si>
  <si>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</si>
  <si>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</si>
  <si>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</si>
  <si>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</si>
  <si>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</si>
  <si>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</si>
  <si>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</si>
  <si>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</si>
  <si>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</si>
  <si>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</si>
  <si>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</si>
  <si>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</si>
  <si>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</si>
  <si>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</si>
  <si>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</si>
  <si>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</si>
  <si>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</si>
  <si>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</si>
  <si>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</si>
  <si>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</si>
  <si>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</si>
  <si>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</si>
  <si>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</si>
  <si>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</si>
  <si>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</si>
  <si>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</si>
  <si>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</si>
  <si>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</si>
  <si>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</si>
  <si>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</si>
  <si>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</si>
  <si>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</si>
  <si>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</si>
  <si>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</si>
  <si>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</si>
  <si>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</si>
  <si>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</si>
  <si>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</si>
  <si>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</si>
  <si>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</si>
  <si>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</si>
  <si>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</si>
  <si>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</si>
  <si>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</si>
  <si>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</si>
  <si>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</si>
  <si>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</si>
  <si>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</si>
  <si>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</si>
  <si>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</si>
  <si>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</si>
  <si>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</si>
  <si>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</si>
  <si>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</si>
  <si>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</si>
  <si>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</si>
  <si>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</si>
  <si>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</si>
  <si>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</si>
  <si>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</si>
  <si>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</si>
  <si>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</si>
  <si>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</si>
  <si>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</si>
  <si>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</si>
  <si>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</si>
  <si>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</si>
  <si>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</si>
  <si>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</si>
  <si>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</si>
  <si>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</si>
  <si>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</si>
  <si>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</si>
  <si>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</si>
  <si>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</si>
  <si>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</si>
  <si>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</si>
  <si>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</si>
  <si>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</si>
  <si>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</si>
  <si>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</si>
  <si>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</si>
  <si>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</si>
  <si>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</si>
  <si>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</si>
  <si>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</si>
  <si>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</si>
  <si>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</si>
  <si>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</si>
  <si>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</si>
  <si>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</si>
  <si>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</si>
  <si>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</si>
  <si>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</si>
  <si>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</si>
  <si>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</si>
  <si>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</si>
  <si>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</si>
  <si>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</si>
  <si>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</si>
  <si>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</si>
  <si>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</si>
  <si>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</si>
  <si>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</si>
  <si>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</si>
  <si>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</si>
  <si>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</si>
  <si>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</si>
  <si>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</si>
  <si>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</si>
  <si>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</si>
  <si>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</si>
  <si>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</si>
  <si>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</si>
  <si>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</si>
  <si>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</si>
  <si>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</si>
  <si>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</si>
  <si>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</si>
  <si>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</si>
  <si>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</si>
  <si>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</si>
  <si>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</si>
  <si>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</si>
  <si>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</si>
  <si>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</si>
  <si>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</si>
  <si>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</si>
  <si>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</si>
  <si>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</si>
  <si>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</si>
  <si>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</si>
  <si>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</si>
  <si>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</si>
  <si>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</si>
  <si>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</si>
  <si>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</si>
  <si>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</si>
  <si>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</si>
  <si>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</si>
  <si>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</si>
  <si>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</si>
  <si>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</si>
  <si>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</si>
  <si>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</si>
  <si>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</si>
  <si>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</si>
  <si>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</si>
  <si>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</si>
  <si>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</si>
  <si>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</si>
  <si>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</si>
  <si>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</si>
  <si>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</si>
  <si>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</si>
  <si>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</si>
  <si>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</si>
  <si>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</si>
  <si>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</si>
  <si>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</si>
  <si>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</si>
  <si>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</si>
  <si>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</si>
  <si>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</si>
  <si>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</si>
  <si>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</si>
  <si>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</si>
  <si>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</si>
  <si>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</si>
  <si>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</si>
  <si>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</si>
  <si>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</si>
  <si>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</si>
  <si>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</si>
  <si>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</si>
  <si>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</si>
  <si>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</si>
  <si>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</si>
  <si>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</si>
  <si>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</si>
  <si>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</si>
  <si>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</si>
  <si>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</si>
  <si>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</si>
  <si>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</si>
  <si>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</si>
  <si>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</si>
  <si>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</si>
  <si>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</si>
  <si>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</si>
  <si>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</si>
  <si>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</si>
  <si>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</si>
  <si>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</si>
  <si>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</si>
  <si>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</si>
  <si>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</si>
  <si>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</si>
  <si>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</si>
  <si>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</si>
  <si>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</si>
  <si>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</si>
  <si>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</si>
  <si>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</si>
  <si>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</si>
  <si>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</si>
  <si>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</si>
  <si>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</si>
  <si>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</si>
  <si>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</si>
  <si>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</si>
  <si>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</si>
  <si>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</si>
  <si>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</si>
  <si>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</si>
  <si>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</si>
  <si>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</si>
  <si>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</si>
  <si>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</si>
  <si>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</si>
  <si>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</si>
  <si>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</si>
  <si>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</si>
  <si>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</si>
  <si>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</si>
  <si>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</si>
  <si>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</si>
  <si>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</si>
  <si>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</si>
  <si>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</si>
  <si>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</si>
  <si>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</si>
  <si>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</si>
  <si>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</si>
  <si>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</si>
  <si>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</si>
  <si>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</si>
  <si>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</si>
  <si>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</si>
  <si>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</si>
  <si>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</si>
  <si>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</si>
  <si>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</si>
  <si>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</si>
  <si>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</si>
  <si>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</si>
  <si>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</si>
  <si>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</si>
  <si>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</si>
  <si>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</si>
  <si>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</si>
  <si>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</si>
  <si>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</si>
  <si>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</si>
  <si>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</si>
  <si>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</si>
  <si>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</si>
  <si>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</si>
  <si>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</si>
  <si>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</si>
  <si>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</si>
  <si>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</si>
  <si>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</si>
  <si>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</si>
  <si>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</si>
  <si>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</si>
  <si>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</si>
  <si>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</si>
  <si>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</si>
  <si>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</si>
  <si>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</si>
  <si>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</si>
  <si>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</si>
  <si>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</si>
  <si>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</si>
  <si>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</si>
  <si>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</si>
  <si>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</si>
  <si>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</si>
  <si>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</si>
  <si>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</si>
  <si>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</si>
  <si>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</si>
  <si>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</si>
  <si>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</si>
  <si>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</si>
  <si>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</si>
  <si>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</si>
  <si>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</si>
  <si>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</si>
  <si>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</si>
  <si>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</si>
  <si>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</si>
  <si>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</si>
  <si>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</si>
  <si>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</si>
  <si>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</si>
  <si>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</si>
  <si>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</si>
  <si>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</si>
  <si>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</si>
  <si>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</si>
  <si>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</si>
  <si>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</si>
  <si>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</si>
  <si>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</si>
  <si>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</si>
  <si>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</si>
  <si>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</si>
  <si>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</si>
  <si>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</si>
  <si>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</si>
  <si>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</si>
  <si>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</si>
  <si>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</si>
  <si>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</si>
  <si>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</si>
  <si>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</si>
  <si>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</si>
  <si>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</si>
  <si>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</si>
  <si>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</si>
  <si>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</si>
  <si>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</si>
  <si>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</si>
  <si>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</si>
  <si>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</si>
  <si>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</si>
  <si>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</si>
  <si>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</si>
  <si>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</si>
  <si>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</si>
  <si>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</si>
  <si>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</si>
  <si>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</si>
  <si>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</si>
  <si>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</si>
  <si>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</si>
  <si>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</si>
  <si>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</si>
  <si>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</si>
  <si>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</si>
  <si>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</si>
  <si>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</si>
  <si>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</si>
  <si>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</si>
  <si>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</si>
  <si>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</si>
  <si>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</si>
  <si>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</si>
  <si>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</si>
  <si>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</si>
  <si>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</si>
  <si>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</si>
  <si>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</si>
  <si>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</si>
  <si>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</si>
  <si>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</si>
  <si>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</si>
  <si>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</si>
  <si>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</si>
  <si>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</si>
  <si>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</si>
  <si>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</si>
  <si>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</si>
  <si>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</si>
  <si>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</si>
  <si>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</si>
  <si>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</si>
  <si>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</si>
  <si>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</si>
  <si>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</si>
  <si>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</si>
  <si>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</si>
  <si>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</si>
  <si>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</si>
  <si>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</si>
  <si>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</si>
  <si>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</si>
  <si>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</si>
  <si>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</si>
  <si>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</si>
  <si>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</si>
  <si>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</si>
  <si>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</si>
  <si>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</si>
  <si>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</si>
  <si>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</si>
  <si>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</si>
  <si>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</si>
  <si>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</si>
  <si>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</si>
  <si>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</si>
  <si>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</si>
  <si>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</si>
  <si>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</si>
  <si>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</si>
  <si>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</si>
  <si>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</si>
  <si>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</si>
  <si>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</si>
  <si>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</si>
  <si>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</si>
  <si>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</si>
  <si>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</si>
  <si>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</si>
  <si>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</si>
  <si>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</si>
  <si>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</si>
  <si>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</si>
  <si>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</si>
  <si>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</si>
  <si>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</si>
  <si>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</si>
  <si>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</si>
  <si>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</si>
  <si>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</si>
  <si>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</si>
  <si>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</si>
  <si>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</si>
  <si>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</si>
  <si>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</si>
  <si>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</si>
  <si>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</si>
  <si>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</si>
  <si>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</si>
  <si>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</si>
  <si>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</si>
  <si>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</si>
  <si>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</si>
  <si>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</si>
  <si>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</si>
  <si>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</si>
  <si>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</si>
  <si>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</si>
  <si>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</si>
  <si>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</si>
  <si>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</si>
  <si>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</si>
  <si>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</si>
  <si>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</si>
  <si>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</si>
  <si>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</si>
  <si>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</si>
  <si>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</si>
  <si>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</si>
  <si>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</si>
  <si>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</si>
  <si>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</si>
  <si>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</si>
  <si>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</si>
  <si>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</si>
  <si>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</si>
  <si>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</si>
  <si>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</si>
  <si>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</si>
  <si>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</si>
  <si>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</si>
  <si>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</si>
  <si>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</si>
  <si>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</si>
  <si>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</si>
  <si>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</si>
  <si>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</si>
  <si>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</si>
  <si>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</si>
  <si>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</si>
  <si>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</si>
  <si>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</si>
  <si>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</si>
  <si>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</si>
  <si>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</si>
  <si>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</si>
  <si>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</si>
  <si>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</si>
  <si>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</si>
  <si>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</si>
  <si>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</si>
  <si>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</si>
  <si>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</si>
  <si>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</si>
  <si>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</si>
  <si>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</si>
  <si>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</si>
  <si>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</si>
  <si>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</si>
  <si>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</si>
  <si>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</si>
  <si>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</si>
  <si>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</si>
  <si>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</si>
  <si>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</si>
  <si>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</si>
  <si>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</si>
  <si>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</si>
  <si>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</si>
  <si>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</si>
  <si>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</si>
  <si>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</si>
  <si>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</si>
  <si>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</si>
  <si>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</si>
  <si>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</si>
  <si>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</si>
  <si>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</si>
  <si>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</si>
  <si>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</si>
  <si>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</si>
  <si>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</si>
  <si>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</si>
  <si>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</si>
  <si>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</si>
  <si>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</si>
  <si>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</si>
  <si>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</si>
  <si>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</si>
  <si>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</si>
  <si>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</si>
  <si>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</si>
  <si>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</si>
  <si>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</si>
  <si>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</si>
  <si>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</si>
  <si>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</si>
  <si>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</si>
  <si>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</si>
  <si>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</si>
  <si>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</si>
  <si>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</si>
  <si>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</si>
  <si>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</si>
  <si>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</si>
  <si>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</si>
  <si>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</si>
  <si>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</si>
  <si>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</si>
  <si>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</si>
  <si>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</si>
  <si>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</si>
  <si>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</si>
  <si>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</si>
  <si>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</si>
  <si>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</si>
  <si>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</si>
  <si>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</si>
  <si>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</si>
  <si>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</si>
  <si>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</si>
  <si>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</si>
  <si>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</si>
  <si>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</si>
  <si>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</si>
  <si>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</si>
  <si>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</si>
  <si>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</si>
  <si>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</si>
  <si>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</si>
  <si>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</si>
  <si>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</si>
  <si>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</si>
  <si>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</si>
  <si>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</si>
  <si>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</si>
  <si>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</si>
  <si>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</si>
  <si>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</si>
  <si>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</si>
  <si>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</si>
  <si>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</si>
  <si>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</si>
  <si>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</si>
  <si>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</si>
  <si>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</si>
  <si>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</si>
  <si>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</si>
  <si>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</si>
  <si>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</si>
  <si>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</si>
  <si>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</si>
  <si>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</si>
  <si>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</si>
  <si>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</si>
  <si>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</si>
  <si>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</si>
  <si>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</si>
  <si>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</si>
  <si>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</si>
  <si>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</si>
  <si>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</si>
  <si>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</si>
  <si>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</si>
  <si>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</si>
  <si>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</si>
  <si>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</si>
  <si>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</si>
  <si>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</si>
  <si>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</si>
  <si>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</si>
  <si>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</si>
  <si>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</si>
  <si>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</si>
  <si>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</si>
  <si>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</si>
  <si>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</si>
  <si>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</si>
  <si>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</si>
  <si>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</si>
  <si>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</si>
  <si>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</si>
  <si>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</si>
  <si>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</si>
  <si>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</si>
  <si>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</si>
  <si>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</si>
  <si>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</si>
  <si>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</si>
  <si>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</si>
  <si>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</si>
  <si>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</si>
  <si>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</si>
  <si>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</si>
  <si>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</si>
  <si>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</si>
  <si>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</si>
  <si>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</si>
  <si>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</si>
  <si>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</si>
  <si>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</si>
  <si>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</si>
  <si>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</si>
  <si>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</si>
  <si>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</si>
  <si>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</si>
  <si>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</si>
  <si>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</si>
  <si>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</si>
  <si>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</si>
  <si>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</si>
  <si>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</si>
  <si>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</si>
  <si>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</si>
  <si>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</si>
  <si>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</si>
  <si>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</si>
  <si>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</si>
  <si>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</si>
  <si>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</si>
  <si>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</si>
  <si>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</si>
  <si>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</si>
  <si>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</si>
  <si>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</si>
  <si>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</si>
  <si>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</si>
  <si>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</si>
  <si>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</si>
  <si>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</si>
  <si>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</si>
  <si>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</si>
  <si>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</si>
  <si>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</si>
  <si>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</si>
  <si>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</si>
  <si>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</si>
  <si>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</si>
  <si>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</si>
  <si>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</si>
  <si>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</si>
  <si>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</si>
  <si>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</si>
  <si>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</si>
  <si>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</si>
  <si>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</si>
  <si>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</si>
  <si>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</si>
  <si>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</si>
  <si>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</si>
  <si>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</si>
  <si>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</si>
  <si>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</si>
  <si>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</si>
  <si>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</si>
  <si>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</si>
  <si>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</si>
  <si>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</si>
  <si>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</si>
  <si>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</si>
  <si>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</si>
  <si>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</si>
  <si>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</si>
  <si>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</si>
  <si>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</si>
  <si>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</si>
  <si>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</si>
  <si>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</si>
  <si>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</si>
  <si>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</si>
  <si>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</si>
  <si>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</si>
  <si>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</si>
  <si>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</si>
  <si>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</si>
  <si>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</si>
  <si>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</si>
  <si>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</si>
  <si>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</si>
  <si>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</si>
  <si>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</si>
  <si>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</si>
  <si>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</si>
  <si>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</si>
  <si>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</si>
  <si>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</si>
  <si>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</si>
  <si>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</si>
  <si>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</si>
  <si>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</si>
  <si>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</si>
  <si>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</si>
  <si>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</si>
  <si>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</si>
  <si>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</si>
  <si>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</si>
  <si>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</si>
  <si>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</si>
  <si>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</si>
  <si>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</si>
  <si>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</si>
  <si>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</si>
  <si>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</si>
  <si>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</si>
  <si>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</si>
  <si>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</si>
  <si>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</si>
  <si>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</si>
  <si>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</si>
  <si>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</si>
  <si>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</si>
  <si>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</si>
  <si>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</si>
  <si>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</si>
  <si>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</si>
  <si>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</si>
  <si>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</si>
  <si>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</si>
  <si>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</si>
  <si>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</si>
  <si>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</si>
  <si>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</si>
  <si>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</si>
  <si>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</si>
  <si>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</si>
  <si>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</si>
  <si>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</si>
  <si>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</si>
  <si>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</si>
  <si>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</si>
  <si>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</si>
  <si>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</si>
  <si>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</si>
  <si>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</si>
  <si>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</si>
  <si>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</si>
  <si>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</si>
  <si>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</si>
  <si>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</si>
  <si>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</si>
  <si>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</si>
  <si>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</si>
  <si>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</si>
  <si>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</si>
  <si>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</si>
  <si>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</si>
  <si>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</si>
  <si>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</si>
  <si>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</si>
  <si>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</si>
  <si>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</si>
  <si>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</si>
  <si>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</si>
  <si>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</si>
  <si>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</si>
  <si>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</si>
  <si>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</si>
  <si>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</si>
  <si>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</si>
  <si>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</si>
  <si>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</si>
  <si>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</si>
  <si>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</si>
  <si>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</si>
  <si>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</si>
  <si>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</si>
  <si>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</si>
  <si>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</si>
  <si>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</si>
  <si>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</si>
  <si>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</si>
  <si>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</si>
  <si>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</si>
  <si>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</si>
  <si>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</si>
  <si>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</si>
  <si>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</si>
  <si>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</si>
  <si>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</si>
  <si>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</si>
  <si>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</si>
  <si>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</si>
  <si>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</si>
  <si>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</si>
  <si>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</si>
  <si>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</si>
  <si>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</si>
  <si>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</si>
  <si>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</si>
  <si>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</si>
  <si>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</si>
  <si>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</si>
  <si>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</si>
  <si>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</si>
  <si>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</si>
  <si>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</si>
  <si>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</si>
  <si>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</si>
  <si>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</si>
  <si>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</si>
  <si>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</si>
  <si>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</si>
  <si>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</si>
  <si>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</si>
  <si>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</si>
  <si>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</si>
  <si>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</si>
  <si>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</si>
  <si>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</si>
  <si>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</si>
  <si>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</si>
  <si>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</si>
  <si>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</si>
  <si>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</si>
  <si>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</si>
  <si>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</si>
  <si>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</si>
  <si>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</si>
  <si>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</si>
  <si>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</si>
  <si>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</si>
  <si>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</si>
  <si>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</si>
  <si>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</si>
  <si>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</si>
  <si>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</si>
  <si>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</si>
  <si>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</si>
  <si>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</si>
  <si>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</si>
  <si>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</si>
  <si>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</si>
  <si>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</si>
  <si>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</si>
  <si>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</si>
  <si>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</si>
  <si>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</si>
  <si>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</si>
  <si>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</si>
  <si>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</si>
  <si>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</si>
  <si>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</si>
  <si>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</si>
  <si>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</si>
  <si>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</si>
  <si>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</si>
  <si>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</si>
  <si>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</si>
  <si>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</si>
  <si>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</si>
  <si>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</si>
  <si>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</si>
  <si>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</si>
  <si>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</si>
  <si>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</si>
  <si>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</si>
  <si>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</si>
  <si>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</si>
  <si>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</si>
  <si>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</si>
  <si>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</si>
  <si>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</si>
  <si>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</si>
  <si>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</si>
  <si>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</si>
  <si>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</si>
  <si>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</si>
  <si>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</si>
  <si>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</si>
  <si>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</si>
  <si>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</si>
  <si>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</si>
  <si>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</si>
  <si>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</si>
  <si>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</si>
  <si>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</si>
  <si>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</si>
  <si>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</si>
  <si>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</si>
  <si>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</si>
  <si>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</si>
  <si>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</si>
  <si>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</si>
  <si>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</si>
  <si>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</si>
  <si>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</si>
  <si>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</si>
  <si>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</si>
  <si>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</si>
  <si>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</si>
  <si>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</si>
  <si>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</si>
  <si>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</si>
  <si>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</si>
  <si>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</si>
  <si>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</si>
  <si>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</si>
  <si>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</si>
  <si>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</si>
  <si>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</si>
  <si>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</si>
  <si>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</si>
  <si>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</si>
  <si>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</si>
  <si>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</si>
  <si>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</si>
  <si>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</si>
  <si>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</si>
  <si>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</si>
  <si>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</si>
  <si>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</si>
  <si>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</si>
  <si>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</si>
  <si>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</si>
  <si>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</si>
  <si>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</si>
  <si>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</si>
  <si>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</si>
  <si>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</si>
  <si>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</si>
  <si>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</si>
  <si>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</si>
  <si>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</si>
  <si>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</si>
  <si>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</si>
  <si>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</si>
  <si>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</si>
  <si>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</si>
  <si>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</si>
  <si>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</si>
  <si>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</si>
  <si>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</si>
  <si>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</si>
  <si>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</si>
  <si>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</si>
  <si>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</si>
  <si>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</si>
  <si>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</si>
  <si>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</si>
  <si>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</si>
  <si>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</si>
  <si>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</si>
  <si>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</si>
  <si>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</si>
  <si>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</si>
  <si>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</si>
  <si>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</si>
  <si>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</si>
  <si>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</si>
  <si>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</si>
  <si>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</si>
  <si>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</si>
  <si>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</si>
  <si>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</si>
  <si>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</si>
  <si>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</si>
  <si>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</si>
  <si>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</si>
  <si>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</si>
  <si>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</si>
  <si>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</si>
  <si>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</si>
  <si>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</si>
  <si>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</si>
  <si>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</si>
  <si>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</si>
  <si>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</si>
  <si>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</si>
  <si>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</si>
  <si>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</si>
  <si>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</si>
  <si>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</si>
  <si>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</si>
  <si>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</si>
  <si>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</si>
  <si>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</si>
  <si>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</si>
  <si>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</si>
  <si>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</si>
  <si>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</si>
  <si>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</si>
  <si>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</si>
  <si>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</si>
  <si>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</si>
  <si>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</si>
  <si>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</si>
  <si>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</si>
  <si>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</si>
  <si>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</si>
  <si>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</si>
  <si>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</si>
  <si>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</si>
  <si>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</si>
  <si>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</si>
  <si>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</si>
  <si>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</si>
  <si>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</si>
  <si>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</si>
  <si>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</si>
  <si>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</si>
  <si>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</si>
  <si>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</si>
  <si>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</si>
  <si>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</si>
  <si>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</si>
  <si>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</si>
  <si>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</si>
  <si>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</si>
  <si>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</si>
  <si>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</si>
  <si>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</si>
  <si>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</si>
  <si>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</si>
  <si>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</si>
  <si>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</si>
  <si>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</si>
  <si>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</si>
  <si>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</si>
  <si>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</si>
  <si>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</si>
  <si>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</si>
  <si>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</si>
  <si>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</si>
  <si>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</si>
  <si>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</si>
  <si>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</si>
  <si>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</si>
  <si>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</si>
  <si>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</si>
  <si>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</si>
  <si>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</si>
  <si>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</si>
  <si>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</si>
  <si>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</si>
  <si>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</si>
  <si>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</si>
  <si>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</si>
  <si>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</si>
  <si>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</si>
  <si>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</si>
  <si>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</si>
  <si>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</si>
  <si>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</si>
  <si>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</si>
  <si>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</si>
  <si>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</si>
  <si>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</si>
  <si>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</si>
  <si>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</si>
  <si>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</si>
  <si>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</si>
  <si>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</si>
  <si>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</si>
  <si>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</si>
  <si>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</si>
  <si>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</si>
  <si>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</si>
  <si>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</si>
  <si>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</si>
  <si>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</si>
  <si>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</si>
  <si>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</si>
  <si>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</si>
  <si>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</si>
  <si>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</si>
  <si>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</si>
  <si>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</si>
  <si>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</si>
  <si>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</si>
  <si>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</si>
  <si>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</si>
  <si>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</si>
  <si>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</si>
  <si>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</si>
  <si>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</si>
  <si>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</si>
  <si>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</si>
  <si>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</si>
  <si>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</si>
  <si>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</si>
  <si>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</si>
  <si>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</si>
  <si>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</si>
  <si>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</si>
  <si>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</si>
  <si>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</si>
  <si>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</si>
  <si>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</si>
  <si>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</si>
  <si>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</si>
  <si>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</si>
  <si>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</si>
  <si>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</si>
  <si>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</si>
  <si>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</si>
  <si>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</si>
  <si>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</si>
  <si>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</si>
  <si>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</si>
  <si>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</si>
  <si>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</si>
  <si>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</si>
  <si>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</si>
  <si>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</si>
  <si>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</si>
  <si>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</si>
  <si>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</si>
  <si>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</si>
  <si>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</si>
  <si>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</si>
  <si>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</si>
  <si>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</si>
  <si>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</si>
  <si>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</si>
  <si>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</si>
  <si>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</si>
  <si>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</si>
  <si>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</si>
  <si>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</si>
  <si>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</si>
  <si>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</si>
  <si>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</si>
  <si>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</si>
  <si>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</si>
  <si>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</si>
  <si>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</si>
  <si>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</si>
  <si>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</si>
  <si>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</si>
  <si>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</si>
  <si>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</si>
  <si>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</si>
  <si>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</si>
  <si>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</si>
  <si>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</si>
  <si>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</si>
  <si>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</si>
  <si>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</si>
  <si>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</si>
  <si>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</si>
  <si>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</si>
  <si>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</si>
  <si>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</si>
  <si>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</si>
  <si>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</si>
  <si>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</si>
  <si>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</si>
  <si>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</si>
  <si>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</si>
  <si>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</si>
  <si>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</si>
  <si>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</si>
  <si>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</si>
  <si>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</si>
  <si>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</si>
  <si>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</si>
  <si>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</si>
  <si>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</si>
  <si>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</si>
  <si>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</si>
  <si>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</si>
  <si>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</si>
  <si>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</si>
  <si>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</si>
  <si>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</si>
  <si>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</si>
  <si>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</si>
  <si>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</si>
  <si>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</si>
  <si>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</si>
  <si>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</si>
  <si>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</si>
  <si>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</si>
  <si>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</si>
  <si>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</si>
  <si>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</si>
  <si>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</si>
  <si>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</si>
  <si>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</si>
  <si>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</si>
  <si>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</si>
  <si>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</si>
  <si>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</si>
  <si>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</si>
  <si>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</si>
  <si>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</si>
  <si>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</si>
  <si>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</si>
  <si>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</si>
  <si>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</si>
  <si>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</si>
  <si>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</si>
  <si>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</si>
  <si>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</si>
  <si>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</si>
  <si>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</si>
  <si>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</si>
  <si>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</si>
  <si>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</si>
  <si>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</si>
  <si>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</si>
  <si>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</si>
  <si>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</si>
  <si>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</si>
  <si>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</si>
  <si>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</si>
  <si>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</si>
  <si>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</si>
  <si>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</si>
  <si>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</si>
  <si>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</si>
  <si>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</si>
  <si>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</si>
  <si>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</si>
  <si>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</si>
  <si>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</si>
  <si>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</si>
  <si>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</si>
  <si>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</si>
  <si>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</si>
  <si>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</si>
  <si>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</si>
  <si>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</si>
  <si>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</si>
  <si>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</si>
  <si>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</si>
  <si>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</si>
  <si>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</si>
  <si>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</si>
  <si>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</si>
  <si>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</si>
  <si>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</si>
  <si>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</si>
  <si>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</si>
  <si>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</si>
  <si>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</si>
  <si>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</si>
  <si>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</si>
  <si>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</si>
  <si>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</si>
  <si>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</si>
  <si>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</si>
  <si>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</si>
  <si>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</si>
  <si>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</si>
  <si>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</si>
  <si>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</si>
  <si>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</si>
  <si>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</si>
  <si>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</si>
  <si>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</si>
  <si>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</si>
  <si>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</si>
  <si>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</si>
  <si>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</si>
  <si>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</si>
  <si>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</si>
  <si>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</si>
  <si>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</si>
  <si>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</si>
  <si>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</si>
  <si>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</si>
  <si>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</si>
  <si>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</si>
  <si>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</si>
  <si>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</si>
  <si>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</si>
  <si>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</si>
  <si>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</si>
  <si>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</si>
  <si>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</si>
  <si>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</si>
  <si>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</si>
  <si>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</si>
  <si>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</si>
  <si>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</si>
  <si>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</si>
  <si>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</si>
  <si>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</si>
  <si>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</si>
  <si>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</si>
  <si>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</si>
  <si>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</si>
  <si>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</si>
  <si>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</si>
  <si>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</si>
  <si>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</si>
  <si>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</si>
  <si>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</si>
  <si>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</si>
  <si>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</si>
  <si>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</si>
  <si>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</si>
  <si>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</si>
  <si>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</si>
  <si>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</si>
  <si>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</si>
  <si>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</si>
  <si>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</si>
  <si>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</si>
  <si>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</si>
  <si>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</si>
  <si>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</si>
  <si>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</si>
  <si>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</si>
  <si>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</si>
  <si>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</si>
  <si>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</si>
  <si>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</si>
  <si>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</si>
  <si>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</si>
  <si>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</si>
  <si>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</si>
  <si>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</si>
  <si>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</si>
  <si>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</si>
  <si>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</si>
  <si>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</si>
  <si>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</si>
  <si>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</si>
  <si>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</si>
  <si>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</si>
  <si>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</si>
  <si>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</si>
  <si>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</si>
  <si>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</si>
  <si>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</si>
  <si>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</si>
  <si>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</si>
  <si>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</si>
  <si>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</si>
  <si>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</si>
  <si>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</si>
  <si>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</si>
  <si>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</si>
  <si>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</si>
  <si>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</si>
  <si>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</si>
  <si>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</si>
  <si>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</si>
  <si>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</si>
  <si>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</si>
  <si>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</si>
  <si>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</si>
  <si>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</si>
  <si>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</si>
  <si>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</si>
  <si>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</si>
  <si>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</si>
  <si>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</si>
  <si>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</si>
  <si>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</si>
  <si>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</si>
  <si>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</si>
  <si>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</si>
  <si>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</si>
  <si>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</si>
  <si>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</si>
  <si>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</si>
  <si>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</si>
  <si>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</si>
  <si>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</si>
  <si>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</si>
  <si>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</si>
  <si>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</si>
  <si>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</si>
  <si>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</si>
  <si>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</si>
  <si>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</si>
  <si>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</si>
  <si>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</si>
  <si>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</si>
  <si>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</si>
  <si>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</si>
  <si>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</si>
  <si>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</si>
  <si>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</si>
  <si>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</si>
  <si>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</si>
  <si>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</si>
  <si>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</si>
  <si>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</si>
  <si>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</si>
  <si>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</si>
  <si>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</si>
  <si>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</si>
  <si>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</si>
  <si>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</si>
  <si>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</si>
  <si>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</si>
  <si>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</si>
  <si>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</si>
  <si>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</si>
  <si>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</si>
  <si>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</si>
  <si>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</si>
  <si>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</si>
  <si>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</si>
  <si>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</si>
  <si>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</si>
  <si>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</si>
  <si>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</si>
  <si>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</si>
  <si>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</si>
  <si>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</si>
  <si>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</si>
  <si>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</si>
  <si>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</si>
  <si>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</si>
  <si>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</si>
  <si>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</si>
  <si>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</si>
  <si>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</si>
  <si>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</si>
  <si>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</si>
  <si>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</si>
  <si>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</si>
  <si>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</si>
  <si>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</si>
  <si>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</si>
  <si>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</si>
  <si>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</si>
  <si>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</si>
  <si>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</si>
  <si>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</si>
  <si>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</si>
  <si>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</si>
  <si>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</si>
  <si>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</si>
  <si>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</si>
  <si>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</si>
  <si>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</si>
  <si>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</si>
  <si>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</si>
  <si>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</si>
  <si>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</si>
  <si>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</si>
  <si>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</si>
  <si>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</si>
  <si>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</si>
  <si>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</si>
  <si>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</si>
  <si>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</si>
  <si>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</si>
  <si>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</si>
  <si>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</si>
  <si>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</si>
  <si>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</si>
  <si>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</si>
  <si>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</si>
  <si>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</si>
  <si>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</si>
  <si>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</si>
  <si>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</si>
  <si>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</si>
  <si>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</si>
  <si>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</si>
  <si>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</si>
  <si>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</si>
  <si>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</si>
  <si>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</si>
  <si>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</si>
  <si>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</si>
  <si>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</si>
  <si>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</si>
  <si>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</si>
  <si>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</si>
  <si>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</si>
  <si>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</si>
  <si>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</si>
  <si>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</si>
  <si>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</si>
  <si>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</si>
  <si>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</si>
  <si>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</si>
  <si>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</si>
  <si>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</si>
  <si>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</si>
  <si>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</si>
  <si>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</si>
  <si>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</si>
  <si>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</si>
  <si>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</si>
  <si>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</si>
  <si>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</si>
  <si>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</si>
  <si>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</si>
  <si>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</si>
  <si>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</si>
  <si>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</si>
  <si>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</si>
  <si>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</si>
  <si>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</si>
  <si>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</si>
  <si>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</si>
  <si>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</si>
  <si>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</si>
  <si>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</si>
  <si>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</si>
  <si>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</si>
  <si>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</si>
  <si>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</si>
  <si>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</si>
  <si>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</si>
  <si>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</si>
  <si>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</si>
  <si>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</si>
  <si>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</si>
  <si>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</si>
  <si>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</si>
  <si>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</si>
  <si>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</si>
  <si>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</si>
  <si>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</si>
  <si>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</si>
  <si>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</si>
  <si>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</si>
  <si>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</si>
  <si>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</si>
  <si>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</si>
  <si>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</si>
  <si>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</si>
  <si>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</si>
  <si>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</si>
  <si>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</si>
  <si>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</si>
  <si>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</si>
  <si>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</si>
  <si>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</si>
  <si>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</si>
  <si>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</si>
  <si>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</si>
  <si>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</si>
  <si>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</si>
  <si>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</si>
  <si>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</si>
  <si>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</si>
  <si>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</si>
  <si>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</si>
  <si>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</si>
  <si>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</si>
  <si>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</si>
  <si>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</si>
  <si>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</si>
  <si>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</si>
  <si>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</si>
  <si>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</si>
  <si>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</si>
  <si>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</si>
  <si>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</si>
  <si>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</si>
  <si>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</si>
  <si>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</si>
  <si>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</si>
  <si>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</si>
  <si>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</si>
  <si>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</si>
  <si>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</si>
  <si>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</si>
  <si>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</si>
  <si>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</si>
  <si>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</si>
  <si>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</si>
  <si>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</si>
  <si>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</si>
  <si>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</si>
  <si>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</si>
  <si>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</si>
  <si>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</si>
  <si>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</si>
  <si>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</si>
  <si>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</si>
  <si>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</si>
  <si>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</si>
  <si>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</si>
  <si>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</si>
  <si>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</si>
  <si>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</si>
  <si>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</si>
  <si>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</si>
  <si>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</si>
  <si>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</si>
  <si>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</si>
  <si>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</si>
  <si>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</si>
  <si>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</si>
  <si>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</si>
  <si>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</si>
  <si>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</si>
  <si>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</si>
  <si>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</si>
  <si>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</si>
  <si>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</si>
  <si>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</si>
  <si>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</si>
  <si>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</si>
  <si>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</si>
  <si>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</si>
  <si>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</si>
  <si>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</si>
  <si>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</si>
  <si>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</si>
  <si>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</si>
  <si>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</si>
  <si>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</si>
  <si>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</si>
  <si>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</si>
  <si>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</si>
  <si>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</si>
  <si>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</si>
  <si>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</si>
  <si>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</si>
  <si>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</si>
  <si>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</si>
  <si>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</si>
  <si>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</si>
  <si>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</si>
  <si>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</si>
  <si>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</si>
  <si>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</si>
  <si>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</si>
  <si>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</si>
  <si>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</si>
  <si>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</si>
  <si>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</si>
  <si>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</si>
  <si>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</si>
  <si>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</si>
  <si>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</si>
  <si>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</si>
  <si>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</si>
  <si>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</si>
  <si>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</si>
  <si>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</si>
  <si>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</si>
  <si>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</si>
  <si>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</si>
  <si>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</si>
  <si>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</si>
  <si>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</si>
  <si>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</si>
  <si>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</si>
  <si>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</si>
  <si>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</si>
  <si>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</si>
  <si>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</si>
  <si>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</si>
  <si>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</si>
  <si>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</si>
  <si>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</si>
  <si>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</si>
  <si>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</si>
  <si>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</si>
  <si>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</si>
  <si>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</si>
  <si>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</si>
  <si>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</si>
  <si>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</si>
  <si>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</si>
  <si>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</si>
  <si>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</si>
  <si>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</si>
  <si>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</si>
  <si>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</si>
  <si>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</si>
  <si>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</si>
  <si>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</si>
  <si>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</si>
  <si>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</si>
  <si>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</si>
  <si>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</si>
  <si>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</si>
  <si>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</si>
  <si>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</si>
  <si>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</si>
  <si>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</si>
  <si>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</si>
  <si>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</si>
  <si>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</si>
  <si>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</si>
  <si>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</si>
  <si>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</si>
  <si>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</si>
  <si>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</si>
  <si>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</si>
  <si>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</si>
  <si>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</si>
  <si>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</si>
  <si>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</si>
  <si>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</si>
  <si>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</si>
  <si>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</si>
  <si>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</si>
  <si>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</si>
  <si>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</si>
  <si>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</si>
  <si>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</si>
  <si>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</si>
  <si>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</si>
  <si>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</si>
  <si>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</si>
  <si>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</si>
  <si>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</si>
  <si>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</si>
  <si>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</si>
  <si>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</si>
  <si>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</si>
  <si>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</si>
  <si>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</si>
  <si>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</si>
  <si>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</si>
  <si>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</si>
  <si>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</si>
  <si>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</si>
  <si>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</si>
  <si>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</si>
  <si>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</si>
  <si>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</si>
  <si>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</si>
  <si>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</si>
  <si>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</si>
  <si>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</si>
  <si>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</si>
  <si>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</si>
  <si>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</si>
  <si>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</si>
  <si>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</si>
  <si>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</si>
  <si>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</si>
  <si>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</si>
  <si>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</si>
  <si>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</si>
  <si>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</si>
  <si>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</si>
  <si>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</si>
  <si>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</si>
  <si>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</si>
  <si>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</si>
  <si>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</si>
  <si>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</si>
  <si>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</si>
  <si>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</si>
  <si>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</si>
  <si>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</si>
  <si>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</si>
  <si>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</si>
  <si>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</si>
  <si>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</si>
  <si>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</si>
  <si>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</si>
  <si>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</si>
  <si>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</si>
  <si>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</si>
  <si>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</si>
  <si>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</si>
  <si>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</si>
  <si>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</si>
  <si>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</si>
  <si>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</si>
  <si>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</si>
  <si>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</si>
  <si>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</si>
  <si>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</si>
  <si>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</si>
  <si>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</si>
  <si>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</si>
  <si>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</si>
  <si>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</si>
  <si>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</si>
  <si>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</si>
  <si>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</si>
  <si>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</si>
  <si>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</si>
  <si>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</si>
  <si>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</si>
  <si>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</si>
  <si>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</si>
  <si>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</si>
  <si>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</si>
  <si>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</si>
  <si>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</si>
  <si>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</si>
  <si>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</si>
  <si>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</si>
  <si>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</si>
  <si>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</si>
  <si>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</si>
  <si>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</si>
  <si>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</si>
  <si>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</si>
  <si>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</si>
  <si>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</si>
  <si>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</si>
  <si>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</si>
  <si>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</si>
  <si>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</si>
  <si>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</si>
  <si>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</si>
  <si>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</si>
  <si>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</si>
  <si>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</si>
  <si>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</si>
  <si>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</si>
  <si>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</si>
  <si>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</si>
  <si>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</si>
  <si>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</si>
  <si>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</si>
  <si>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</si>
  <si>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</si>
  <si>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</si>
  <si>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</si>
  <si>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</si>
  <si>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</si>
  <si>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</si>
  <si>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</si>
  <si>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</si>
  <si>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</si>
  <si>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</si>
  <si>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</si>
  <si>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</si>
  <si>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</si>
  <si>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</si>
  <si>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</si>
  <si>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</si>
  <si>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</si>
  <si>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</si>
  <si>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</si>
  <si>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</si>
  <si>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</si>
  <si>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</si>
  <si>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</si>
  <si>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</si>
  <si>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</si>
  <si>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</si>
  <si>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</si>
  <si>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</si>
  <si>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</si>
  <si>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</si>
  <si>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</si>
  <si>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</si>
  <si>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</si>
  <si>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</si>
  <si>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</si>
  <si>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</si>
  <si>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</si>
  <si>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</si>
  <si>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</si>
  <si>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</si>
  <si>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</si>
  <si>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</si>
  <si>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</si>
  <si>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</si>
  <si>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</si>
  <si>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</si>
  <si>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</si>
  <si>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</si>
  <si>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</si>
  <si>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</si>
  <si>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</si>
  <si>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</si>
  <si>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</si>
  <si>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</si>
  <si>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</si>
  <si>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</si>
  <si>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</si>
  <si>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</si>
  <si>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</si>
  <si>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</si>
  <si>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</si>
  <si>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</si>
  <si>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</si>
  <si>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</si>
  <si>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</si>
  <si>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</si>
  <si>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</si>
  <si>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</si>
  <si>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</si>
  <si>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</si>
  <si>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</si>
  <si>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</si>
  <si>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</si>
  <si>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</si>
  <si>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</si>
  <si>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</si>
  <si>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</si>
  <si>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</si>
  <si>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</si>
  <si>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</si>
  <si>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</si>
  <si>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</si>
  <si>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</si>
  <si>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</si>
  <si>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</si>
  <si>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</si>
  <si>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</si>
  <si>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</si>
  <si>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</si>
  <si>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</si>
  <si>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</si>
  <si>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</si>
  <si>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</si>
  <si>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</si>
  <si>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</si>
  <si>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</si>
  <si>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</si>
  <si>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</si>
  <si>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</si>
  <si>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</si>
  <si>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</si>
  <si>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</si>
  <si>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</si>
  <si>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</si>
  <si>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</si>
  <si>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</si>
  <si>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</si>
  <si>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</si>
  <si>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</si>
  <si>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</si>
  <si>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</si>
  <si>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</si>
  <si>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</si>
  <si>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</si>
  <si>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</si>
  <si>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</si>
  <si>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</si>
  <si>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</si>
  <si>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</si>
  <si>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</si>
  <si>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</si>
  <si>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</si>
  <si>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</si>
  <si>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</si>
  <si>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</si>
  <si>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</si>
  <si>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</si>
  <si>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</si>
  <si>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</si>
  <si>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</si>
  <si>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</si>
  <si>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</si>
  <si>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</si>
  <si>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</si>
  <si>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</si>
  <si>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</si>
  <si>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</si>
  <si>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</si>
  <si>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</si>
  <si>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</si>
  <si>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</si>
  <si>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</si>
  <si>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</si>
  <si>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</si>
  <si>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</si>
  <si>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</si>
  <si>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</si>
  <si>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</si>
  <si>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</si>
  <si>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</si>
  <si>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</si>
  <si>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</si>
  <si>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</si>
  <si>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</si>
  <si>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</si>
  <si>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</si>
  <si>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</si>
  <si>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</si>
  <si>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</si>
  <si>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</si>
  <si>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</si>
  <si>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</si>
  <si>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</si>
  <si>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</si>
  <si>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</si>
  <si>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</si>
  <si>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</si>
  <si>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</si>
  <si>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</si>
  <si>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</si>
  <si>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</si>
  <si>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</si>
  <si>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</si>
  <si>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</si>
  <si>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</si>
  <si>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</si>
  <si>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</si>
  <si>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</si>
  <si>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</si>
  <si>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</si>
  <si>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</si>
  <si>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</si>
  <si>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</si>
  <si>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</si>
  <si>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</si>
  <si>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</si>
  <si>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</si>
  <si>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</si>
  <si>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</si>
  <si>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</si>
  <si>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</si>
  <si>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</si>
  <si>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</si>
  <si>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</si>
  <si>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</si>
  <si>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</si>
  <si>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</si>
  <si>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</si>
  <si>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</si>
  <si>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</si>
  <si>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</si>
  <si>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</si>
  <si>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</si>
  <si>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</si>
  <si>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</si>
  <si>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</si>
  <si>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</si>
  <si>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</si>
  <si>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</si>
  <si>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</si>
  <si>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</si>
  <si>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</si>
  <si>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</si>
  <si>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</si>
  <si>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</si>
  <si>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</si>
  <si>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</si>
  <si>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</si>
  <si>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</si>
  <si>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</si>
  <si>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</si>
  <si>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</si>
  <si>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</si>
  <si>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</si>
  <si>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</si>
  <si>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</si>
  <si>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</si>
  <si>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</si>
  <si>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</si>
  <si>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</si>
  <si>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</si>
  <si>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</si>
  <si>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</si>
  <si>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</si>
  <si>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</si>
  <si>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</si>
  <si>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</si>
  <si>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</si>
  <si>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</si>
  <si>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</si>
  <si>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</si>
  <si>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</si>
  <si>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</si>
  <si>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</si>
  <si>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</si>
  <si>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</si>
  <si>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</si>
  <si>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</si>
  <si>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</si>
  <si>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</si>
  <si>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</si>
  <si>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</si>
  <si>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</si>
  <si>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</si>
  <si>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</si>
  <si>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</si>
  <si>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</si>
  <si>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</si>
  <si>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</si>
  <si>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</si>
  <si>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</si>
  <si>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</si>
  <si>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</si>
  <si>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</si>
  <si>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</si>
  <si>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</si>
  <si>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</si>
  <si>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</si>
  <si>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</si>
  <si>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</si>
  <si>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</si>
  <si>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</si>
  <si>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</si>
  <si>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</si>
  <si>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</si>
  <si>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</si>
  <si>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</si>
  <si>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</si>
  <si>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</si>
  <si>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</si>
  <si>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</si>
  <si>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</si>
  <si>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</si>
  <si>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</si>
  <si>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</si>
  <si>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</si>
  <si>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</si>
  <si>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</si>
  <si>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</si>
  <si>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</si>
  <si>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</si>
  <si>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</si>
  <si>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</si>
  <si>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</si>
  <si>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</si>
  <si>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</si>
  <si>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</si>
  <si>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</si>
  <si>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</si>
  <si>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</si>
  <si>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</si>
  <si>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</si>
  <si>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</si>
  <si>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</si>
  <si>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</si>
  <si>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</si>
  <si>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</si>
  <si>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</si>
  <si>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</si>
  <si>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</si>
  <si>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</si>
  <si>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</si>
  <si>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</si>
  <si>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</si>
  <si>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</si>
  <si>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</si>
  <si>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</si>
  <si>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</si>
  <si>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</si>
  <si>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</si>
  <si>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</si>
  <si>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</si>
  <si>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</si>
  <si>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</si>
  <si>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</si>
  <si>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</si>
  <si>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</si>
  <si>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</si>
  <si>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</si>
  <si>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</si>
  <si>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</si>
  <si>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</si>
  <si>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</si>
  <si>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</si>
  <si>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</si>
  <si>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</si>
  <si>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</si>
  <si>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</si>
  <si>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</si>
  <si>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</si>
  <si>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</si>
  <si>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</si>
  <si>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</si>
  <si>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</si>
  <si>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</si>
  <si>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</si>
  <si>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</si>
  <si>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</si>
  <si>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</si>
  <si>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</si>
  <si>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</si>
  <si>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</si>
  <si>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</si>
  <si>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</si>
  <si>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</si>
  <si>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</si>
  <si>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</si>
  <si>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</si>
  <si>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</si>
  <si>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</si>
  <si>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</si>
  <si>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</si>
  <si>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</si>
  <si>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</si>
  <si>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</si>
  <si>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</si>
  <si>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</si>
  <si>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</si>
  <si>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</si>
  <si>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</si>
  <si>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</si>
  <si>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</si>
  <si>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</si>
  <si>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</si>
  <si>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</si>
  <si>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</si>
  <si>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</si>
  <si>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</si>
  <si>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</si>
  <si>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</si>
  <si>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</si>
  <si>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</si>
  <si>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</si>
  <si>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</si>
  <si>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</si>
  <si>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</si>
  <si>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</si>
  <si>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</si>
  <si>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</si>
  <si>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</si>
  <si>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</si>
  <si>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</si>
  <si>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</si>
  <si>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</si>
  <si>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</si>
  <si>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</si>
  <si>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</si>
  <si>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</si>
  <si>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</si>
  <si>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</si>
  <si>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</si>
  <si>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</si>
  <si>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</si>
  <si>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</si>
  <si>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</si>
  <si>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</si>
  <si>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</si>
  <si>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</si>
  <si>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</si>
  <si>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</si>
  <si>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</si>
  <si>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</si>
  <si>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</si>
  <si>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</si>
  <si>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</si>
  <si>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</si>
  <si>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</si>
  <si>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</si>
  <si>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</si>
  <si>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</si>
  <si>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</si>
  <si>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</si>
  <si>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</si>
  <si>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</si>
  <si>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</si>
  <si>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</si>
  <si>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</si>
  <si>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</si>
  <si>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</si>
  <si>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</si>
  <si>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</si>
  <si>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</si>
  <si>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</si>
  <si>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</si>
  <si>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</si>
  <si>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</si>
  <si>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</si>
  <si>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</si>
  <si>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</si>
  <si>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</si>
  <si>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</si>
  <si>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</si>
  <si>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</si>
  <si>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</si>
  <si>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</si>
  <si>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</si>
  <si>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</si>
  <si>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</si>
  <si>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</si>
  <si>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</si>
  <si>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</si>
  <si>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</si>
  <si>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</si>
  <si>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</si>
  <si>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</si>
  <si>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</si>
  <si>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</si>
  <si>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</si>
  <si>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</si>
  <si>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</si>
  <si>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</si>
  <si>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</si>
  <si>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</si>
  <si>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</si>
  <si>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</si>
  <si>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</si>
  <si>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</si>
  <si>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</si>
  <si>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</si>
  <si>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</si>
  <si>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</si>
  <si>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</si>
  <si>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</si>
  <si>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</si>
  <si>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</si>
  <si>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</si>
  <si>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</si>
  <si>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</si>
  <si>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</si>
  <si>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</si>
  <si>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</si>
  <si>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</si>
  <si>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</si>
  <si>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</si>
  <si>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</si>
  <si>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</si>
  <si>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</si>
  <si>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</si>
  <si>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</si>
  <si>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</si>
  <si>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</si>
  <si>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</si>
  <si>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</si>
  <si>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</si>
  <si>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</si>
  <si>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</si>
  <si>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</si>
  <si>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</si>
  <si>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</si>
  <si>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</si>
  <si>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</si>
  <si>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</si>
  <si>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</si>
  <si>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</si>
  <si>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</si>
  <si>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</si>
  <si>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</si>
  <si>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</si>
  <si>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</si>
  <si>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</si>
  <si>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</si>
  <si>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</si>
  <si>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</si>
  <si>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</si>
  <si>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</si>
  <si>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</si>
  <si>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</si>
  <si>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</si>
  <si>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</si>
  <si>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</si>
  <si>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</si>
  <si>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</si>
  <si>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</si>
  <si>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</si>
  <si>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</si>
  <si>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</si>
  <si>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</si>
  <si>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</si>
  <si>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</si>
  <si>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</si>
  <si>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</si>
  <si>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</si>
  <si>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</si>
  <si>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</si>
  <si>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</si>
  <si>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</si>
  <si>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</si>
  <si>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</si>
  <si>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</si>
  <si>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</si>
  <si>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</si>
  <si>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</si>
  <si>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</si>
  <si>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</si>
  <si>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</si>
  <si>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</si>
  <si>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</si>
  <si>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</si>
  <si>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</si>
  <si>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</si>
  <si>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</si>
  <si>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</si>
  <si>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</si>
  <si>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</si>
  <si>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</si>
  <si>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</si>
  <si>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</si>
  <si>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</si>
  <si>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</si>
  <si>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</si>
  <si>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</si>
  <si>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</si>
  <si>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</si>
  <si>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</si>
  <si>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</si>
  <si>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</si>
  <si>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</si>
  <si>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</si>
  <si>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</si>
  <si>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</si>
  <si>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</si>
  <si>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</si>
  <si>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</si>
  <si>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</si>
  <si>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</si>
  <si>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</si>
  <si>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</si>
  <si>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</si>
  <si>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</si>
  <si>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</si>
  <si>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</si>
  <si>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</si>
  <si>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</si>
  <si>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</si>
  <si>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</si>
  <si>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</si>
  <si>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</si>
  <si>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</si>
  <si>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</si>
  <si>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</si>
  <si>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</si>
  <si>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</si>
  <si>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</si>
  <si>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</si>
  <si>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</si>
  <si>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</si>
  <si>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</si>
  <si>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</si>
  <si>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</si>
  <si>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</si>
  <si>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</si>
  <si>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</si>
  <si>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</si>
  <si>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</si>
  <si>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</si>
  <si>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</si>
  <si>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</si>
  <si>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</si>
  <si>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</si>
  <si>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</si>
  <si>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</si>
  <si>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</si>
  <si>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</si>
  <si>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</si>
  <si>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</si>
  <si>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</si>
  <si>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</si>
  <si>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</si>
  <si>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</si>
  <si>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</si>
  <si>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</si>
  <si>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</si>
  <si>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</si>
  <si>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</si>
  <si>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</si>
  <si>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</si>
  <si>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</si>
  <si>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</si>
  <si>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</si>
  <si>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</si>
  <si>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</si>
  <si>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</si>
  <si>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</si>
  <si>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</si>
  <si>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</si>
  <si>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</si>
  <si>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</si>
  <si>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</si>
  <si>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</si>
  <si>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</si>
  <si>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</si>
  <si>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</si>
  <si>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</si>
  <si>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</si>
  <si>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</si>
  <si>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</si>
  <si>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</si>
  <si>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</si>
  <si>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</si>
  <si>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</si>
  <si>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</si>
  <si>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</si>
  <si>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</si>
  <si>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</si>
  <si>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</si>
  <si>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</si>
  <si>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</si>
  <si>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</si>
  <si>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</si>
  <si>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</si>
  <si>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</si>
  <si>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</si>
  <si>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</si>
  <si>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</si>
  <si>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</si>
  <si>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</si>
  <si>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</si>
  <si>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</si>
  <si>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</si>
  <si>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</si>
  <si>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</si>
  <si>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</si>
  <si>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</si>
  <si>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</si>
  <si>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</si>
  <si>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</si>
  <si>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</si>
  <si>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</si>
  <si>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</si>
  <si>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</si>
  <si>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</si>
  <si>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</si>
  <si>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</si>
  <si>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</si>
  <si>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</si>
  <si>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</si>
  <si>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</si>
  <si>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</si>
  <si>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</si>
  <si>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</si>
  <si>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</si>
  <si>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</si>
  <si>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</si>
  <si>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</si>
  <si>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</si>
  <si>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</si>
  <si>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</si>
  <si>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</si>
  <si>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</si>
  <si>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</si>
  <si>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</si>
  <si>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</si>
  <si>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</si>
  <si>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</si>
  <si>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</si>
  <si>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</si>
  <si>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</si>
  <si>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</si>
  <si>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</si>
  <si>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</si>
  <si>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</si>
  <si>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</si>
  <si>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</si>
  <si>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</si>
  <si>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</si>
  <si>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</si>
  <si>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</si>
  <si>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</si>
  <si>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</si>
  <si>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</si>
  <si>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</si>
  <si>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</si>
  <si>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</si>
  <si>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</si>
  <si>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</si>
  <si>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</si>
  <si>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</si>
  <si>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</si>
  <si>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</si>
  <si>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</si>
  <si>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</si>
  <si>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</si>
  <si>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</si>
  <si>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</si>
  <si>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</si>
  <si>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</si>
  <si>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</si>
  <si>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</si>
  <si>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</si>
  <si>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</si>
  <si>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</si>
  <si>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</si>
  <si>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</si>
  <si>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</si>
  <si>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</si>
  <si>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</si>
  <si>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</si>
  <si>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</si>
  <si>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</si>
  <si>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</si>
  <si>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</si>
  <si>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</si>
  <si>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</si>
  <si>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</si>
  <si>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</si>
  <si>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</si>
  <si>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</si>
  <si>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</si>
  <si>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</si>
  <si>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</si>
  <si>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</si>
  <si>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</si>
  <si>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</si>
  <si>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</si>
  <si>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</si>
  <si>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</si>
  <si>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</si>
  <si>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</si>
  <si>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</si>
  <si>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</si>
  <si>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</si>
  <si>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</si>
  <si>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</si>
  <si>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</si>
  <si>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</si>
  <si>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</si>
  <si>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</si>
  <si>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</si>
  <si>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</si>
  <si>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</si>
  <si>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</si>
  <si>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</si>
  <si>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</si>
  <si>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</si>
  <si>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</si>
  <si>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</si>
  <si>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</si>
  <si>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</si>
  <si>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</si>
  <si>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</si>
  <si>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</si>
  <si>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</si>
  <si>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</si>
  <si>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</si>
  <si>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</si>
  <si>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</si>
  <si>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</si>
  <si>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</si>
  <si>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</si>
  <si>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</si>
  <si>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</si>
  <si>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</si>
  <si>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</si>
  <si>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</si>
  <si>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</si>
  <si>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</si>
  <si>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</si>
  <si>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</si>
  <si>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</si>
  <si>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</si>
  <si>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</si>
  <si>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</si>
  <si>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</si>
  <si>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</si>
  <si>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</si>
  <si>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</si>
  <si>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</si>
  <si>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</si>
  <si>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</si>
  <si>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</si>
  <si>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</si>
  <si>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</si>
  <si>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</si>
  <si>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</si>
  <si>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</si>
  <si>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</si>
  <si>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</si>
  <si>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</si>
  <si>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</si>
  <si>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</si>
  <si>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</si>
  <si>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</si>
  <si>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</si>
  <si>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</si>
  <si>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</si>
  <si>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</si>
  <si>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</si>
  <si>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</si>
  <si>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</si>
  <si>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</si>
  <si>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</si>
  <si>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</si>
  <si>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</si>
  <si>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</si>
  <si>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</si>
  <si>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</si>
  <si>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</si>
  <si>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</si>
  <si>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</si>
  <si>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</si>
  <si>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</si>
  <si>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</si>
  <si>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</si>
  <si>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</si>
  <si>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</si>
  <si>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</si>
  <si>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</si>
  <si>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</si>
  <si>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</si>
  <si>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</si>
  <si>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</si>
  <si>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</si>
  <si>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</si>
  <si>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</si>
  <si>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</si>
  <si>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</si>
  <si>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</si>
  <si>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</si>
  <si>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</si>
  <si>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</si>
  <si>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</si>
  <si>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</si>
  <si>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</si>
  <si>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</si>
  <si>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</si>
  <si>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</si>
  <si>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</si>
  <si>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</si>
  <si>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</si>
  <si>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</si>
  <si>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</si>
  <si>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</si>
  <si>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</si>
  <si>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</si>
  <si>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</si>
  <si>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</si>
  <si>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</si>
  <si>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</si>
  <si>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</si>
  <si>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</si>
  <si>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</si>
  <si>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</si>
  <si>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</si>
  <si>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</si>
  <si>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</si>
  <si>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</si>
  <si>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</si>
  <si>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</si>
  <si>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</si>
  <si>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</si>
  <si>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</si>
  <si>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</si>
  <si>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</si>
  <si>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</si>
  <si>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</si>
  <si>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</si>
  <si>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</si>
  <si>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</si>
  <si>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</si>
  <si>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</si>
  <si>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</si>
  <si>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</si>
  <si>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</si>
  <si>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</si>
  <si>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</si>
  <si>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</si>
  <si>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</si>
  <si>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</si>
  <si>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</si>
  <si>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</si>
  <si>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</si>
  <si>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</si>
  <si>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</si>
  <si>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</si>
  <si>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</si>
  <si>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</si>
  <si>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</si>
  <si>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</si>
  <si>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</si>
  <si>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</si>
  <si>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</si>
  <si>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</si>
  <si>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</si>
  <si>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</si>
  <si>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</si>
  <si>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</si>
  <si>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</si>
  <si>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</si>
  <si>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</si>
  <si>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</si>
  <si>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</si>
  <si>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</si>
  <si>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</si>
  <si>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</si>
  <si>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</si>
  <si>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</si>
  <si>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</si>
  <si>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</si>
  <si>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</si>
  <si>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</si>
  <si>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</si>
  <si>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</si>
  <si>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</si>
  <si>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</si>
  <si>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</si>
  <si>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</si>
  <si>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</si>
  <si>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</si>
  <si>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</si>
  <si>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</si>
  <si>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</si>
  <si>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</si>
  <si>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</si>
  <si>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</si>
  <si>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</si>
  <si>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</si>
  <si>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</si>
  <si>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</si>
  <si>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</si>
  <si>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</si>
  <si>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</si>
  <si>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</si>
  <si>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</si>
  <si>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</si>
  <si>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</si>
  <si>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</si>
  <si>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</si>
  <si>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</si>
  <si>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</si>
  <si>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</si>
  <si>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</si>
  <si>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</si>
  <si>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</si>
  <si>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</si>
  <si>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</si>
  <si>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</si>
  <si>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</si>
  <si>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</si>
  <si>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</si>
  <si>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</si>
  <si>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</si>
  <si>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</si>
  <si>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</si>
  <si>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</si>
  <si>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</si>
  <si>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</si>
  <si>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</si>
  <si>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</si>
  <si>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</si>
  <si>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</si>
  <si>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</si>
  <si>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</si>
  <si>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</si>
  <si>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</si>
  <si>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</si>
  <si>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</si>
  <si>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</si>
  <si>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</si>
  <si>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</si>
  <si>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</si>
  <si>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</si>
  <si>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</si>
  <si>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</si>
  <si>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</si>
  <si>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</si>
  <si>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</si>
  <si>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</si>
  <si>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</si>
  <si>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</si>
  <si>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</si>
  <si>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</si>
  <si>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</si>
  <si>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</si>
  <si>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</si>
  <si>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</si>
  <si>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</si>
  <si>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</si>
  <si>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</si>
  <si>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</si>
  <si>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</si>
  <si>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</si>
  <si>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</si>
  <si>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</si>
  <si>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</si>
  <si>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</si>
  <si>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</si>
  <si>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</si>
  <si>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</si>
  <si>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</si>
  <si>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</si>
  <si>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</si>
  <si>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</si>
  <si>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</si>
  <si>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</si>
  <si>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</si>
  <si>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</si>
  <si>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</si>
  <si>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</si>
  <si>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</si>
  <si>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</si>
  <si>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</si>
  <si>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</si>
  <si>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</si>
  <si>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</si>
  <si>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</si>
  <si>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</si>
  <si>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</si>
  <si>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</si>
  <si>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</si>
  <si>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</si>
  <si>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</si>
  <si>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</si>
  <si>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</si>
  <si>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</si>
  <si>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</si>
  <si>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</si>
  <si>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</si>
  <si>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</si>
  <si>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</si>
  <si>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</si>
  <si>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</si>
  <si>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</si>
  <si>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</si>
  <si>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</si>
  <si>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</si>
  <si>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</si>
  <si>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</si>
  <si>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</si>
  <si>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</si>
  <si>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</si>
  <si>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</si>
  <si>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</si>
  <si>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</si>
  <si>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</si>
  <si>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</si>
  <si>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</si>
  <si>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</si>
  <si>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</si>
  <si>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</si>
  <si>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</si>
  <si>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</si>
  <si>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</si>
  <si>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</si>
  <si>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</si>
  <si>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</si>
  <si>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</si>
  <si>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</si>
  <si>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</si>
  <si>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</si>
  <si>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</si>
  <si>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</si>
  <si>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</si>
  <si>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</si>
  <si>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</si>
  <si>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</si>
  <si>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</si>
  <si>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</si>
  <si>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</si>
  <si>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</si>
  <si>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</si>
  <si>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</si>
  <si>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</si>
  <si>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</si>
  <si>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</si>
  <si>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</si>
  <si>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</si>
  <si>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</si>
  <si>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</si>
  <si>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</si>
  <si>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</si>
  <si>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</si>
  <si>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</si>
  <si>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</si>
  <si>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</si>
  <si>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</si>
  <si>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</si>
  <si>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</si>
  <si>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</si>
  <si>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</si>
  <si>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</si>
  <si>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</si>
  <si>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</si>
  <si>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</si>
  <si>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</si>
  <si>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</si>
  <si>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</si>
  <si>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</si>
  <si>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</si>
  <si>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</si>
  <si>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</si>
  <si>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</si>
  <si>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</si>
  <si>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</si>
  <si>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</si>
  <si>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</si>
  <si>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</si>
  <si>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</si>
  <si>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</si>
  <si>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</si>
  <si>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</si>
  <si>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</si>
  <si>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</si>
  <si>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</si>
  <si>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</si>
  <si>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</si>
  <si>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</si>
  <si>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</si>
  <si>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</si>
  <si>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</si>
  <si>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</si>
  <si>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</si>
  <si>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</si>
  <si>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</si>
  <si>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</si>
  <si>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</si>
  <si>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</si>
  <si>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</si>
  <si>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</si>
  <si>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</si>
  <si>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</si>
  <si>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</si>
  <si>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</si>
  <si>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</si>
  <si>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</si>
  <si>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</si>
  <si>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</si>
  <si>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</si>
  <si>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</si>
  <si>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</si>
  <si>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</si>
  <si>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</si>
  <si>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</si>
  <si>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</si>
  <si>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</si>
  <si>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</si>
  <si>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</si>
  <si>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</si>
  <si>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</si>
  <si>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</si>
  <si>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</si>
  <si>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</si>
  <si>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</si>
  <si>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</si>
  <si>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</si>
  <si>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</si>
  <si>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</si>
  <si>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</si>
  <si>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</si>
  <si>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</si>
  <si>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</si>
  <si>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</si>
  <si>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</si>
  <si>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</si>
  <si>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</si>
  <si>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</si>
  <si>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</si>
  <si>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</si>
  <si>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</si>
  <si>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</si>
  <si>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</si>
  <si>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</si>
  <si>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</si>
  <si>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</si>
  <si>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</si>
  <si>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</si>
  <si>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</si>
  <si>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</si>
  <si>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</si>
  <si>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</si>
  <si>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</si>
  <si>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</si>
  <si>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</si>
  <si>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</si>
  <si>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</si>
  <si>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</si>
  <si>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</si>
  <si>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</si>
  <si>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</si>
  <si>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</si>
  <si>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</si>
  <si>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</si>
  <si>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</si>
  <si>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</si>
  <si>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</si>
  <si>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</si>
  <si>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</si>
  <si>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</si>
  <si>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</si>
  <si>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</si>
  <si>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</si>
  <si>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</si>
  <si>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</si>
  <si>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</si>
  <si>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</si>
  <si>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</si>
  <si>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</si>
  <si>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</si>
  <si>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</si>
  <si>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</si>
  <si>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</si>
  <si>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</si>
  <si>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</si>
  <si>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</si>
  <si>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</si>
  <si>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</si>
  <si>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</si>
  <si>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</si>
  <si>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</si>
  <si>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</si>
  <si>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</si>
  <si>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</si>
  <si>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</si>
  <si>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</si>
  <si>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</si>
  <si>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</si>
  <si>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</si>
  <si>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</si>
  <si>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</si>
  <si>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</si>
  <si>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</si>
  <si>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</si>
  <si>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</si>
  <si>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</si>
  <si>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</si>
  <si>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</si>
  <si>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</si>
  <si>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</si>
  <si>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</si>
  <si>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</si>
  <si>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</si>
  <si>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</si>
  <si>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</si>
  <si>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</si>
  <si>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</si>
  <si>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</si>
  <si>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</si>
  <si>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</si>
  <si>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</si>
  <si>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</si>
  <si>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</si>
  <si>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</si>
  <si>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</si>
  <si>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</si>
  <si>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</si>
  <si>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</si>
  <si>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</si>
  <si>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</si>
  <si>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</si>
  <si>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</si>
  <si>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</si>
  <si>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</si>
  <si>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</si>
  <si>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</si>
  <si>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</si>
  <si>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</si>
  <si>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</si>
  <si>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</si>
  <si>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</si>
  <si>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</si>
  <si>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</si>
  <si>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</si>
  <si>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</si>
  <si>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</si>
  <si>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</si>
  <si>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</si>
  <si>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</si>
  <si>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</si>
  <si>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</si>
  <si>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</si>
  <si>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</si>
  <si>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</si>
  <si>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</si>
  <si>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</si>
  <si>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</si>
  <si>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</si>
  <si>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</si>
  <si>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</si>
  <si>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</si>
  <si>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</si>
  <si>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</si>
  <si>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</si>
  <si>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</si>
  <si>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</si>
  <si>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</si>
  <si>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</si>
  <si>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</si>
  <si>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</si>
  <si>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</si>
  <si>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</si>
  <si>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</si>
  <si>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</si>
  <si>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</si>
  <si>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</si>
  <si>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</si>
  <si>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</si>
  <si>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</si>
  <si>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</si>
  <si>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</si>
  <si>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</si>
  <si>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</si>
  <si>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</si>
  <si>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</si>
  <si>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</si>
  <si>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</si>
  <si>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</si>
  <si>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</si>
  <si>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</si>
  <si>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</si>
  <si>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</si>
  <si>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</si>
  <si>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</si>
  <si>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</si>
  <si>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</si>
  <si>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</si>
  <si>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</si>
  <si>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</si>
  <si>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</si>
  <si>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</si>
  <si>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</si>
  <si>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</si>
  <si>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</si>
  <si>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</si>
  <si>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</si>
  <si>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</si>
  <si>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</si>
  <si>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</si>
  <si>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</si>
  <si>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</si>
  <si>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</si>
  <si>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</si>
  <si>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</si>
  <si>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</si>
  <si>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</si>
  <si>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</si>
  <si>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</si>
  <si>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</si>
  <si>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</si>
  <si>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</si>
  <si>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</si>
  <si>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</si>
  <si>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</si>
  <si>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</si>
  <si>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</si>
  <si>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</si>
  <si>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</si>
  <si>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</si>
  <si>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</si>
  <si>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</si>
  <si>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</si>
  <si>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</si>
  <si>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</si>
  <si>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</si>
  <si>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</si>
  <si>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</si>
  <si>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</si>
  <si>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</si>
  <si>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</si>
  <si>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</si>
  <si>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</si>
  <si>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</si>
  <si>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</si>
  <si>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</si>
  <si>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</si>
  <si>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</si>
  <si>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</si>
  <si>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</si>
  <si>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</si>
  <si>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</si>
  <si>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</si>
  <si>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</si>
  <si>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</si>
  <si>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</si>
  <si>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</si>
  <si>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</si>
  <si>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</si>
  <si>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</si>
  <si>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</si>
  <si>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</si>
  <si>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</si>
  <si>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</si>
  <si>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</si>
  <si>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</si>
  <si>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</si>
  <si>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</si>
  <si>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</si>
  <si>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</si>
  <si>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</si>
  <si>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</si>
  <si>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</si>
  <si>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</si>
  <si>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</si>
  <si>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</si>
  <si>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</si>
  <si>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</si>
  <si>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</si>
  <si>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</si>
  <si>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</si>
  <si>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</si>
  <si>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</si>
  <si>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</si>
  <si>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</si>
  <si>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</si>
  <si>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</si>
  <si>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</si>
  <si>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</si>
  <si>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</si>
  <si>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</si>
  <si>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</si>
  <si>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</si>
  <si>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</si>
  <si>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</si>
  <si>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</si>
  <si>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</si>
  <si>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</si>
  <si>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</si>
  <si>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</si>
  <si>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</si>
  <si>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</si>
  <si>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</si>
  <si>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</si>
  <si>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</si>
  <si>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</si>
  <si>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</si>
  <si>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</si>
  <si>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</si>
  <si>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</si>
  <si>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</si>
  <si>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</si>
  <si>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</si>
  <si>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</si>
  <si>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</si>
  <si>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</si>
  <si>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</si>
  <si>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</si>
  <si>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</si>
  <si>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</si>
  <si>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</si>
  <si>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</si>
  <si>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</si>
  <si>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</si>
  <si>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</si>
  <si>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</si>
  <si>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</si>
  <si>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</si>
  <si>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</si>
  <si>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</si>
  <si>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</si>
  <si>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</si>
  <si>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</si>
  <si>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</si>
  <si>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</si>
  <si>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</si>
  <si>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</si>
  <si>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</si>
  <si>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</si>
  <si>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</si>
  <si>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</si>
  <si>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</si>
  <si>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</si>
  <si>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</si>
  <si>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</si>
  <si>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</si>
  <si>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</si>
  <si>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</si>
  <si>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</si>
  <si>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</si>
  <si>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</si>
  <si>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</si>
  <si>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</si>
  <si>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</si>
  <si>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</si>
  <si>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</si>
  <si>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</si>
  <si>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</si>
  <si>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</si>
  <si>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</si>
  <si>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</si>
  <si>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</si>
  <si>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</si>
  <si>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</si>
  <si>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</si>
  <si>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</si>
  <si>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</si>
  <si>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</si>
  <si>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</si>
  <si>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</si>
  <si>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</si>
  <si>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</si>
  <si>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</si>
  <si>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</si>
  <si>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</si>
  <si>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</si>
  <si>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</si>
  <si>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</si>
  <si>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</si>
  <si>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</si>
  <si>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</si>
  <si>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</si>
  <si>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</si>
  <si>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</si>
  <si>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</si>
  <si>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</si>
  <si>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</si>
  <si>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</si>
  <si>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</si>
  <si>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</si>
  <si>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</si>
  <si>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</si>
  <si>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</si>
  <si>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</si>
  <si>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</si>
  <si>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</si>
  <si>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</si>
  <si>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</si>
  <si>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</si>
  <si>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</si>
  <si>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</si>
  <si>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</si>
  <si>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</si>
  <si>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</si>
  <si>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</si>
  <si>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</si>
  <si>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</si>
  <si>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</si>
  <si>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</si>
  <si>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</si>
  <si>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</si>
  <si>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</si>
  <si>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</si>
  <si>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</si>
  <si>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</si>
  <si>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</si>
  <si>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</si>
  <si>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</si>
  <si>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</si>
  <si>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</si>
  <si>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</si>
  <si>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</si>
  <si>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</si>
  <si>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</si>
  <si>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</si>
  <si>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</si>
  <si>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</si>
  <si>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</si>
  <si>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</si>
  <si>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</si>
  <si>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</si>
  <si>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</si>
  <si>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</si>
  <si>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</si>
  <si>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</si>
  <si>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</si>
  <si>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</si>
  <si>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</si>
  <si>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</si>
  <si>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</si>
  <si>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</si>
  <si>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</si>
  <si>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</si>
  <si>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</si>
  <si>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</si>
  <si>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</si>
  <si>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</si>
  <si>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</si>
  <si>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</si>
  <si>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</si>
  <si>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</si>
  <si>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</si>
  <si>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</si>
  <si>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</si>
  <si>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</si>
  <si>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</si>
  <si>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</si>
  <si>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</si>
  <si>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</si>
  <si>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</si>
  <si>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</si>
  <si>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</si>
  <si>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</si>
  <si>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</si>
  <si>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</si>
  <si>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</si>
  <si>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</si>
  <si>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</si>
  <si>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</si>
  <si>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</si>
  <si>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</si>
  <si>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</si>
  <si>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</si>
  <si>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</si>
  <si>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</si>
  <si>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</si>
  <si>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</si>
  <si>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</si>
  <si>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</si>
  <si>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</si>
  <si>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</si>
  <si>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</si>
  <si>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</si>
  <si>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</si>
  <si>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</si>
  <si>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</si>
  <si>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</si>
  <si>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</si>
  <si>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</si>
  <si>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</si>
  <si>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</si>
  <si>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</si>
  <si>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</si>
  <si>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</si>
  <si>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</si>
  <si>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</si>
  <si>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</si>
  <si>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</si>
  <si>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</si>
  <si>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</si>
  <si>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</si>
  <si>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</si>
  <si>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</si>
  <si>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</si>
  <si>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</si>
  <si>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</si>
  <si>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</si>
  <si>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</si>
  <si>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</si>
  <si>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</si>
  <si>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</si>
  <si>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</si>
  <si>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</si>
  <si>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</si>
  <si>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</si>
  <si>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</si>
  <si>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</si>
  <si>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</si>
  <si>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</si>
  <si>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</si>
  <si>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</si>
  <si>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</si>
  <si>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</si>
  <si>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</si>
  <si>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</si>
  <si>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</si>
  <si>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</si>
  <si>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</si>
  <si>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</si>
  <si>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</si>
  <si>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</si>
  <si>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</si>
  <si>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</si>
  <si>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</si>
  <si>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</si>
  <si>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</si>
  <si>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</si>
  <si>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</si>
  <si>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</si>
  <si>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</si>
  <si>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</si>
  <si>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</si>
  <si>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</si>
  <si>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</si>
  <si>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</si>
  <si>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</si>
  <si>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</si>
  <si>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</si>
  <si>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</si>
  <si>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</si>
  <si>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</si>
  <si>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</si>
  <si>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</si>
  <si>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</si>
  <si>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</si>
  <si>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</si>
  <si>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</si>
  <si>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</si>
  <si>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</si>
  <si>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</si>
  <si>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</si>
  <si>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</si>
  <si>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</si>
  <si>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</si>
  <si>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</si>
  <si>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</si>
  <si>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</si>
  <si>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</si>
  <si>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</si>
  <si>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</si>
  <si>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</si>
  <si>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</si>
  <si>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</si>
  <si>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</si>
  <si>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</si>
  <si>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</si>
  <si>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</si>
  <si>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</si>
  <si>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</si>
  <si>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</si>
  <si>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</si>
  <si>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</si>
  <si>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</si>
  <si>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</si>
  <si>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</si>
  <si>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</si>
  <si>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</si>
  <si>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</si>
  <si>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</si>
  <si>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</si>
  <si>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</si>
  <si>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</si>
  <si>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</si>
  <si>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</si>
  <si>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</si>
  <si>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</si>
  <si>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</si>
  <si>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</si>
  <si>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</si>
  <si>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</si>
  <si>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</si>
  <si>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</si>
  <si>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</si>
  <si>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</si>
  <si>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</si>
  <si>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</si>
  <si>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</si>
  <si>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</si>
  <si>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</si>
  <si>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</si>
  <si>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</si>
  <si>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</si>
  <si>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</si>
  <si>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</si>
  <si>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</si>
  <si>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</si>
  <si>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</si>
  <si>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</si>
  <si>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</si>
  <si>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</si>
  <si>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</si>
  <si>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</si>
  <si>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</si>
  <si>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</si>
  <si>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</si>
  <si>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</si>
  <si>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</si>
  <si>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</si>
  <si>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</si>
  <si>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</si>
  <si>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</si>
  <si>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</si>
  <si>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</si>
  <si>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</si>
  <si>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</si>
  <si>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</si>
  <si>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</si>
  <si>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</si>
  <si>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</si>
  <si>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</si>
  <si>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</si>
  <si>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</si>
  <si>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</si>
  <si>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</si>
  <si>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</si>
  <si>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</si>
  <si>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</si>
  <si>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</si>
  <si>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</si>
  <si>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</si>
  <si>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</si>
  <si>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</si>
  <si>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</si>
  <si>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</si>
  <si>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</si>
  <si>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</si>
  <si>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</si>
  <si>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</si>
  <si>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</si>
  <si>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</si>
  <si>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</si>
  <si>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</si>
  <si>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</si>
  <si>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</si>
  <si>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</si>
  <si>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</si>
  <si>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</si>
  <si>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</si>
  <si>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</si>
  <si>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</si>
  <si>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</si>
  <si>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</si>
  <si>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</si>
  <si>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</si>
  <si>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</si>
  <si>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</si>
  <si>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</si>
  <si>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</si>
  <si>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</si>
  <si>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</si>
  <si>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</si>
  <si>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</si>
  <si>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</si>
  <si>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</si>
  <si>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</si>
  <si>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</si>
  <si>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</si>
  <si>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</si>
  <si>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</si>
  <si>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</si>
  <si>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</si>
  <si>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</si>
  <si>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</si>
  <si>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</si>
  <si>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</si>
  <si>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</si>
  <si>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</si>
  <si>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</si>
  <si>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</si>
  <si>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</si>
  <si>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</si>
  <si>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</si>
  <si>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</si>
  <si>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</si>
  <si>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</si>
  <si>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</si>
  <si>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</si>
  <si>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</si>
  <si>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</si>
  <si>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</si>
  <si>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</si>
  <si>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</si>
  <si>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</si>
  <si>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</si>
  <si>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</si>
  <si>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</si>
  <si>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</si>
  <si>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</si>
  <si>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</si>
  <si>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</si>
  <si>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</si>
  <si>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</si>
  <si>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</si>
  <si>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</si>
  <si>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</si>
  <si>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</si>
  <si>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</si>
  <si>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</si>
  <si>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</si>
  <si>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</si>
  <si>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</si>
  <si>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</si>
  <si>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</si>
  <si>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</si>
  <si>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</si>
  <si>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</si>
  <si>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</si>
  <si>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</si>
  <si>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</si>
  <si>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</si>
  <si>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</si>
  <si>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</si>
  <si>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</si>
  <si>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</si>
  <si>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</si>
  <si>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</si>
  <si>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</si>
  <si>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</si>
  <si>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</si>
  <si>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</si>
  <si>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</si>
  <si>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</si>
  <si>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</si>
  <si>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</si>
  <si>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</si>
  <si>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</si>
  <si>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</si>
  <si>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</si>
  <si>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</si>
  <si>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</si>
  <si>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</si>
  <si>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</si>
  <si>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</si>
  <si>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</si>
  <si>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</si>
  <si>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</si>
  <si>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</si>
  <si>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</si>
  <si>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</si>
  <si>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</si>
  <si>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</si>
  <si>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</si>
  <si>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</si>
  <si>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</si>
  <si>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</si>
  <si>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</si>
  <si>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</si>
  <si>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</si>
  <si>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</si>
  <si>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</si>
  <si>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</si>
  <si>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</si>
  <si>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</si>
  <si>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</si>
  <si>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</si>
  <si>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</si>
  <si>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</si>
  <si>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</si>
  <si>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</si>
  <si>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</si>
  <si>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</si>
  <si>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</si>
  <si>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</si>
  <si>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</si>
  <si>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</si>
  <si>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</si>
  <si>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</si>
  <si>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</si>
  <si>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</si>
  <si>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</si>
  <si>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</si>
  <si>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</si>
  <si>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</si>
  <si>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</si>
  <si>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</si>
  <si>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</si>
  <si>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</si>
  <si>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</si>
  <si>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</si>
  <si>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</si>
  <si>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</si>
  <si>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</si>
  <si>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</si>
  <si>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</si>
  <si>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</si>
  <si>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</si>
  <si>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</si>
  <si>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</si>
  <si>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</si>
  <si>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</si>
  <si>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</si>
  <si>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</si>
  <si>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</si>
  <si>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</si>
  <si>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</si>
  <si>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</si>
  <si>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</si>
  <si>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</si>
  <si>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</si>
  <si>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</si>
  <si>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</si>
  <si>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</si>
  <si>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</si>
  <si>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</si>
  <si>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</si>
  <si>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</si>
  <si>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</si>
  <si>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</si>
  <si>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</si>
  <si>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</si>
  <si>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</si>
  <si>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</si>
  <si>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</si>
  <si>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</si>
  <si>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</si>
  <si>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</si>
  <si>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</si>
  <si>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</si>
  <si>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</si>
  <si>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</si>
  <si>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</si>
  <si>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</si>
  <si>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</si>
  <si>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</si>
  <si>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</si>
  <si>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</si>
  <si>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</si>
  <si>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</si>
  <si>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</si>
  <si>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</si>
  <si>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</si>
  <si>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</si>
  <si>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</si>
  <si>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</si>
  <si>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</si>
  <si>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</si>
  <si>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</si>
  <si>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</si>
  <si>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</si>
  <si>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</si>
  <si>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</si>
  <si>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</si>
  <si>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</si>
  <si>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</si>
  <si>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</si>
  <si>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</si>
  <si>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</si>
  <si>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</si>
  <si>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</si>
  <si>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</si>
  <si>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</si>
  <si>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</si>
  <si>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</si>
  <si>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</si>
  <si>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</si>
  <si>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</si>
  <si>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</si>
  <si>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</si>
  <si>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</si>
  <si>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</si>
  <si>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</si>
  <si>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</si>
  <si>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</si>
  <si>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</si>
  <si>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</si>
  <si>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</si>
  <si>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</si>
  <si>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</si>
  <si>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</si>
  <si>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</si>
  <si>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</si>
  <si>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</si>
  <si>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</si>
  <si>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</si>
  <si>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</si>
  <si>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</si>
  <si>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</si>
  <si>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</si>
  <si>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</si>
  <si>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</si>
  <si>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</si>
  <si>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</si>
  <si>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</si>
  <si>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</si>
  <si>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</si>
  <si>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</si>
  <si>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</si>
  <si>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</si>
  <si>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</si>
  <si>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</si>
  <si>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</si>
  <si>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</si>
  <si>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</si>
  <si>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</si>
  <si>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</si>
  <si>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</si>
  <si>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</si>
  <si>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</si>
  <si>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</si>
  <si>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</si>
  <si>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</si>
  <si>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</si>
  <si>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</si>
  <si>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</si>
  <si>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</si>
  <si>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</si>
  <si>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</si>
  <si>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</si>
  <si>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</si>
  <si>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</si>
  <si>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</si>
  <si>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</si>
  <si>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</si>
  <si>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</si>
  <si>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</si>
  <si>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</si>
  <si>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</si>
  <si>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</si>
  <si>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</si>
  <si>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</si>
  <si>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</si>
  <si>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</si>
  <si>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</si>
  <si>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</si>
  <si>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</si>
  <si>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</si>
  <si>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</si>
  <si>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</si>
  <si>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</si>
  <si>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</si>
  <si>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</si>
  <si>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</si>
  <si>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</si>
  <si>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</si>
  <si>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</si>
  <si>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</si>
  <si>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</si>
  <si>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</si>
  <si>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</si>
  <si>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</si>
  <si>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</si>
  <si>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</si>
  <si>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</si>
  <si>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</si>
  <si>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</si>
  <si>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</si>
  <si>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</si>
  <si>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</si>
  <si>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</si>
  <si>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</si>
  <si>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</si>
  <si>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</si>
  <si>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</si>
  <si>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</si>
  <si>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</si>
  <si>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</si>
  <si>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</si>
  <si>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</si>
  <si>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</si>
  <si>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</si>
  <si>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</si>
  <si>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</si>
  <si>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</si>
  <si>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</si>
  <si>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</si>
  <si>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</si>
  <si>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</si>
  <si>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</si>
  <si>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</si>
  <si>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</si>
  <si>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</si>
  <si>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</si>
  <si>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</si>
  <si>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</si>
  <si>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</si>
  <si>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</si>
  <si>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</si>
  <si>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</si>
  <si>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</si>
  <si>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</si>
  <si>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</si>
  <si>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</si>
  <si>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</si>
  <si>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</si>
  <si>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</si>
  <si>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</si>
  <si>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</si>
  <si>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</si>
  <si>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</si>
  <si>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</si>
  <si>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</si>
  <si>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</si>
  <si>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</si>
  <si>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</si>
  <si>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</si>
  <si>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</si>
  <si>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</si>
  <si>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</si>
  <si>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</si>
  <si>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</si>
  <si>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</si>
  <si>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</si>
  <si>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</si>
  <si>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</si>
  <si>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</si>
  <si>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</si>
  <si>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</si>
  <si>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</si>
  <si>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</si>
  <si>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</si>
  <si>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</si>
  <si>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</si>
  <si>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</si>
  <si>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</si>
  <si>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</si>
  <si>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</si>
  <si>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</si>
  <si>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</si>
  <si>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</si>
  <si>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</si>
  <si>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</si>
  <si>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</si>
  <si>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</si>
  <si>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</si>
  <si>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</si>
  <si>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</si>
  <si>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</si>
  <si>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</si>
  <si>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</si>
  <si>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</si>
  <si>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</si>
  <si>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</si>
  <si>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</si>
  <si>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</si>
  <si>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</si>
  <si>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</si>
  <si>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</si>
  <si>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</si>
  <si>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</si>
  <si>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</si>
  <si>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</si>
  <si>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</si>
  <si>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</si>
  <si>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</si>
  <si>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</si>
  <si>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</si>
  <si>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</si>
  <si>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</si>
  <si>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</si>
  <si>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</si>
  <si>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</si>
  <si>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</si>
  <si>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</si>
  <si>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</si>
  <si>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</si>
  <si>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</si>
  <si>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</si>
  <si>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</si>
  <si>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</si>
  <si>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</si>
  <si>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</si>
  <si>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</si>
  <si>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</si>
  <si>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</si>
  <si>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</si>
  <si>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</si>
  <si>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</si>
  <si>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</si>
  <si>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</si>
  <si>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</si>
  <si>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</si>
  <si>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</si>
  <si>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</si>
  <si>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</si>
  <si>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</si>
  <si>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</si>
  <si>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</si>
  <si>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</si>
  <si>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</si>
  <si>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</si>
  <si>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</si>
  <si>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</si>
  <si>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</si>
  <si>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</si>
  <si>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</si>
  <si>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</si>
  <si>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</si>
  <si>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</si>
  <si>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</si>
  <si>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</si>
  <si>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</si>
  <si>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</si>
  <si>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</si>
  <si>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</si>
  <si>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</si>
  <si>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</si>
  <si>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</si>
  <si>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</si>
  <si>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</si>
  <si>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</si>
  <si>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</si>
  <si>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</si>
  <si>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</si>
  <si>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</si>
  <si>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</si>
  <si>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</si>
  <si>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</si>
  <si>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</si>
  <si>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</si>
  <si>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</si>
  <si>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</si>
  <si>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</si>
  <si>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</si>
  <si>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</si>
  <si>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</si>
  <si>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</si>
  <si>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</si>
  <si>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</si>
  <si>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</si>
  <si>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</si>
  <si>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</si>
  <si>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</si>
  <si>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</si>
  <si>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</si>
  <si>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</si>
  <si>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</si>
  <si>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</si>
  <si>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</si>
  <si>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</si>
  <si>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</si>
  <si>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</si>
  <si>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</si>
  <si>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</si>
  <si>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</si>
  <si>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</si>
  <si>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</si>
  <si>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</si>
  <si>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</si>
  <si>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</si>
  <si>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</si>
  <si>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</si>
  <si>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</si>
  <si>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</si>
  <si>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</si>
  <si>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</si>
  <si>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</si>
  <si>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</si>
  <si>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</si>
  <si>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</si>
  <si>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</si>
  <si>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</si>
  <si>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</si>
  <si>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</si>
  <si>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</si>
  <si>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</si>
  <si>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</si>
  <si>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</si>
  <si>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</si>
  <si>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</si>
  <si>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</si>
  <si>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</si>
  <si>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</si>
  <si>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</si>
  <si>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</si>
  <si>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</si>
  <si>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</si>
  <si>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</si>
  <si>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</si>
  <si>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</si>
  <si>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</si>
  <si>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</si>
  <si>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</si>
  <si>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</si>
  <si>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</si>
  <si>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</si>
  <si>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</si>
  <si>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</si>
  <si>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</si>
  <si>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</si>
  <si>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</si>
  <si>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</si>
  <si>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</si>
  <si>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</si>
  <si>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</si>
  <si>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</si>
  <si>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</si>
  <si>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</si>
  <si>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</si>
  <si>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</si>
  <si>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</si>
  <si>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</si>
  <si>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</si>
  <si>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</si>
  <si>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</si>
  <si>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</si>
  <si>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</si>
  <si>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</si>
  <si>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</si>
  <si>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</si>
  <si>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</si>
  <si>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</si>
  <si>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</si>
  <si>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</si>
  <si>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</si>
  <si>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</si>
  <si>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</si>
  <si>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</si>
  <si>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</si>
  <si>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</si>
  <si>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</si>
  <si>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</si>
  <si>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</si>
  <si>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</si>
  <si>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</si>
  <si>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</si>
  <si>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</si>
  <si>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</si>
  <si>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</si>
  <si>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</si>
  <si>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</si>
  <si>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</si>
  <si>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</si>
  <si>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</si>
  <si>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</si>
  <si>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</si>
  <si>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</si>
  <si>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</si>
  <si>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</si>
  <si>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</si>
  <si>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</si>
  <si>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</si>
  <si>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</si>
  <si>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</si>
  <si>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</si>
  <si>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</si>
  <si>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</si>
  <si>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</si>
  <si>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</si>
  <si>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</si>
  <si>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</si>
  <si>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</si>
  <si>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</si>
  <si>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</si>
  <si>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</si>
  <si>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</si>
  <si>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</si>
  <si>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</si>
  <si>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</si>
  <si>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</si>
  <si>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</si>
  <si>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</si>
  <si>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</si>
  <si>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</si>
  <si>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</si>
  <si>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</si>
  <si>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</si>
  <si>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</si>
  <si>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</si>
  <si>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</si>
  <si>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</si>
  <si>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</si>
  <si>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</si>
  <si>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</si>
  <si>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</si>
  <si>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</si>
  <si>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</si>
  <si>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</si>
  <si>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</si>
  <si>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</si>
  <si>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</si>
  <si>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</si>
  <si>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</si>
  <si>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</si>
  <si>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</si>
  <si>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</si>
  <si>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</si>
  <si>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</si>
  <si>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</si>
  <si>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</si>
  <si>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</si>
  <si>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</si>
  <si>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</si>
  <si>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</si>
  <si>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</si>
  <si>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</si>
  <si>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</si>
  <si>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</si>
  <si>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</si>
  <si>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</si>
  <si>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</si>
  <si>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</si>
  <si>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</si>
  <si>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</si>
  <si>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</si>
  <si>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</si>
  <si>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</si>
  <si>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</si>
  <si>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</si>
  <si>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</si>
  <si>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</si>
  <si>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</si>
  <si>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</si>
  <si>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</si>
  <si>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</si>
  <si>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</si>
  <si>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</si>
  <si>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</si>
  <si>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</si>
  <si>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</si>
  <si>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</si>
  <si>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</si>
  <si>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</si>
  <si>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</si>
  <si>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</si>
  <si>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</si>
  <si>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</si>
  <si>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</si>
  <si>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</si>
  <si>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</si>
  <si>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</si>
  <si>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</si>
  <si>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</si>
  <si>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</si>
  <si>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</si>
  <si>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</si>
  <si>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</si>
  <si>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</si>
  <si>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</si>
  <si>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</si>
  <si>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</si>
  <si>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</si>
  <si>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</si>
  <si>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</si>
  <si>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</si>
  <si>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</si>
  <si>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</si>
  <si>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</si>
  <si>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</si>
  <si>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</si>
  <si>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</si>
  <si>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</si>
  <si>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</si>
  <si>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</si>
  <si>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</si>
  <si>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</si>
  <si>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</si>
  <si>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</si>
  <si>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</si>
  <si>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</si>
  <si>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</si>
  <si>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</si>
  <si>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</si>
  <si>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</si>
  <si>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</si>
  <si>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</si>
  <si>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</si>
  <si>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</si>
  <si>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</si>
  <si>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</si>
  <si>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</si>
  <si>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</si>
  <si>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</si>
  <si>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</si>
  <si>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</si>
  <si>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</si>
  <si>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</si>
  <si>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</si>
  <si>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</si>
  <si>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</si>
  <si>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</si>
  <si>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</si>
  <si>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</si>
  <si>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</si>
  <si>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</si>
  <si>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</si>
  <si>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</si>
  <si>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</si>
  <si>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</si>
  <si>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</si>
  <si>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</si>
  <si>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</si>
  <si>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</si>
  <si>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</si>
  <si>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</si>
  <si>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</si>
  <si>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</si>
  <si>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</si>
  <si>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</si>
  <si>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</si>
  <si>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</si>
  <si>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</si>
  <si>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</si>
  <si>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</si>
  <si>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</si>
  <si>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</si>
  <si>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</si>
  <si>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</si>
  <si>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</si>
  <si>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</si>
  <si>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</si>
  <si>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</si>
  <si>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</si>
  <si>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</si>
  <si>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</si>
  <si>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</si>
  <si>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</si>
  <si>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</si>
  <si>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</si>
  <si>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</si>
  <si>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</si>
  <si>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</si>
  <si>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</si>
  <si>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</si>
  <si>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</si>
  <si>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</si>
  <si>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</si>
  <si>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</si>
  <si>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</si>
  <si>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</si>
  <si>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</si>
  <si>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</si>
  <si>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</si>
  <si>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</si>
  <si>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</si>
  <si>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</si>
  <si>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</si>
  <si>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</si>
  <si>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</si>
  <si>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</si>
  <si>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</si>
  <si>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</si>
  <si>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</si>
  <si>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</si>
  <si>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</si>
  <si>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</si>
  <si>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</si>
  <si>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</si>
  <si>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</si>
  <si>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</si>
  <si>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</si>
  <si>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</si>
  <si>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</si>
  <si>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</si>
  <si>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</si>
  <si>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</si>
  <si>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</si>
  <si>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</si>
  <si>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</si>
  <si>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</si>
  <si>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</si>
  <si>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</si>
  <si>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</si>
  <si>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</si>
  <si>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</si>
  <si>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</si>
  <si>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</si>
  <si>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</si>
  <si>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</si>
  <si>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</si>
  <si>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</si>
  <si>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</si>
  <si>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</si>
  <si>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</si>
  <si>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</si>
  <si>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</si>
  <si>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</si>
  <si>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</si>
  <si>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</si>
  <si>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</si>
  <si>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</si>
  <si>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</si>
  <si>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</si>
  <si>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</si>
  <si>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</si>
  <si>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</si>
  <si>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</si>
  <si>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</si>
  <si>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</si>
  <si>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</si>
  <si>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</si>
  <si>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</si>
  <si>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</si>
  <si>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</si>
  <si>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</si>
  <si>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</si>
  <si>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</si>
  <si>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</si>
  <si>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</si>
  <si>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</si>
  <si>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</si>
  <si>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</si>
  <si>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</si>
  <si>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</si>
  <si>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</si>
  <si>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</si>
  <si>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</si>
  <si>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</si>
  <si>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</si>
  <si>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</si>
  <si>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</si>
  <si>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</si>
  <si>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</si>
  <si>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</si>
  <si>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</si>
  <si>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</si>
  <si>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</si>
  <si>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</si>
  <si>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</si>
  <si>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</si>
  <si>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</si>
  <si>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</si>
  <si>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</si>
  <si>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</si>
  <si>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</si>
  <si>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</si>
  <si>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</si>
  <si>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</si>
  <si>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</si>
  <si>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</si>
  <si>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</si>
  <si>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</si>
  <si>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</si>
  <si>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</si>
  <si>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</si>
  <si>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</si>
  <si>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</si>
  <si>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</si>
  <si>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</si>
  <si>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</si>
  <si>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</si>
  <si>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</si>
  <si>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</si>
  <si>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</si>
  <si>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</si>
  <si>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</si>
  <si>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</si>
  <si>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</si>
  <si>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</si>
  <si>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</si>
  <si>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</si>
  <si>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</si>
  <si>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</si>
  <si>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</si>
  <si>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</si>
  <si>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</si>
  <si>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</si>
  <si>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</si>
  <si>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</si>
  <si>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</si>
  <si>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</si>
  <si>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</si>
  <si>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</si>
  <si>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</si>
  <si>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</si>
  <si>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</si>
  <si>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</si>
  <si>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</si>
  <si>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</si>
  <si>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</si>
  <si>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</si>
  <si>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</si>
  <si>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</si>
  <si>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</si>
  <si>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</si>
  <si>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</si>
  <si>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</si>
  <si>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</si>
  <si>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</si>
  <si>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</si>
  <si>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</si>
  <si>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</si>
  <si>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</si>
  <si>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</si>
  <si>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</si>
  <si>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</si>
  <si>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</si>
  <si>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</si>
  <si>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</si>
  <si>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</si>
  <si>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</si>
  <si>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</si>
  <si>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</si>
  <si>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</si>
  <si>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</si>
  <si>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</si>
  <si>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</si>
  <si>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</si>
  <si>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</si>
  <si>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</si>
  <si>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</si>
  <si>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</si>
  <si>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</si>
  <si>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</si>
  <si>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</si>
  <si>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</si>
  <si>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</si>
  <si>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</si>
  <si>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</si>
  <si>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</si>
  <si>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</si>
  <si>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</si>
  <si>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</si>
  <si>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</si>
  <si>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</si>
  <si>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</si>
  <si>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</si>
  <si>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</si>
  <si>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</si>
  <si>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</si>
  <si>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</si>
  <si>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</si>
  <si>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</si>
  <si>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</si>
  <si>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</si>
  <si>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</si>
  <si>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</si>
  <si>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</si>
  <si>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</si>
  <si>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</si>
  <si>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</si>
  <si>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</si>
  <si>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</si>
  <si>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</si>
  <si>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</si>
  <si>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</si>
  <si>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</si>
  <si>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</si>
  <si>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</si>
  <si>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</si>
  <si>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</si>
  <si>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</si>
  <si>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</si>
  <si>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</si>
  <si>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</si>
  <si>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</si>
  <si>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</si>
  <si>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</si>
  <si>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</si>
  <si>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</si>
  <si>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</si>
  <si>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</si>
  <si>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</si>
  <si>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</si>
  <si>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</si>
  <si>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</si>
  <si>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</si>
  <si>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</si>
  <si>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</si>
  <si>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</si>
  <si>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</si>
  <si>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</si>
  <si>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</si>
  <si>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</si>
  <si>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</si>
  <si>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</si>
  <si>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</si>
  <si>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</si>
  <si>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</si>
  <si>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</si>
  <si>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</si>
  <si>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</si>
  <si>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</si>
  <si>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</si>
  <si>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</si>
  <si>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</si>
  <si>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</si>
  <si>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</si>
  <si>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</si>
  <si>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</si>
  <si>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</si>
  <si>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</si>
  <si>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</si>
  <si>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</si>
  <si>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</si>
  <si>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</si>
  <si>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</si>
  <si>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</si>
  <si>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</si>
  <si>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</si>
  <si>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</si>
  <si>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</si>
  <si>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</si>
  <si>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</si>
  <si>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</si>
  <si>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</si>
  <si>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</si>
  <si>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</si>
  <si>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</si>
  <si>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</si>
  <si>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</si>
  <si>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</si>
  <si>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</si>
  <si>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</si>
  <si>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</si>
  <si>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</si>
  <si>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</si>
  <si>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</si>
  <si>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</si>
  <si>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</si>
  <si>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</si>
  <si>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</si>
  <si>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</si>
  <si>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</si>
  <si>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</si>
  <si>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</si>
  <si>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</si>
  <si>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</si>
  <si>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</si>
  <si>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</si>
  <si>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</si>
  <si>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</si>
  <si>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</si>
  <si>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</si>
  <si>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</si>
  <si>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</si>
  <si>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</si>
  <si>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</si>
  <si>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</si>
  <si>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</si>
  <si>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</si>
  <si>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</si>
  <si>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</si>
  <si>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</si>
  <si>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</si>
  <si>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</si>
  <si>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</si>
  <si>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</si>
  <si>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</si>
  <si>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</si>
  <si>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</si>
  <si>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</si>
  <si>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</si>
  <si>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</si>
  <si>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</si>
  <si>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</si>
  <si>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</si>
  <si>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</si>
  <si>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</si>
  <si>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</si>
  <si>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</si>
  <si>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</si>
  <si>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</si>
  <si>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</si>
  <si>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</si>
  <si>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</si>
  <si>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</si>
  <si>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</si>
  <si>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</si>
  <si>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</si>
  <si>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</si>
  <si>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</si>
  <si>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</si>
  <si>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</si>
  <si>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</si>
  <si>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</si>
  <si>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</si>
  <si>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</si>
  <si>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</si>
  <si>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</si>
  <si>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</si>
  <si>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</si>
  <si>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</si>
  <si>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</si>
  <si>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</si>
  <si>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</si>
  <si>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</si>
  <si>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</si>
  <si>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</si>
  <si>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</si>
  <si>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</si>
  <si>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</si>
  <si>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</si>
  <si>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</si>
  <si>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</si>
  <si>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</si>
  <si>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</si>
  <si>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</si>
  <si>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</si>
  <si>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</si>
  <si>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</si>
  <si>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</si>
  <si>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</si>
  <si>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</si>
  <si>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</si>
  <si>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</si>
  <si>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</si>
  <si>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</si>
  <si>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</si>
  <si>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</si>
  <si>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</si>
  <si>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</si>
  <si>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</si>
  <si>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</si>
  <si>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</si>
  <si>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</si>
  <si>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</si>
  <si>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</si>
  <si>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</si>
  <si>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</si>
  <si>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</si>
  <si>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</si>
  <si>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</si>
  <si>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</si>
  <si>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</si>
  <si>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</si>
  <si>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</si>
  <si>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</si>
  <si>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</si>
  <si>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</si>
  <si>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</si>
  <si>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</si>
  <si>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</si>
  <si>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</si>
  <si>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</si>
  <si>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</si>
  <si>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</si>
  <si>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</si>
  <si>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</si>
  <si>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</si>
  <si>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</si>
  <si>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</si>
  <si>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</si>
  <si>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</si>
  <si>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</si>
  <si>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</si>
  <si>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</si>
  <si>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</si>
  <si>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</si>
  <si>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</si>
  <si>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</si>
  <si>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</si>
  <si>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</si>
  <si>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</si>
  <si>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</si>
  <si>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</si>
  <si>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</si>
  <si>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</si>
  <si>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</si>
  <si>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</si>
  <si>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</si>
  <si>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</si>
  <si>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</si>
  <si>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</si>
  <si>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</si>
  <si>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</si>
  <si>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</si>
  <si>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</si>
  <si>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</si>
  <si>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</si>
  <si>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</si>
  <si>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</si>
  <si>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</si>
  <si>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</si>
  <si>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</si>
  <si>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</si>
  <si>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</si>
  <si>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</si>
  <si>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</si>
  <si>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</si>
  <si>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</si>
  <si>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</si>
  <si>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</si>
  <si>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</si>
  <si>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</si>
  <si>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</si>
  <si>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</si>
  <si>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</si>
  <si>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</si>
  <si>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</si>
  <si>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</si>
  <si>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</si>
  <si>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</si>
  <si>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</si>
  <si>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</si>
  <si>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</si>
  <si>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</si>
  <si>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</si>
  <si>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</si>
  <si>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</si>
  <si>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</si>
  <si>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</si>
  <si>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</si>
  <si>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</si>
  <si>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</si>
  <si>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</si>
  <si>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</si>
  <si>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</si>
  <si>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</si>
  <si>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</si>
  <si>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</si>
  <si>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</si>
  <si>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</si>
  <si>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</si>
  <si>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</si>
  <si>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</si>
  <si>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</si>
  <si>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</si>
  <si>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</si>
  <si>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</si>
  <si>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</si>
  <si>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</si>
  <si>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</si>
  <si>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</si>
  <si>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</si>
  <si>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</si>
  <si>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</si>
  <si>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</si>
  <si>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</si>
  <si>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</si>
  <si>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</si>
  <si>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</si>
  <si>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</si>
  <si>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</si>
  <si>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</si>
  <si>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</si>
  <si>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</si>
  <si>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</si>
  <si>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</si>
  <si>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</si>
  <si>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</si>
  <si>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</si>
  <si>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</si>
  <si>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</si>
  <si>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</si>
  <si>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</si>
  <si>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</si>
  <si>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</si>
  <si>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</si>
  <si>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</si>
  <si>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</si>
  <si>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</si>
  <si>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</si>
  <si>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</si>
  <si>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</si>
  <si>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</si>
  <si>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</si>
  <si>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</si>
  <si>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</si>
  <si>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</si>
  <si>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</si>
  <si>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</si>
  <si>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</si>
  <si>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</si>
  <si>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</si>
  <si>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</si>
  <si>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</si>
  <si>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</si>
  <si>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</si>
  <si>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</si>
  <si>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</si>
  <si>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</si>
  <si>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</si>
  <si>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</si>
  <si>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</si>
  <si>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</si>
  <si>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</si>
  <si>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</si>
  <si>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</si>
  <si>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</si>
  <si>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</si>
  <si>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</si>
  <si>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</si>
  <si>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</si>
  <si>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</si>
  <si>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</si>
  <si>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</si>
  <si>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</si>
  <si>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</si>
  <si>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</si>
  <si>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</si>
  <si>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</si>
  <si>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</si>
  <si>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</si>
  <si>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</si>
  <si>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</si>
  <si>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</si>
  <si>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</si>
  <si>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</si>
  <si>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</si>
  <si>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</si>
  <si>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</si>
  <si>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</si>
  <si>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</si>
  <si>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</si>
  <si>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</si>
  <si>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</si>
  <si>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</si>
  <si>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</si>
  <si>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</si>
  <si>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</si>
  <si>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</si>
  <si>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</si>
  <si>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</si>
  <si>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</si>
  <si>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</si>
  <si>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</si>
  <si>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</si>
  <si>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</si>
  <si>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</si>
  <si>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</si>
  <si>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</si>
  <si>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</si>
  <si>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</si>
  <si>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</si>
  <si>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</si>
  <si>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</si>
  <si>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</si>
  <si>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</si>
  <si>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</si>
  <si>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</si>
  <si>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</si>
  <si>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</si>
  <si>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</si>
  <si>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</si>
  <si>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</si>
  <si>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</si>
  <si>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</si>
  <si>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</si>
  <si>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</si>
  <si>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</si>
  <si>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</si>
  <si>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</si>
  <si>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</si>
  <si>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</si>
  <si>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</si>
  <si>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</si>
  <si>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</si>
  <si>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</si>
  <si>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</si>
  <si>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</si>
  <si>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</si>
  <si>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</si>
  <si>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</si>
  <si>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</si>
  <si>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</si>
  <si>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</si>
  <si>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</si>
  <si>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</si>
  <si>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</si>
  <si>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</si>
  <si>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</si>
  <si>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</si>
  <si>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</si>
  <si>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</si>
  <si>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</si>
  <si>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</si>
  <si>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</si>
  <si>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</si>
  <si>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</si>
  <si>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</si>
  <si>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</si>
  <si>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</si>
  <si>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</si>
  <si>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</si>
  <si>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</si>
  <si>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</si>
  <si>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</si>
  <si>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</si>
  <si>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</si>
  <si>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</si>
  <si>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</si>
  <si>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</si>
  <si>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</si>
  <si>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</si>
  <si>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</si>
  <si>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</si>
  <si>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</si>
  <si>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</si>
  <si>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</si>
  <si>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</si>
  <si>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</si>
  <si>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</si>
  <si>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</si>
  <si>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</si>
  <si>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</si>
  <si>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</si>
  <si>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</si>
  <si>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</si>
  <si>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</si>
  <si>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</si>
  <si>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</si>
  <si>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</si>
  <si>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</si>
  <si>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</si>
  <si>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</si>
  <si>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</si>
  <si>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</si>
  <si>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</si>
  <si>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</si>
  <si>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</si>
  <si>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</si>
  <si>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</si>
  <si>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</si>
  <si>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</si>
  <si>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</si>
  <si>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</si>
  <si>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</si>
  <si>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</si>
  <si>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</si>
  <si>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</si>
  <si>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</si>
  <si>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</si>
  <si>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</si>
  <si>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</si>
  <si>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</si>
  <si>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</si>
  <si>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</si>
  <si>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</si>
  <si>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</si>
  <si>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</si>
  <si>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</si>
  <si>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</si>
  <si>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</si>
  <si>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</si>
  <si>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</si>
  <si>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</si>
  <si>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</si>
  <si>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</si>
  <si>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</si>
  <si>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</si>
  <si>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</si>
  <si>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</si>
  <si>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</si>
  <si>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</si>
  <si>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</si>
  <si>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</si>
  <si>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</si>
  <si>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</si>
  <si>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</si>
  <si>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</si>
  <si>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</si>
  <si>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</si>
  <si>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</si>
  <si>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</si>
  <si>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</si>
  <si>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</si>
  <si>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</si>
  <si>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</si>
  <si>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</si>
  <si>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</si>
  <si>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</si>
  <si>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</si>
  <si>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</si>
  <si>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</si>
  <si>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</si>
  <si>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</si>
  <si>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</si>
  <si>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</si>
  <si>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</si>
  <si>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</si>
  <si>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</si>
  <si>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</si>
  <si>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</si>
  <si>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</si>
  <si>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</si>
  <si>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</si>
  <si>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</si>
  <si>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</si>
  <si>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</si>
  <si>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</si>
  <si>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</si>
  <si>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</si>
  <si>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</si>
  <si>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</si>
  <si>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</si>
  <si>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</si>
  <si>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</si>
  <si>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</si>
  <si>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</si>
  <si>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</si>
  <si>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</si>
  <si>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</si>
  <si>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</si>
  <si>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</si>
  <si>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</si>
  <si>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</si>
  <si>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</si>
  <si>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</si>
  <si>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</si>
  <si>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</si>
  <si>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</si>
  <si>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</si>
  <si>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</si>
  <si>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</si>
  <si>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</si>
  <si>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</si>
  <si>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</si>
  <si>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</si>
  <si>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</si>
  <si>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</si>
  <si>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</si>
  <si>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</si>
  <si>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</si>
  <si>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</si>
  <si>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</si>
  <si>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</si>
  <si>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</si>
  <si>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</si>
  <si>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</si>
  <si>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</si>
  <si>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</si>
  <si>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</si>
  <si>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</si>
  <si>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</si>
  <si>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</si>
  <si>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</si>
  <si>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</si>
  <si>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</si>
  <si>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</si>
  <si>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</si>
  <si>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</si>
  <si>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</si>
  <si>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</si>
  <si>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</si>
  <si>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</si>
  <si>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</si>
  <si>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</si>
  <si>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</si>
  <si>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</si>
  <si>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</si>
  <si>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</si>
  <si>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</si>
  <si>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</si>
  <si>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</si>
  <si>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</si>
  <si>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</si>
  <si>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</si>
  <si>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</si>
  <si>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</si>
  <si>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</si>
  <si>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</si>
  <si>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</si>
  <si>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</si>
  <si>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</si>
  <si>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</si>
  <si>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</si>
  <si>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</si>
  <si>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</si>
  <si>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</si>
  <si>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</si>
  <si>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</si>
  <si>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</si>
  <si>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</si>
  <si>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</si>
  <si>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</si>
  <si>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</si>
  <si>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</si>
  <si>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</si>
  <si>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</si>
  <si>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</si>
  <si>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</si>
  <si>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</si>
  <si>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</si>
  <si>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</si>
  <si>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</si>
  <si>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</si>
  <si>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</si>
  <si>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</si>
  <si>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</si>
  <si>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</si>
  <si>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</si>
  <si>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</si>
  <si>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</si>
  <si>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</si>
  <si>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</si>
  <si>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</si>
  <si>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</si>
  <si>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</si>
  <si>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</si>
  <si>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</si>
  <si>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</si>
  <si>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</si>
  <si>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</si>
  <si>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</si>
  <si>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</si>
  <si>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</si>
  <si>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</si>
  <si>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</si>
  <si>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</si>
  <si>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</si>
  <si>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</si>
  <si>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</si>
  <si>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</si>
  <si>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</si>
  <si>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</si>
  <si>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</si>
  <si>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</si>
  <si>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</si>
  <si>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</si>
  <si>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</si>
  <si>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</si>
  <si>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</si>
  <si>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</si>
  <si>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</si>
  <si>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</si>
  <si>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</si>
  <si>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</si>
  <si>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</si>
  <si>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</si>
  <si>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</si>
  <si>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</si>
  <si>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</si>
  <si>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</si>
  <si>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</si>
  <si>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</si>
  <si>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</si>
  <si>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</si>
  <si>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</si>
  <si>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</si>
  <si>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</si>
  <si>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</si>
  <si>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</si>
  <si>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</si>
  <si>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</si>
  <si>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</si>
  <si>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</si>
  <si>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</si>
  <si>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</si>
  <si>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</si>
  <si>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</si>
  <si>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</si>
  <si>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</si>
  <si>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</si>
  <si>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</si>
  <si>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</si>
  <si>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</si>
  <si>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</si>
  <si>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</si>
  <si>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</si>
  <si>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</si>
  <si>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</si>
  <si>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</si>
  <si>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</si>
  <si>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</si>
  <si>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</si>
  <si>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</si>
  <si>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</si>
  <si>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</si>
  <si>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</si>
  <si>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</si>
  <si>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</si>
  <si>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</si>
  <si>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</si>
  <si>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</si>
  <si>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</si>
  <si>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</si>
  <si>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</si>
  <si>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</si>
  <si>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</si>
  <si>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</si>
  <si>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</si>
  <si>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</si>
  <si>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</si>
  <si>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</si>
  <si>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</si>
  <si>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</si>
  <si>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</si>
  <si>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</si>
  <si>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</si>
  <si>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</si>
  <si>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</si>
  <si>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</si>
  <si>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</si>
  <si>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</si>
  <si>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</si>
  <si>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</si>
  <si>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</si>
  <si>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</si>
  <si>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</si>
  <si>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</si>
  <si>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</si>
  <si>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</si>
  <si>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</si>
  <si>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</si>
  <si>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</si>
  <si>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</si>
  <si>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</si>
  <si>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</si>
  <si>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</si>
  <si>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</si>
  <si>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</si>
  <si>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</si>
  <si>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</si>
  <si>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</si>
  <si>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</si>
  <si>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</si>
  <si>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</si>
  <si>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</si>
  <si>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</si>
  <si>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</si>
  <si>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</si>
  <si>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</si>
  <si>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</si>
  <si>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</si>
  <si>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</si>
  <si>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</si>
  <si>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</si>
  <si>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</si>
  <si>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</si>
  <si>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</si>
  <si>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</si>
  <si>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</si>
  <si>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</si>
  <si>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</si>
  <si>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</si>
  <si>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</si>
  <si>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</si>
  <si>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</si>
  <si>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</si>
  <si>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</si>
  <si>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</si>
  <si>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</si>
  <si>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</si>
  <si>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</si>
  <si>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</si>
  <si>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</si>
  <si>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</si>
  <si>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</si>
  <si>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</si>
  <si>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</si>
  <si>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</si>
  <si>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</si>
  <si>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</si>
  <si>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</si>
  <si>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</si>
  <si>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</si>
  <si>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</si>
  <si>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</si>
  <si>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</si>
  <si>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</si>
  <si>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</si>
  <si>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</si>
  <si>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</si>
  <si>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</si>
  <si>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</si>
  <si>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</si>
  <si>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</si>
  <si>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</si>
  <si>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</si>
  <si>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</si>
  <si>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</si>
  <si>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</si>
  <si>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</si>
  <si>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</si>
  <si>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</si>
  <si>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</si>
  <si>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</si>
  <si>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</si>
  <si>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</si>
  <si>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</si>
  <si>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</si>
  <si>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</si>
  <si>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</si>
  <si>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</si>
  <si>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</si>
  <si>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</si>
  <si>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</si>
  <si>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</si>
  <si>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</si>
  <si>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</si>
  <si>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</si>
  <si>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</si>
  <si>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</si>
  <si>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</si>
  <si>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</si>
  <si>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</si>
  <si>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</si>
  <si>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</si>
  <si>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</si>
  <si>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</si>
  <si>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</si>
  <si>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</si>
  <si>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</si>
  <si>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</si>
  <si>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</si>
  <si>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</si>
  <si>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</si>
  <si>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</si>
  <si>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</si>
  <si>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</si>
  <si>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</si>
  <si>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</si>
  <si>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</si>
  <si>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</si>
  <si>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</si>
  <si>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</si>
  <si>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</si>
  <si>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</si>
  <si>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</si>
  <si>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</si>
  <si>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</si>
  <si>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</si>
  <si>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</si>
  <si>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</si>
  <si>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</si>
  <si>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</si>
  <si>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</si>
  <si>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</si>
  <si>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</si>
  <si>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</si>
  <si>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</si>
  <si>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</si>
  <si>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</si>
  <si>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</si>
  <si>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</si>
  <si>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</si>
  <si>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</si>
  <si>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</si>
  <si>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</si>
  <si>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</si>
  <si>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</si>
  <si>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</si>
  <si>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</si>
  <si>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</si>
  <si>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</si>
  <si>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</si>
  <si>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</si>
  <si>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</si>
  <si>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</si>
  <si>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</si>
  <si>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</si>
  <si>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</si>
  <si>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</si>
  <si>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</si>
  <si>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</si>
  <si>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</si>
  <si>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</si>
  <si>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</si>
  <si>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</si>
  <si>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</si>
  <si>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</si>
  <si>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</si>
  <si>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</si>
  <si>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</si>
  <si>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</si>
  <si>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</si>
  <si>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</si>
  <si>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</si>
  <si>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</si>
  <si>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</si>
  <si>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</si>
  <si>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</si>
  <si>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</si>
  <si>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</si>
  <si>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</si>
  <si>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</si>
  <si>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</si>
  <si>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</si>
  <si>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</si>
  <si>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</si>
  <si>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</si>
  <si>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</si>
  <si>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</si>
  <si>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</si>
  <si>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</si>
  <si>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</si>
  <si>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</si>
  <si>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</si>
  <si>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</si>
  <si>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</si>
  <si>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</si>
  <si>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</si>
  <si>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</si>
  <si>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</si>
  <si>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</si>
  <si>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</si>
  <si>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</si>
  <si>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</si>
  <si>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</si>
  <si>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</si>
  <si>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</si>
  <si>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</si>
  <si>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</si>
  <si>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</si>
  <si>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</si>
  <si>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</si>
  <si>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</si>
  <si>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</si>
  <si>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</si>
  <si>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</si>
  <si>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</si>
  <si>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</si>
  <si>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</si>
  <si>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</si>
  <si>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</si>
  <si>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</si>
  <si>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</si>
  <si>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</si>
  <si>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</si>
  <si>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</si>
  <si>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</si>
  <si>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</si>
  <si>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</si>
  <si>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</si>
  <si>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</si>
  <si>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</si>
  <si>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</si>
  <si>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</si>
  <si>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</si>
  <si>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</si>
  <si>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</si>
  <si>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</si>
  <si>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</si>
  <si>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</si>
  <si>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</si>
  <si>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</si>
  <si>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</si>
  <si>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</si>
  <si>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</si>
  <si>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</si>
  <si>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</si>
  <si>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</si>
  <si>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</si>
  <si>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</si>
  <si>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</si>
  <si>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</si>
  <si>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</si>
  <si>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</si>
  <si>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</si>
  <si>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</si>
  <si>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</si>
  <si>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</si>
  <si>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</si>
  <si>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</si>
  <si>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</si>
  <si>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</si>
  <si>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</si>
  <si>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</si>
  <si>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</si>
  <si>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</si>
  <si>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</si>
  <si>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</si>
  <si>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</si>
  <si>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</si>
  <si>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</si>
  <si>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</si>
  <si>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</si>
  <si>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</si>
  <si>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</si>
  <si>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</si>
  <si>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</si>
  <si>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</si>
  <si>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</si>
  <si>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</si>
  <si>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</si>
  <si>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</si>
  <si>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</si>
  <si>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</si>
  <si>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</si>
  <si>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</si>
  <si>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</si>
  <si>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</si>
  <si>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</si>
  <si>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</si>
  <si>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</si>
  <si>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</si>
  <si>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</si>
  <si>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</si>
  <si>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</si>
  <si>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</si>
  <si>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</si>
  <si>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</si>
  <si>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</si>
  <si>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</si>
  <si>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</si>
  <si>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</si>
  <si>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</si>
  <si>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</si>
  <si>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</si>
  <si>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</si>
  <si>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</si>
  <si>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</si>
  <si>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</si>
  <si>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</si>
  <si>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</si>
  <si>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</si>
  <si>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</si>
  <si>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</si>
  <si>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</si>
  <si>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</si>
  <si>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</si>
  <si>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</si>
  <si>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</si>
  <si>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</si>
  <si>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</si>
  <si>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</si>
  <si>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</si>
  <si>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</si>
  <si>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</si>
  <si>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</si>
  <si>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</si>
  <si>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</si>
  <si>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</si>
  <si>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</si>
  <si>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</si>
  <si>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</si>
  <si>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</si>
  <si>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</si>
  <si>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</si>
  <si>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</si>
  <si>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</si>
  <si>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</si>
  <si>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</si>
  <si>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</si>
  <si>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</si>
  <si>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</si>
  <si>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</si>
  <si>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</si>
  <si>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</si>
  <si>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</si>
  <si>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</si>
  <si>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</si>
  <si>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</si>
  <si>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</si>
  <si>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</si>
  <si>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</si>
  <si>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</si>
  <si>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</si>
  <si>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</si>
  <si>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</si>
  <si>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</si>
  <si>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</si>
  <si>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</si>
  <si>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</si>
  <si>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</si>
  <si>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</si>
  <si>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</si>
  <si>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</si>
  <si>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</si>
  <si>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</si>
  <si>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</si>
  <si>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</si>
  <si>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</si>
  <si>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</si>
  <si>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</si>
  <si>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</si>
  <si>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</si>
  <si>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</si>
  <si>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</si>
  <si>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</si>
  <si>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</si>
  <si>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</si>
  <si>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</si>
  <si>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</si>
  <si>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</si>
  <si>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</si>
  <si>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</si>
  <si>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</si>
  <si>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</si>
  <si>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</si>
  <si>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</si>
  <si>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</si>
  <si>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</si>
  <si>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</si>
  <si>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</si>
  <si>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</si>
  <si>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</si>
  <si>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</si>
  <si>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</si>
  <si>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</si>
  <si>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</si>
  <si>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</si>
  <si>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</si>
  <si>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</si>
  <si>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</si>
  <si>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</si>
  <si>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</si>
  <si>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</si>
  <si>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</si>
  <si>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</si>
  <si>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</si>
  <si>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</si>
  <si>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</si>
  <si>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</si>
  <si>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</si>
  <si>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</si>
  <si>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</si>
  <si>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</si>
  <si>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</si>
  <si>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</si>
  <si>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</si>
  <si>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</si>
  <si>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</si>
  <si>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</si>
  <si>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</si>
  <si>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</si>
  <si>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</si>
  <si>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</si>
  <si>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</si>
  <si>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</si>
  <si>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</si>
  <si>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</si>
  <si>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</si>
  <si>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</si>
  <si>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</si>
  <si>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</si>
  <si>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</si>
  <si>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</si>
  <si>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</si>
  <si>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</si>
  <si>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</si>
  <si>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</si>
  <si>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</si>
  <si>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</si>
  <si>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</si>
  <si>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</si>
  <si>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</si>
  <si>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</si>
  <si>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</si>
  <si>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</si>
  <si>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</si>
  <si>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</si>
  <si>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</si>
  <si>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</si>
  <si>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</si>
  <si>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</si>
  <si>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</si>
  <si>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</si>
  <si>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</si>
  <si>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</si>
  <si>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</si>
  <si>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</si>
  <si>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</si>
  <si>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</si>
  <si>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</si>
  <si>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</si>
  <si>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</si>
  <si>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</si>
  <si>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</si>
  <si>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</si>
  <si>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</si>
  <si>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</si>
  <si>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</si>
  <si>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</si>
  <si>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</si>
  <si>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</si>
  <si>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</si>
  <si>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</si>
  <si>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</si>
  <si>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</si>
  <si>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</si>
  <si>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</si>
  <si>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</si>
  <si>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</si>
  <si>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</si>
  <si>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</si>
  <si>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</si>
  <si>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</si>
  <si>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</si>
  <si>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</si>
  <si>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</si>
  <si>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</si>
  <si>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</si>
  <si>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</si>
  <si>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</si>
  <si>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</si>
  <si>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</si>
  <si>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</si>
  <si>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</si>
  <si>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</si>
  <si>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</si>
  <si>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</si>
  <si>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</si>
  <si>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</si>
  <si>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</si>
  <si>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</si>
  <si>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</si>
  <si>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</si>
  <si>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</si>
  <si>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</si>
  <si>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</si>
  <si>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</si>
  <si>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</si>
  <si>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</si>
  <si>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</si>
  <si>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</si>
  <si>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</si>
  <si>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</si>
  <si>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</si>
  <si>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</si>
  <si>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</si>
  <si>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</si>
  <si>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</si>
  <si>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</si>
  <si>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</si>
  <si>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</si>
  <si>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</si>
  <si>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</si>
  <si>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</si>
  <si>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</si>
  <si>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</si>
  <si>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</si>
  <si>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</si>
  <si>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</si>
  <si>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</si>
  <si>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</si>
  <si>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</si>
  <si>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</si>
  <si>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</si>
  <si>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</si>
  <si>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</si>
  <si>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</si>
  <si>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</si>
  <si>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</si>
  <si>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</si>
  <si>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</si>
  <si>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</si>
  <si>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</si>
  <si>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</si>
  <si>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</si>
  <si>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</si>
  <si>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</si>
  <si>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</si>
  <si>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</si>
  <si>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</si>
  <si>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</si>
  <si>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</si>
  <si>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</si>
  <si>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</si>
  <si>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</si>
  <si>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</si>
  <si>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</si>
  <si>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</si>
  <si>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</si>
  <si>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</si>
  <si>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</si>
  <si>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</si>
  <si>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</si>
  <si>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</si>
  <si>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</si>
  <si>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</si>
  <si>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</si>
  <si>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</si>
  <si>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</si>
  <si>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</si>
  <si>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</si>
  <si>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</si>
  <si>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</si>
  <si>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</si>
  <si>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</si>
  <si>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</si>
  <si>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</si>
  <si>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</si>
  <si>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</si>
  <si>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</si>
  <si>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</si>
  <si>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</si>
  <si>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</si>
  <si>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</si>
  <si>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</si>
  <si>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</si>
  <si>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</si>
  <si>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</si>
  <si>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</si>
  <si>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</si>
  <si>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</si>
  <si>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</si>
  <si>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</si>
  <si>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</si>
  <si>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</si>
  <si>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</si>
  <si>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</si>
  <si>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</si>
  <si>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</si>
  <si>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</si>
  <si>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</si>
  <si>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</si>
  <si>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</si>
  <si>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</si>
  <si>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</si>
  <si>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</si>
  <si>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</si>
  <si>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</si>
  <si>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</si>
  <si>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</si>
  <si>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</si>
  <si>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</si>
  <si>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</si>
  <si>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</si>
  <si>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</si>
  <si>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</si>
  <si>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</si>
  <si>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</si>
  <si>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</si>
  <si>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</si>
  <si>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</si>
  <si>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</si>
  <si>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</si>
  <si>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</si>
  <si>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</si>
  <si>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</si>
  <si>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</si>
  <si>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</si>
  <si>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</si>
  <si>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</si>
  <si>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</si>
  <si>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</si>
  <si>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</si>
  <si>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</si>
  <si>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</si>
  <si>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</si>
  <si>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</si>
  <si>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</si>
  <si>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</si>
  <si>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</si>
  <si>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</si>
  <si>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</si>
  <si>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</si>
  <si>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</si>
  <si>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</si>
  <si>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</si>
  <si>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</si>
  <si>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</si>
  <si>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</si>
  <si>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</si>
  <si>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</si>
  <si>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</si>
  <si>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</si>
  <si>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</si>
  <si>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</si>
  <si>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</si>
  <si>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</si>
  <si>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</si>
  <si>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</si>
  <si>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</si>
  <si>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</si>
  <si>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</si>
  <si>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</si>
  <si>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</si>
  <si>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</si>
  <si>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</si>
  <si>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</si>
  <si>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</si>
  <si>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</si>
  <si>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</si>
  <si>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</si>
  <si>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</si>
  <si>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</si>
  <si>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</si>
  <si>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</si>
  <si>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</si>
  <si>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</si>
  <si>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</si>
  <si>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</si>
  <si>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</si>
  <si>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</si>
  <si>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</si>
  <si>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</si>
  <si>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</si>
  <si>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</si>
  <si>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</si>
  <si>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</si>
  <si>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</si>
  <si>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</si>
  <si>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</si>
  <si>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</si>
  <si>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</si>
  <si>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</si>
  <si>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</si>
  <si>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</si>
  <si>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</si>
  <si>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</si>
  <si>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</si>
  <si>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</si>
  <si>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</si>
  <si>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</si>
  <si>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</si>
  <si>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</si>
  <si>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</si>
  <si>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</si>
  <si>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</si>
  <si>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</si>
  <si>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</si>
  <si>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</si>
  <si>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</si>
  <si>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</si>
  <si>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</si>
  <si>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</si>
  <si>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</si>
  <si>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</si>
  <si>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</si>
  <si>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</si>
  <si>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</si>
  <si>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</si>
  <si>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</si>
  <si>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</si>
  <si>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</si>
  <si>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</si>
  <si>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</si>
  <si>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</si>
  <si>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</si>
  <si>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</si>
  <si>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</si>
  <si>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</si>
  <si>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</si>
  <si>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</si>
  <si>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</si>
  <si>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</si>
  <si>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</si>
  <si>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</si>
  <si>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</si>
  <si>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</si>
  <si>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</si>
  <si>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</si>
  <si>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</si>
  <si>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</si>
  <si>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</si>
  <si>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</si>
  <si>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</si>
  <si>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</si>
  <si>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</si>
  <si>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</si>
  <si>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</si>
  <si>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</si>
  <si>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</si>
  <si>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</si>
  <si>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</si>
  <si>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</si>
  <si>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</si>
  <si>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</si>
  <si>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</si>
  <si>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</si>
  <si>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</si>
  <si>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</si>
  <si>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</si>
  <si>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</si>
  <si>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</si>
  <si>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</si>
  <si>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</si>
  <si>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</si>
  <si>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</si>
  <si>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</si>
  <si>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</si>
  <si>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</si>
  <si>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</si>
  <si>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</si>
  <si>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</si>
  <si>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</si>
  <si>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</si>
  <si>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</si>
  <si>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</si>
  <si>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</si>
  <si>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</si>
  <si>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</si>
  <si>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</si>
  <si>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</si>
  <si>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</si>
  <si>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</si>
  <si>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</si>
  <si>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</si>
  <si>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</si>
  <si>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</si>
  <si>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</si>
  <si>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</si>
  <si>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</si>
  <si>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</si>
  <si>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</si>
  <si>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</si>
  <si>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</si>
  <si>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</si>
  <si>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</si>
  <si>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</si>
  <si>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</si>
  <si>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</si>
  <si>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</si>
  <si>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</si>
  <si>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</si>
  <si>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</si>
  <si>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</si>
  <si>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</si>
  <si>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</si>
  <si>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</si>
  <si>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</si>
  <si>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</si>
  <si>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</si>
  <si>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</si>
  <si>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</si>
  <si>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</si>
  <si>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</si>
  <si>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</si>
  <si>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</si>
  <si>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</si>
  <si>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</si>
  <si>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</si>
  <si>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</si>
  <si>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</si>
  <si>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</si>
  <si>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</si>
  <si>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</si>
  <si>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</si>
  <si>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</si>
  <si>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</si>
  <si>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</si>
  <si>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</si>
  <si>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</si>
  <si>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</si>
  <si>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</si>
  <si>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</si>
  <si>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</si>
  <si>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</si>
  <si>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</si>
  <si>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</si>
  <si>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</si>
  <si>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</si>
  <si>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</si>
  <si>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</si>
  <si>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</si>
  <si>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</si>
  <si>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</si>
  <si>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</si>
  <si>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</si>
  <si>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</si>
  <si>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</si>
  <si>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</si>
  <si>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</si>
  <si>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</si>
  <si>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</si>
  <si>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</si>
  <si>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</si>
  <si>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</si>
  <si>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</si>
  <si>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</si>
  <si>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</si>
  <si>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</si>
  <si>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</si>
  <si>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</si>
  <si>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</si>
  <si>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</si>
  <si>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</si>
  <si>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</si>
  <si>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</si>
  <si>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</si>
  <si>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</si>
  <si>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</si>
  <si>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</si>
  <si>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</si>
  <si>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</si>
  <si>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</si>
  <si>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</si>
  <si>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</si>
  <si>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</si>
  <si>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</si>
  <si>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</si>
  <si>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</si>
  <si>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</si>
  <si>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</si>
  <si>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</si>
  <si>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</si>
  <si>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</si>
  <si>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</si>
  <si>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</si>
  <si>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</si>
  <si>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</si>
  <si>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</si>
  <si>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</si>
  <si>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</si>
  <si>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</si>
  <si>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</si>
  <si>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</si>
  <si>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</si>
  <si>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</si>
  <si>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</si>
  <si>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</si>
  <si>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</si>
  <si>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</si>
  <si>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</si>
  <si>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</si>
  <si>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</si>
  <si>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</si>
  <si>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</si>
  <si>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</si>
  <si>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</si>
  <si>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</si>
  <si>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</si>
  <si>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</si>
  <si>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</si>
  <si>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</si>
  <si>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</si>
  <si>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</si>
  <si>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</si>
  <si>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</si>
  <si>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</si>
  <si>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</si>
  <si>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</si>
  <si>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</si>
  <si>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</si>
  <si>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</si>
  <si>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</si>
  <si>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</si>
  <si>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</si>
  <si>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</si>
  <si>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</si>
  <si>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</si>
  <si>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</si>
  <si>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</si>
  <si>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</si>
  <si>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</si>
  <si>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</si>
  <si>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</si>
  <si>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</si>
  <si>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</si>
  <si>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</si>
  <si>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</si>
  <si>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</si>
  <si>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</si>
  <si>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</si>
  <si>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</si>
  <si>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</si>
  <si>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</si>
  <si>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</si>
  <si>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</si>
  <si>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</si>
  <si>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</si>
  <si>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</si>
  <si>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</si>
  <si>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</si>
  <si>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</si>
  <si>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</si>
  <si>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</si>
  <si>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</si>
  <si>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</si>
  <si>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</si>
  <si>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</si>
  <si>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</si>
  <si>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</si>
  <si>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</si>
  <si>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</si>
  <si>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</si>
  <si>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</si>
  <si>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</si>
  <si>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</si>
  <si>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</si>
  <si>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</si>
  <si>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</si>
  <si>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</si>
  <si>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</si>
  <si>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</si>
  <si>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</si>
  <si>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</si>
  <si>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</si>
  <si>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</si>
  <si>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</si>
  <si>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</si>
  <si>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</si>
  <si>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</si>
  <si>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</si>
  <si>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</si>
  <si>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</si>
  <si>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</si>
  <si>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</si>
  <si>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</si>
  <si>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</si>
  <si>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</si>
  <si>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</si>
  <si>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</si>
  <si>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</si>
  <si>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</si>
  <si>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</si>
  <si>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</si>
  <si>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</si>
  <si>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</si>
  <si>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</si>
  <si>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</si>
  <si>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</si>
  <si>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</si>
  <si>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</si>
  <si>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</si>
  <si>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</si>
  <si>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</si>
  <si>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</si>
  <si>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</si>
  <si>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</si>
  <si>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</si>
  <si>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</si>
  <si>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</si>
  <si>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</si>
  <si>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</si>
  <si>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</si>
  <si>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</si>
  <si>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</si>
  <si>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</si>
  <si>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</si>
  <si>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</si>
  <si>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</si>
  <si>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</si>
  <si>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</si>
  <si>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</si>
  <si>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</si>
  <si>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</si>
  <si>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</si>
  <si>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</si>
  <si>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</si>
  <si>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</si>
  <si>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</si>
  <si>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</si>
  <si>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</si>
  <si>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</si>
  <si>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</si>
  <si>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</si>
  <si>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</si>
  <si>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</si>
  <si>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</si>
  <si>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</si>
  <si>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</si>
  <si>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</si>
  <si>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</si>
  <si>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</si>
  <si>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</si>
  <si>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</si>
  <si>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</si>
  <si>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</si>
  <si>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</si>
  <si>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</si>
  <si>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</si>
  <si>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</si>
  <si>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</si>
  <si>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</si>
  <si>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</si>
  <si>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</si>
  <si>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</si>
  <si>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</si>
  <si>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</si>
  <si>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</si>
  <si>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</si>
  <si>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</si>
  <si>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</si>
  <si>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</si>
  <si>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</si>
  <si>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</si>
  <si>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</si>
  <si>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</si>
  <si>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</si>
  <si>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</si>
  <si>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</si>
  <si>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</si>
  <si>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</si>
  <si>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</si>
  <si>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</si>
  <si>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</si>
  <si>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</si>
  <si>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</si>
  <si>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</si>
  <si>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</si>
  <si>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</si>
  <si>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</si>
  <si>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</si>
  <si>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</si>
  <si>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</si>
  <si>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</si>
  <si>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</si>
  <si>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</si>
  <si>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</si>
  <si>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</si>
  <si>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</si>
  <si>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</si>
  <si>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</si>
  <si>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</si>
  <si>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</si>
  <si>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</si>
  <si>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</si>
  <si>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</si>
  <si>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</si>
  <si>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</si>
  <si>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</si>
  <si>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</si>
  <si>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</si>
  <si>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</si>
  <si>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</si>
  <si>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</si>
  <si>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</si>
  <si>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</si>
  <si>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</si>
  <si>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</si>
  <si>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</si>
  <si>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</si>
  <si>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</si>
  <si>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</si>
  <si>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</si>
  <si>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</si>
  <si>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</si>
  <si>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</si>
  <si>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</si>
  <si>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</si>
  <si>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</si>
  <si>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</si>
  <si>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</si>
  <si>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</si>
  <si>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</si>
  <si>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</si>
  <si>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</si>
  <si>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</si>
  <si>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</si>
  <si>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</si>
  <si>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</si>
  <si>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</si>
  <si>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</si>
  <si>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</si>
  <si>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</si>
  <si>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</si>
  <si>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</si>
  <si>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</si>
  <si>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</si>
  <si>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</si>
  <si>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</si>
  <si>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</si>
  <si>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</si>
  <si>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</si>
  <si>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</si>
  <si>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</si>
  <si>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</si>
  <si>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</si>
  <si>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</si>
  <si>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</si>
  <si>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</si>
  <si>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</si>
  <si>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</si>
  <si>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</si>
  <si>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</si>
  <si>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</si>
  <si>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</si>
  <si>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</si>
  <si>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</si>
  <si>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</si>
  <si>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</si>
  <si>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</si>
  <si>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</si>
  <si>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</si>
  <si>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</si>
  <si>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</si>
  <si>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</si>
  <si>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</si>
  <si>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</si>
  <si>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</si>
  <si>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</si>
  <si>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</si>
  <si>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</si>
  <si>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</si>
  <si>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</si>
  <si>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</si>
  <si>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</si>
  <si>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</si>
  <si>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</si>
  <si>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</si>
  <si>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</si>
  <si>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</si>
  <si>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</si>
  <si>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</si>
  <si>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</si>
  <si>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</si>
  <si>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</si>
  <si>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</si>
  <si>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</si>
  <si>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</si>
  <si>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</si>
  <si>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</si>
  <si>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</si>
  <si>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</si>
  <si>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</si>
  <si>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</si>
  <si>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</si>
  <si>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</si>
  <si>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</si>
  <si>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</si>
  <si>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</si>
  <si>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</si>
  <si>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</si>
  <si>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</si>
  <si>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</si>
  <si>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</si>
  <si>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</si>
  <si>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</si>
  <si>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</si>
  <si>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</si>
  <si>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</si>
  <si>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</si>
  <si>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</si>
  <si>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</si>
  <si>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</si>
  <si>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</si>
  <si>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</si>
  <si>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</si>
  <si>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</si>
  <si>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</si>
  <si>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</si>
  <si>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</si>
  <si>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</si>
  <si>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</si>
  <si>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</si>
  <si>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</si>
  <si>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</si>
  <si>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</si>
  <si>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</si>
  <si>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</si>
  <si>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</si>
  <si>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</si>
  <si>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</si>
  <si>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</si>
  <si>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</si>
  <si>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</si>
  <si>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</si>
  <si>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</si>
  <si>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</si>
  <si>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</si>
  <si>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</si>
  <si>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</si>
  <si>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</si>
  <si>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</si>
  <si>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</si>
  <si>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</si>
  <si>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</si>
  <si>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</si>
  <si>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</si>
  <si>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</si>
  <si>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</si>
  <si>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</si>
  <si>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</si>
  <si>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</si>
  <si>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</si>
  <si>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</si>
  <si>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</si>
  <si>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</si>
  <si>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</si>
  <si>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</si>
  <si>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</si>
  <si>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</si>
  <si>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</si>
  <si>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</si>
  <si>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</si>
  <si>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</si>
  <si>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</si>
  <si>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</si>
  <si>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</si>
  <si>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</si>
  <si>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</si>
  <si>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</si>
  <si>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</si>
  <si>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</si>
  <si>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</si>
  <si>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</si>
  <si>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</si>
  <si>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</si>
  <si>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</si>
  <si>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</si>
  <si>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</si>
  <si>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</si>
  <si>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</si>
  <si>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</si>
  <si>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</si>
  <si>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</si>
  <si>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</si>
  <si>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</si>
  <si>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</si>
  <si>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</si>
  <si>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</si>
  <si>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</si>
  <si>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</si>
  <si>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</si>
  <si>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</si>
  <si>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</si>
  <si>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</si>
  <si>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</si>
  <si>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</si>
  <si>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</si>
  <si>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</si>
  <si>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</si>
  <si>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</si>
  <si>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</si>
  <si>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</si>
  <si>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</si>
  <si>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</si>
  <si>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</si>
  <si>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</si>
  <si>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</si>
  <si>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</si>
  <si>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</si>
  <si>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</si>
  <si>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</si>
  <si>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</si>
  <si>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</si>
  <si>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</si>
  <si>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</si>
  <si>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</si>
  <si>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</si>
  <si>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</si>
  <si>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</si>
  <si>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</si>
  <si>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</si>
  <si>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</si>
  <si>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</si>
  <si>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</si>
  <si>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</si>
  <si>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</si>
  <si>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</si>
  <si>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</si>
  <si>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</si>
  <si>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</si>
  <si>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</si>
  <si>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</si>
  <si>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</si>
  <si>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</si>
  <si>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</si>
  <si>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</si>
  <si>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</si>
  <si>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</si>
  <si>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</si>
  <si>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</si>
  <si>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</si>
  <si>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</si>
  <si>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</si>
  <si>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</si>
  <si>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</si>
  <si>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</si>
  <si>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</si>
  <si>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</si>
  <si>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</si>
  <si>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</si>
  <si>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</si>
  <si>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</si>
  <si>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</si>
  <si>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</si>
  <si>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</si>
  <si>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</si>
  <si>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</si>
  <si>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</si>
  <si>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</si>
  <si>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</si>
  <si>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</si>
  <si>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</si>
  <si>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</si>
  <si>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</si>
  <si>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</si>
  <si>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</si>
  <si>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</si>
  <si>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</si>
  <si>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</si>
  <si>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</si>
  <si>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</si>
  <si>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</si>
  <si>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</si>
  <si>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</si>
  <si>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</si>
  <si>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</si>
  <si>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</si>
  <si>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</si>
  <si>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</si>
  <si>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</si>
  <si>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</si>
  <si>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</si>
  <si>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</si>
  <si>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</si>
  <si>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</si>
  <si>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</si>
  <si>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</si>
  <si>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</si>
  <si>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</si>
  <si>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</si>
  <si>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</si>
  <si>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</si>
  <si>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</si>
  <si>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</si>
  <si>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</si>
  <si>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</si>
  <si>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</si>
  <si>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</si>
  <si>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</si>
  <si>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</si>
  <si>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</si>
  <si>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</si>
  <si>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</si>
  <si>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</si>
  <si>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</si>
  <si>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</si>
  <si>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</si>
  <si>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</si>
  <si>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</si>
  <si>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</si>
  <si>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</si>
  <si>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</si>
  <si>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</si>
  <si>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</si>
  <si>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</si>
  <si>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</si>
  <si>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</si>
  <si>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</si>
  <si>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</si>
  <si>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</si>
  <si>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</si>
  <si>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</si>
  <si>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</si>
  <si>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</si>
  <si>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</si>
  <si>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</si>
  <si>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</si>
  <si>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</si>
  <si>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</si>
  <si>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</si>
  <si>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</si>
  <si>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</si>
  <si>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</si>
  <si>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</si>
  <si>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</si>
  <si>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</si>
  <si>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</si>
  <si>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</si>
  <si>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</si>
  <si>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</si>
  <si>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</si>
  <si>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</si>
  <si>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</si>
  <si>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</si>
  <si>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</si>
  <si>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</si>
  <si>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</si>
  <si>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</si>
  <si>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</si>
  <si>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</si>
  <si>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</si>
  <si>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</si>
  <si>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</si>
  <si>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</si>
  <si>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</si>
  <si>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</si>
  <si>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</si>
  <si>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</si>
  <si>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</si>
  <si>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</si>
  <si>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</si>
  <si>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</si>
  <si>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</si>
  <si>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</si>
  <si>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</si>
  <si>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</si>
  <si>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</si>
  <si>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</si>
  <si>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</si>
  <si>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</si>
  <si>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</si>
  <si>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</si>
  <si>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</si>
  <si>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</si>
  <si>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</si>
  <si>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</si>
  <si>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</si>
  <si>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</si>
  <si>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</si>
  <si>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</si>
  <si>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</si>
  <si>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</si>
  <si>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</si>
  <si>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</si>
  <si>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</si>
  <si>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</si>
  <si>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</si>
  <si>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</si>
  <si>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</si>
  <si>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</si>
  <si>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</si>
  <si>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</si>
  <si>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</si>
  <si>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</si>
  <si>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</si>
  <si>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</si>
  <si>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</si>
  <si>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</si>
  <si>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</si>
  <si>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</si>
  <si>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</si>
  <si>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</si>
  <si>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</si>
  <si>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</si>
  <si>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</si>
  <si>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</si>
  <si>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</si>
  <si>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</si>
  <si>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</si>
  <si>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</si>
  <si>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</si>
  <si>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</si>
  <si>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</si>
  <si>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</si>
  <si>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</si>
  <si>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</si>
  <si>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</si>
  <si>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</si>
  <si>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</si>
  <si>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</si>
  <si>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</si>
  <si>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</si>
  <si>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</si>
  <si>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</si>
  <si>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</si>
  <si>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</si>
  <si>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</si>
  <si>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</si>
  <si>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</si>
  <si>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</si>
  <si>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</si>
  <si>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</si>
  <si>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</si>
  <si>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</si>
  <si>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</si>
  <si>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</si>
  <si>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</si>
  <si>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</si>
  <si>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</si>
  <si>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</si>
  <si>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</si>
  <si>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</si>
  <si>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</si>
  <si>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</si>
  <si>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</si>
  <si>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</si>
  <si>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</si>
  <si>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</si>
  <si>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</si>
  <si>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</si>
  <si>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</si>
  <si>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</si>
  <si>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</si>
  <si>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</si>
  <si>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</si>
  <si>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</si>
  <si>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</si>
  <si>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</si>
  <si>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</si>
  <si>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</si>
  <si>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</si>
  <si>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</si>
  <si>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</si>
  <si>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</si>
  <si>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</si>
  <si>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</si>
  <si>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</si>
  <si>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</si>
  <si>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</si>
  <si>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</si>
  <si>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</si>
  <si>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</si>
  <si>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</si>
  <si>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</si>
  <si>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</si>
  <si>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</si>
  <si>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</si>
  <si>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</si>
  <si>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</si>
  <si>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</si>
  <si>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</si>
  <si>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</si>
  <si>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</si>
  <si>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</si>
  <si>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</si>
  <si>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</si>
  <si>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</si>
  <si>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</si>
  <si>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</si>
  <si>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</si>
  <si>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</si>
  <si>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</si>
  <si>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</si>
  <si>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</si>
  <si>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</si>
  <si>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</si>
  <si>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</si>
  <si>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</si>
  <si>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</si>
  <si>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</si>
  <si>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</si>
  <si>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</si>
  <si>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</si>
  <si>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</si>
  <si>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</si>
  <si>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</si>
  <si>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</si>
  <si>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</si>
  <si>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</si>
  <si>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</si>
  <si>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</si>
  <si>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</si>
  <si>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</si>
  <si>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</si>
  <si>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</si>
  <si>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</si>
  <si>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</si>
  <si>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</si>
  <si>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</si>
  <si>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</si>
  <si>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</si>
  <si>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</si>
  <si>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</si>
  <si>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</si>
  <si>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</si>
  <si>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</si>
  <si>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</si>
  <si>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</si>
  <si>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</si>
  <si>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</si>
  <si>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</si>
  <si>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</si>
  <si>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</si>
  <si>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</si>
  <si>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</si>
  <si>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</si>
  <si>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</si>
  <si>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</si>
  <si>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</si>
  <si>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</si>
  <si>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</si>
  <si>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</si>
  <si>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</si>
  <si>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</si>
  <si>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</si>
  <si>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</si>
  <si>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</si>
  <si>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</si>
  <si>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</si>
  <si>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</si>
  <si>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</si>
  <si>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</si>
  <si>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</si>
  <si>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</si>
  <si>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</si>
  <si>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</si>
  <si>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</si>
  <si>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</si>
  <si>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</si>
  <si>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</si>
  <si>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</si>
  <si>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</si>
  <si>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</si>
  <si>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</si>
  <si>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</si>
  <si>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</si>
  <si>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</si>
  <si>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</si>
  <si>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</si>
  <si>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</si>
  <si>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</si>
  <si>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</si>
  <si>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</si>
  <si>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</si>
  <si>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</si>
  <si>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</si>
  <si>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</si>
  <si>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</si>
  <si>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</si>
  <si>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</si>
  <si>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</si>
  <si>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</si>
  <si>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</si>
  <si>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</si>
  <si>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</si>
  <si>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</si>
  <si>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</si>
  <si>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</si>
  <si>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</si>
  <si>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</si>
  <si>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</si>
  <si>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</si>
  <si>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</si>
  <si>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</si>
  <si>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</si>
  <si>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</si>
  <si>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</si>
  <si>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</si>
  <si>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</si>
  <si>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</si>
  <si>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</si>
  <si>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</si>
  <si>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</si>
  <si>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</si>
  <si>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</si>
  <si>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</si>
  <si>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</si>
  <si>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</si>
  <si>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</si>
  <si>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</si>
  <si>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</si>
  <si>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</si>
  <si>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</si>
  <si>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</si>
  <si>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</si>
  <si>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</si>
  <si>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</si>
  <si>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</si>
  <si>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</si>
  <si>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</si>
  <si>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</si>
  <si>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</si>
  <si>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</si>
  <si>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</si>
  <si>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</si>
  <si>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</si>
  <si>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</si>
  <si>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</si>
  <si>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</si>
  <si>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</si>
  <si>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</si>
  <si>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</si>
  <si>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</si>
  <si>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</si>
  <si>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</si>
  <si>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</si>
  <si>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</si>
  <si>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</si>
  <si>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</si>
  <si>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</si>
  <si>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</si>
  <si>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</si>
  <si>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</si>
  <si>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</si>
  <si>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</si>
  <si>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</si>
  <si>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</si>
  <si>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</si>
  <si>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</si>
  <si>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</si>
  <si>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</si>
  <si>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</si>
  <si>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</si>
  <si>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</si>
  <si>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</si>
  <si>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</si>
  <si>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</si>
  <si>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</si>
  <si>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</si>
  <si>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</si>
  <si>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</si>
  <si>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</si>
  <si>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</si>
  <si>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</si>
  <si>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</si>
  <si>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</si>
  <si>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</si>
  <si>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</si>
  <si>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</si>
  <si>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</si>
  <si>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</si>
  <si>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</si>
  <si>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</si>
  <si>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</si>
  <si>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</si>
  <si>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</si>
  <si>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</si>
  <si>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</si>
  <si>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</si>
  <si>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</si>
  <si>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</si>
  <si>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</si>
  <si>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</si>
  <si>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</si>
  <si>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</si>
  <si>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</si>
  <si>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</si>
  <si>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</si>
  <si>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</si>
  <si>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</si>
  <si>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</si>
  <si>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</si>
  <si>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</si>
  <si>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</si>
  <si>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</si>
  <si>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</si>
  <si>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</si>
  <si>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</si>
  <si>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</si>
  <si>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</si>
  <si>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</si>
  <si>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</si>
  <si>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</si>
  <si>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</si>
  <si>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</si>
  <si>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</si>
  <si>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</si>
  <si>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</si>
  <si>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</si>
  <si>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</si>
  <si>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</si>
  <si>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</si>
  <si>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</si>
  <si>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</si>
  <si>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</si>
  <si>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</si>
  <si>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</si>
  <si>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</si>
  <si>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</si>
  <si>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</si>
  <si>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</si>
  <si>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</si>
  <si>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</si>
  <si>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</si>
  <si>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</si>
  <si>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</si>
  <si>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</si>
  <si>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</si>
  <si>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</si>
  <si>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</si>
  <si>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</si>
  <si>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</si>
  <si>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</si>
  <si>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</si>
  <si>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</si>
  <si>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</si>
  <si>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</si>
  <si>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</si>
  <si>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</si>
  <si>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</si>
  <si>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</si>
  <si>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</si>
  <si>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</si>
  <si>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</si>
  <si>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</si>
  <si>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</si>
  <si>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</si>
  <si>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</si>
  <si>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</si>
  <si>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</si>
  <si>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</si>
  <si>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</si>
  <si>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</si>
  <si>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</si>
  <si>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</si>
  <si>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</si>
  <si>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</si>
  <si>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</si>
  <si>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</si>
  <si>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</si>
  <si>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</si>
  <si>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</si>
  <si>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</si>
  <si>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</si>
  <si>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</si>
  <si>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</si>
  <si>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</si>
  <si>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</si>
  <si>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</si>
  <si>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</si>
  <si>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</si>
  <si>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</si>
  <si>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</si>
  <si>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</si>
  <si>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</si>
  <si>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</si>
  <si>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</si>
  <si>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</si>
  <si>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</si>
  <si>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</si>
  <si>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</si>
  <si>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</si>
  <si>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</si>
  <si>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</si>
  <si>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</si>
  <si>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</si>
  <si>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</si>
  <si>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</si>
  <si>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</si>
  <si>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</si>
  <si>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</si>
  <si>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</si>
  <si>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</si>
  <si>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</si>
  <si>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</si>
  <si>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</si>
  <si>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</si>
  <si>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</si>
  <si>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</si>
  <si>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</si>
  <si>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</si>
  <si>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</si>
  <si>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</si>
  <si>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</si>
  <si>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</si>
  <si>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</si>
  <si>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</si>
  <si>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</si>
  <si>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</si>
  <si>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</si>
  <si>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</si>
  <si>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</si>
  <si>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</si>
  <si>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</si>
  <si>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</si>
  <si>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</si>
  <si>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</si>
  <si>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</si>
  <si>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</si>
  <si>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</si>
  <si>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</si>
  <si>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</si>
  <si>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</si>
  <si>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</si>
  <si>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</si>
  <si>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</si>
  <si>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</si>
  <si>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</si>
  <si>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</si>
  <si>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</si>
  <si>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</si>
  <si>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</si>
  <si>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</si>
  <si>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</si>
  <si>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</si>
  <si>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</si>
  <si>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</si>
  <si>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</si>
  <si>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</si>
  <si>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</si>
  <si>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</si>
  <si>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</si>
  <si>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</si>
  <si>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</si>
  <si>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</si>
  <si>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</si>
  <si>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</si>
  <si>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</si>
  <si>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</si>
  <si>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</si>
  <si>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</si>
  <si>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</si>
  <si>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</si>
  <si>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</si>
  <si>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</si>
  <si>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</si>
  <si>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</si>
  <si>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</si>
  <si>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</si>
  <si>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</si>
  <si>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</si>
  <si>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</si>
  <si>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</si>
  <si>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</si>
  <si>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</si>
  <si>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</si>
  <si>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</si>
  <si>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</si>
  <si>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</si>
  <si>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</si>
  <si>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</si>
  <si>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</si>
  <si>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</si>
  <si>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</si>
  <si>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</si>
  <si>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</si>
  <si>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</si>
  <si>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</si>
  <si>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</si>
  <si>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</si>
  <si>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</si>
  <si>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</si>
  <si>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</si>
  <si>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</si>
  <si>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</si>
  <si>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</si>
  <si>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</si>
  <si>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</si>
  <si>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</si>
  <si>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</si>
  <si>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</si>
  <si>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</si>
  <si>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</si>
  <si>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</si>
  <si>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</si>
  <si>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</si>
  <si>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</si>
  <si>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</si>
  <si>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</si>
  <si>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</si>
  <si>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</si>
  <si>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</si>
  <si>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</si>
  <si>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</si>
  <si>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</si>
  <si>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</si>
  <si>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</si>
  <si>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</si>
  <si>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</si>
  <si>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</si>
  <si>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</si>
  <si>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</si>
  <si>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</si>
  <si>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</si>
  <si>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</si>
  <si>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</si>
  <si>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</si>
  <si>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</si>
  <si>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</si>
  <si>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</si>
  <si>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</si>
  <si>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</si>
  <si>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</si>
  <si>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</si>
  <si>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</si>
  <si>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</si>
  <si>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</si>
  <si>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</si>
  <si>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</si>
  <si>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</si>
  <si>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</si>
  <si>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</si>
  <si>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</si>
  <si>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</si>
  <si>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</si>
  <si>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</si>
  <si>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</si>
  <si>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</si>
  <si>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</si>
  <si>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</si>
  <si>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</si>
  <si>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</si>
  <si>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</si>
  <si>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</si>
  <si>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</si>
  <si>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</si>
  <si>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</si>
  <si>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</si>
  <si>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</si>
  <si>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</si>
  <si>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</si>
  <si>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</si>
  <si>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</si>
  <si>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</si>
  <si>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</si>
  <si>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</si>
  <si>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</si>
  <si>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</si>
  <si>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</si>
  <si>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</si>
  <si>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</si>
  <si>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</si>
  <si>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</si>
  <si>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</si>
  <si>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</si>
  <si>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</si>
  <si>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</si>
  <si>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</si>
  <si>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</si>
  <si>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</si>
  <si>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</si>
  <si>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</si>
  <si>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</si>
  <si>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</si>
  <si>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</si>
  <si>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</si>
  <si>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</si>
  <si>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</si>
  <si>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</si>
  <si>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</si>
  <si>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</si>
  <si>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</si>
  <si>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</si>
  <si>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</si>
  <si>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</si>
  <si>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</si>
  <si>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</si>
  <si>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</si>
  <si>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</si>
  <si>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</si>
  <si>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</si>
  <si>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</si>
  <si>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</si>
  <si>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</si>
  <si>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</si>
  <si>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</si>
  <si>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</si>
  <si>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</si>
  <si>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</si>
  <si>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</si>
  <si>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</si>
  <si>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</si>
  <si>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</si>
  <si>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</si>
  <si>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</si>
  <si>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</si>
  <si>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</si>
  <si>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</si>
  <si>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</si>
  <si>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</si>
  <si>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</si>
  <si>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</si>
  <si>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</si>
  <si>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</si>
  <si>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</si>
  <si>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</si>
  <si>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</si>
  <si>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</si>
  <si>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</si>
  <si>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</si>
  <si>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</si>
  <si>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</si>
  <si>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</si>
  <si>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</si>
  <si>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</si>
  <si>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</si>
  <si>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</si>
  <si>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</si>
  <si>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</si>
  <si>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</si>
  <si>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</si>
  <si>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</si>
  <si>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</si>
  <si>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</si>
  <si>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</si>
  <si>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</si>
  <si>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</si>
  <si>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</si>
  <si>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</si>
  <si>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</si>
  <si>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</si>
  <si>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</si>
  <si>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</si>
  <si>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</si>
  <si>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</si>
  <si>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</si>
  <si>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</si>
  <si>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</si>
  <si>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</si>
  <si>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</si>
  <si>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</si>
  <si>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</si>
  <si>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</si>
  <si>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</si>
  <si>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</si>
  <si>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</si>
  <si>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</si>
  <si>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</si>
  <si>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</si>
  <si>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</si>
  <si>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</si>
  <si>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</si>
  <si>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</si>
  <si>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</si>
  <si>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</si>
  <si>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</si>
  <si>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</si>
  <si>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</si>
  <si>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</si>
  <si>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</si>
  <si>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</si>
  <si>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</si>
  <si>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</si>
  <si>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</si>
  <si>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</si>
  <si>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</si>
  <si>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</si>
  <si>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</si>
  <si>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</si>
  <si>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</si>
  <si>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</si>
  <si>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</si>
  <si>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</si>
  <si>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</si>
  <si>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</si>
  <si>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</si>
  <si>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</si>
  <si>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</si>
  <si>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</si>
  <si>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</si>
  <si>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</si>
  <si>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</si>
  <si>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</si>
  <si>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</si>
  <si>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</si>
  <si>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</si>
  <si>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</si>
  <si>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</si>
  <si>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</si>
  <si>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</si>
  <si>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</si>
  <si>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</si>
  <si>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</si>
  <si>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</si>
  <si>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</si>
  <si>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</si>
  <si>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</si>
  <si>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</si>
  <si>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</si>
  <si>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</si>
  <si>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</si>
  <si>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</si>
  <si>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</si>
  <si>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</si>
  <si>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</si>
  <si>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</si>
  <si>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</si>
  <si>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</si>
  <si>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</si>
  <si>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</si>
  <si>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</si>
  <si>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</si>
  <si>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</si>
  <si>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</si>
  <si>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</si>
  <si>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</si>
  <si>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</si>
  <si>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</si>
  <si>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</si>
  <si>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</si>
  <si>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</si>
  <si>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</si>
  <si>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</si>
  <si>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</si>
  <si>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</si>
  <si>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</si>
  <si>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</si>
  <si>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</si>
  <si>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</si>
  <si>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</si>
  <si>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</si>
  <si>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</si>
  <si>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</si>
  <si>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</si>
  <si>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</si>
  <si>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</si>
  <si>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</si>
  <si>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</si>
  <si>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</si>
  <si>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</si>
  <si>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</si>
  <si>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</si>
  <si>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</si>
  <si>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</si>
  <si>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</si>
  <si>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</si>
  <si>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</si>
  <si>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</si>
  <si>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</si>
  <si>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</si>
  <si>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</si>
  <si>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</si>
  <si>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</si>
  <si>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</si>
  <si>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</si>
  <si>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</si>
  <si>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</si>
  <si>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</si>
  <si>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</si>
  <si>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</si>
  <si>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</si>
  <si>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</si>
  <si>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</si>
  <si>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</si>
  <si>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</si>
  <si>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</si>
  <si>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</si>
  <si>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</si>
  <si>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</si>
  <si>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</si>
  <si>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</si>
  <si>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</si>
  <si>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</si>
  <si>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</si>
  <si>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</si>
  <si>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</si>
  <si>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</si>
  <si>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</si>
  <si>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</si>
  <si>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</si>
  <si>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</si>
  <si>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</si>
  <si>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</si>
  <si>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</si>
  <si>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</si>
  <si>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</si>
  <si>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</si>
  <si>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</si>
  <si>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</si>
  <si>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</si>
  <si>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</si>
  <si>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</si>
  <si>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</si>
  <si>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</si>
  <si>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</si>
  <si>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</si>
  <si>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</si>
  <si>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</si>
  <si>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</si>
  <si>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</si>
  <si>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</si>
  <si>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</si>
  <si>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</si>
  <si>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</si>
  <si>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</si>
  <si>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</si>
  <si>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</si>
  <si>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</si>
  <si>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</si>
  <si>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</si>
  <si>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</si>
  <si>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</si>
  <si>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</si>
  <si>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</si>
  <si>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</si>
  <si>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</si>
  <si>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</si>
  <si>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</si>
  <si>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</si>
  <si>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</si>
  <si>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</si>
  <si>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</si>
  <si>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</si>
  <si>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</si>
  <si>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</si>
  <si>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</si>
  <si>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</si>
  <si>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</si>
  <si>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</si>
  <si>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</si>
  <si>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</si>
  <si>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</si>
  <si>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</si>
  <si>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</si>
  <si>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</si>
  <si>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</si>
  <si>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</si>
  <si>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</si>
  <si>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</si>
  <si>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</si>
  <si>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</si>
  <si>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</si>
  <si>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</si>
  <si>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</si>
  <si>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</si>
  <si>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</si>
  <si>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</si>
  <si>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</si>
  <si>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</si>
  <si>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</si>
  <si>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</si>
  <si>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</si>
  <si>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</si>
  <si>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</si>
  <si>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</si>
  <si>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</si>
  <si>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</si>
  <si>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</si>
  <si>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</si>
  <si>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</si>
  <si>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</si>
  <si>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</si>
  <si>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</si>
  <si>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</si>
  <si>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</si>
  <si>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</si>
  <si>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</si>
  <si>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</si>
  <si>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</si>
  <si>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</si>
  <si>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</si>
  <si>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</si>
  <si>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</si>
  <si>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</si>
  <si>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</si>
  <si>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</si>
  <si>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</si>
  <si>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</si>
  <si>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</si>
  <si>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</si>
  <si>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</si>
  <si>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</si>
  <si>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</si>
  <si>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</si>
  <si>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</si>
  <si>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</si>
  <si>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</si>
  <si>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</si>
  <si>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</si>
  <si>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</si>
  <si>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</si>
  <si>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</si>
  <si>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</si>
  <si>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</si>
  <si>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</si>
  <si>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</si>
  <si>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</si>
  <si>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</si>
  <si>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</si>
  <si>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</si>
  <si>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</si>
  <si>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</si>
  <si>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</si>
  <si>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</si>
  <si>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</si>
  <si>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</si>
  <si>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</si>
  <si>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</si>
  <si>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</si>
  <si>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</si>
  <si>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</si>
  <si>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</si>
  <si>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</si>
  <si>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</si>
  <si>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</si>
  <si>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</si>
  <si>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</si>
  <si>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</si>
  <si>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</si>
  <si>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</si>
  <si>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</si>
  <si>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</si>
  <si>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</si>
  <si>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</si>
  <si>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</si>
  <si>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</si>
  <si>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</si>
  <si>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</si>
  <si>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</si>
  <si>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</si>
  <si>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</si>
  <si>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</si>
  <si>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</si>
  <si>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</si>
  <si>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</si>
  <si>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</si>
  <si>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</si>
  <si>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</si>
  <si>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</si>
  <si>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</si>
  <si>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</si>
  <si>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</si>
  <si>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</si>
  <si>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</si>
  <si>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</si>
  <si>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</si>
  <si>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</si>
  <si>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</si>
  <si>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</si>
  <si>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</si>
  <si>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</si>
  <si>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</si>
  <si>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</si>
  <si>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</si>
  <si>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</si>
  <si>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</si>
  <si>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</si>
  <si>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</si>
  <si>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</si>
  <si>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</si>
  <si>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</si>
  <si>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</si>
  <si>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</si>
  <si>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</si>
  <si>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</si>
  <si>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</si>
  <si>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</si>
  <si>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</si>
  <si>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</si>
  <si>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</si>
  <si>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</si>
  <si>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</si>
  <si>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</si>
  <si>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</si>
  <si>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</si>
  <si>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</si>
  <si>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</si>
  <si>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</si>
  <si>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</si>
  <si>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</si>
  <si>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</si>
  <si>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</si>
  <si>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</si>
  <si>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</si>
  <si>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</si>
  <si>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</si>
  <si>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</si>
  <si>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</si>
  <si>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</si>
  <si>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</si>
  <si>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</si>
  <si>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</si>
  <si>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</si>
  <si>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</si>
  <si>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</si>
  <si>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</si>
  <si>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</si>
  <si>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</si>
  <si>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</si>
  <si>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</si>
  <si>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</si>
  <si>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</si>
  <si>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</si>
  <si>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</si>
  <si>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</si>
  <si>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</si>
  <si>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</si>
  <si>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</si>
  <si>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</si>
  <si>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</si>
  <si>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</si>
  <si>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</si>
  <si>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</si>
  <si>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</si>
  <si>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</si>
  <si>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</si>
  <si>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</si>
  <si>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</si>
  <si>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</si>
  <si>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</si>
  <si>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</si>
  <si>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</si>
  <si>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</si>
  <si>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</si>
  <si>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</si>
  <si>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</si>
  <si>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</si>
  <si>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</si>
  <si>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</si>
  <si>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</si>
  <si>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</si>
  <si>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</si>
  <si>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</si>
  <si>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</si>
  <si>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</si>
  <si>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</si>
  <si>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</si>
  <si>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</si>
  <si>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</si>
  <si>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</si>
  <si>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</si>
  <si>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</si>
  <si>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</si>
  <si>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</si>
  <si>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</si>
  <si>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</si>
  <si>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</si>
  <si>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</si>
  <si>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</si>
  <si>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</si>
  <si>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</si>
  <si>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</si>
  <si>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</si>
  <si>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</si>
  <si>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</si>
  <si>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</si>
  <si>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</si>
  <si>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</si>
  <si>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</si>
  <si>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</si>
  <si>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</si>
  <si>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</si>
  <si>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</si>
  <si>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</si>
  <si>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</si>
  <si>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</si>
  <si>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</si>
  <si>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</si>
  <si>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</si>
  <si>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</si>
  <si>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</si>
  <si>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</si>
  <si>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</si>
  <si>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</si>
  <si>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</si>
  <si>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</si>
  <si>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</si>
  <si>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</si>
  <si>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</si>
  <si>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</si>
  <si>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</si>
  <si>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</si>
  <si>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</si>
  <si>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</si>
  <si>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</si>
  <si>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</si>
  <si>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</si>
  <si>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</si>
  <si>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</si>
  <si>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</si>
  <si>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</si>
  <si>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</si>
  <si>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</si>
  <si>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</si>
  <si>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</si>
  <si>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</si>
  <si>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</si>
  <si>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</si>
  <si>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</si>
  <si>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</si>
  <si>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</si>
  <si>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</si>
  <si>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</si>
  <si>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</si>
  <si>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</si>
  <si>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</si>
  <si>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</si>
  <si>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</si>
  <si>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</si>
  <si>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</si>
  <si>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</si>
  <si>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</si>
  <si>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</si>
  <si>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</si>
  <si>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</si>
  <si>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</si>
  <si>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</si>
  <si>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</si>
  <si>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</si>
  <si>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</si>
  <si>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</si>
  <si>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</si>
  <si>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</si>
  <si>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</si>
  <si>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</si>
  <si>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</si>
  <si>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</si>
  <si>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</si>
  <si>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</si>
  <si>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</si>
  <si>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</si>
  <si>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</si>
  <si>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</si>
  <si>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</si>
  <si>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</si>
  <si>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</si>
  <si>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</si>
  <si>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</si>
  <si>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</si>
  <si>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</si>
  <si>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</si>
  <si>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</si>
  <si>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</si>
  <si>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</si>
  <si>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</si>
  <si>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</si>
  <si>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</si>
  <si>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</si>
  <si>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</si>
  <si>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</si>
  <si>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</si>
  <si>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</si>
  <si>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</si>
  <si>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</si>
  <si>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</si>
  <si>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</si>
  <si>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</si>
  <si>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</si>
  <si>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</si>
  <si>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</si>
  <si>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</si>
  <si>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</si>
  <si>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</si>
  <si>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</si>
  <si>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</si>
  <si>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</si>
  <si>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</si>
  <si>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</si>
  <si>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</si>
  <si>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</si>
  <si>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</si>
  <si>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</si>
  <si>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</si>
  <si>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</si>
  <si>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</si>
  <si>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</si>
  <si>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</si>
  <si>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</si>
  <si>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</si>
  <si>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</si>
  <si>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</si>
  <si>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</si>
  <si>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</si>
  <si>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</si>
  <si>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</si>
  <si>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</si>
  <si>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</si>
  <si>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</si>
  <si>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</si>
  <si>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</si>
  <si>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</si>
  <si>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</si>
  <si>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</si>
  <si>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</si>
  <si>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</si>
  <si>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</si>
  <si>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</si>
  <si>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</si>
  <si>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</si>
  <si>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</si>
  <si>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</si>
  <si>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</si>
  <si>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</si>
  <si>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</si>
  <si>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</si>
  <si>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</si>
  <si>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</si>
  <si>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</si>
  <si>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</si>
  <si>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</si>
  <si>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</si>
  <si>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</si>
  <si>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</si>
  <si>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</si>
  <si>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</si>
  <si>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</si>
  <si>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</si>
  <si>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</si>
  <si>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</si>
  <si>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</si>
  <si>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</si>
  <si>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</si>
  <si>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</si>
  <si>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</si>
  <si>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</si>
  <si>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</si>
  <si>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</si>
  <si>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</si>
  <si>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</si>
  <si>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</si>
  <si>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</si>
  <si>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</si>
  <si>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</si>
  <si>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</si>
  <si>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</si>
  <si>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</si>
  <si>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</si>
  <si>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</si>
  <si>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</si>
  <si>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</si>
  <si>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</si>
  <si>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</si>
  <si>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</si>
  <si>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</si>
  <si>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</si>
  <si>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</si>
  <si>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</si>
  <si>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</si>
  <si>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</si>
  <si>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</si>
  <si>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</si>
  <si>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</si>
  <si>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</si>
  <si>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</si>
  <si>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</si>
  <si>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</si>
  <si>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</si>
  <si>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</si>
  <si>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</si>
  <si>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</si>
  <si>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</si>
  <si>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</si>
  <si>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</si>
  <si>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</si>
  <si>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</si>
  <si>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</si>
  <si>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</si>
  <si>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</si>
  <si>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</si>
  <si>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</si>
  <si>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</si>
  <si>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</si>
  <si>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</si>
  <si>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</si>
  <si>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</si>
  <si>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</si>
  <si>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</si>
  <si>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</si>
  <si>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</si>
  <si>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</si>
  <si>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</si>
  <si>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</si>
  <si>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</si>
  <si>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</si>
  <si>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</si>
  <si>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</si>
  <si>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</si>
  <si>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</si>
  <si>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</si>
  <si>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</si>
  <si>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</si>
  <si>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</si>
  <si>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</si>
  <si>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</si>
  <si>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</si>
  <si>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</si>
  <si>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</si>
  <si>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</si>
  <si>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</si>
  <si>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</si>
  <si>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</si>
  <si>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</si>
  <si>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</si>
  <si>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</si>
  <si>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</si>
  <si>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</si>
  <si>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</si>
  <si>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</si>
  <si>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</si>
  <si>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</si>
  <si>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</si>
  <si>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</si>
  <si>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</si>
  <si>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</si>
  <si>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</si>
  <si>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</si>
  <si>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</si>
  <si>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</si>
  <si>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</si>
  <si>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</si>
  <si>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</si>
  <si>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</si>
  <si>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</si>
  <si>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</si>
  <si>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</si>
  <si>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</si>
  <si>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</si>
  <si>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</si>
  <si>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</si>
  <si>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</si>
  <si>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</si>
  <si>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</si>
  <si>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</si>
  <si>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</si>
  <si>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</si>
  <si>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</si>
  <si>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</si>
  <si>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</si>
  <si>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</si>
  <si>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</si>
  <si>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</si>
  <si>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</si>
  <si>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</si>
  <si>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</si>
  <si>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</si>
  <si>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</si>
  <si>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</si>
  <si>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</si>
  <si>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</si>
  <si>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</si>
  <si>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</si>
  <si>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</si>
  <si>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</si>
  <si>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</si>
  <si>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</si>
  <si>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</si>
  <si>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</si>
  <si>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</si>
  <si>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</si>
  <si>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</si>
  <si>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</si>
  <si>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</si>
  <si>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</si>
  <si>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</si>
  <si>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</si>
  <si>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</si>
  <si>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</si>
  <si>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</si>
  <si>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</si>
  <si>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</si>
  <si>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</si>
  <si>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</si>
  <si>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</si>
  <si>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</si>
  <si>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</si>
  <si>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</si>
  <si>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</si>
  <si>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</si>
  <si>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</si>
  <si>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</si>
  <si>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</si>
  <si>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</si>
  <si>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</si>
  <si>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</si>
  <si>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</si>
  <si>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</si>
  <si>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</si>
  <si>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</si>
  <si>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</si>
  <si>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</si>
  <si>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</si>
  <si>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</si>
  <si>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</si>
  <si>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</si>
  <si>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</si>
  <si>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</si>
  <si>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</si>
  <si>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</si>
  <si>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</si>
  <si>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</si>
  <si>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</si>
  <si>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</si>
  <si>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</si>
  <si>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</si>
  <si>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</si>
  <si>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</si>
  <si>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</si>
  <si>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</si>
  <si>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</si>
  <si>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</si>
  <si>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</si>
  <si>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</si>
  <si>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</si>
  <si>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</si>
  <si>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</si>
  <si>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</si>
  <si>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</si>
  <si>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</si>
  <si>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</si>
  <si>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</si>
  <si>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</si>
  <si>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</si>
  <si>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</si>
  <si>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</si>
  <si>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</si>
  <si>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</si>
  <si>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</si>
  <si>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</si>
  <si>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</si>
  <si>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</si>
  <si>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</si>
  <si>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</si>
  <si>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</si>
  <si>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</si>
  <si>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</si>
  <si>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</si>
  <si>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</si>
  <si>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</si>
  <si>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</si>
  <si>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</si>
  <si>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</si>
  <si>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</si>
  <si>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</si>
  <si>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</si>
  <si>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</si>
  <si>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</si>
  <si>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</si>
  <si>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</si>
  <si>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</si>
  <si>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</si>
  <si>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</si>
  <si>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</si>
  <si>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</si>
  <si>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</si>
  <si>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</si>
  <si>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</si>
  <si>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</si>
  <si>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</si>
  <si>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</si>
  <si>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</si>
  <si>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</si>
  <si>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</si>
  <si>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</si>
  <si>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</si>
  <si>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</si>
  <si>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</si>
  <si>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</si>
  <si>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</si>
  <si>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</si>
  <si>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</si>
  <si>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</si>
  <si>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</si>
  <si>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</si>
  <si>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</si>
  <si>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</si>
  <si>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</si>
  <si>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</si>
  <si>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</si>
  <si>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</si>
  <si>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</si>
  <si>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</si>
  <si>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</si>
  <si>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</si>
  <si>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</si>
  <si>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</si>
  <si>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</si>
  <si>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</si>
  <si>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</si>
  <si>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</si>
  <si>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</si>
  <si>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</si>
  <si>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</si>
  <si>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</si>
  <si>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</si>
  <si>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</si>
  <si>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</si>
  <si>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</si>
  <si>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</si>
  <si>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</si>
  <si>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</si>
  <si>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</si>
  <si>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</si>
  <si>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</si>
  <si>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</si>
  <si>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</si>
  <si>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</si>
  <si>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</si>
  <si>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</si>
  <si>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</si>
  <si>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</si>
  <si>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</si>
  <si>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</si>
  <si>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</si>
  <si>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</si>
  <si>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</si>
  <si>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</si>
  <si>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</si>
  <si>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</si>
  <si>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</si>
  <si>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</si>
  <si>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</si>
  <si>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</si>
  <si>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</si>
  <si>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</si>
  <si>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</si>
  <si>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</si>
  <si>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</si>
  <si>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</si>
  <si>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</si>
  <si>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</si>
  <si>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</si>
  <si>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</si>
  <si>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</si>
  <si>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</si>
  <si>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</si>
  <si>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</si>
  <si>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</si>
  <si>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</si>
  <si>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</si>
  <si>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</si>
  <si>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</si>
  <si>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</si>
  <si>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</si>
  <si>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</si>
  <si>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</si>
  <si>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</si>
  <si>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</si>
  <si>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</si>
  <si>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</si>
  <si>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</si>
  <si>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</si>
  <si>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</si>
  <si>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</si>
  <si>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</si>
  <si>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</si>
  <si>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</si>
  <si>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</si>
  <si>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</si>
  <si>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</si>
  <si>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</si>
  <si>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</si>
  <si>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</si>
  <si>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</si>
  <si>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</si>
  <si>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</si>
  <si>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</si>
  <si>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</si>
  <si>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</si>
  <si>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</si>
  <si>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</si>
  <si>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</si>
  <si>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</si>
  <si>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</si>
  <si>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</si>
  <si>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</si>
  <si>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</si>
  <si>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</si>
  <si>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</si>
  <si>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</si>
  <si>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</si>
  <si>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</si>
  <si>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</si>
  <si>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</si>
  <si>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</si>
  <si>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</si>
  <si>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</si>
  <si>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</si>
  <si>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</si>
  <si>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</si>
  <si>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</si>
  <si>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</si>
  <si>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</si>
  <si>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</si>
  <si>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</si>
  <si>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</si>
  <si>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</si>
  <si>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</si>
  <si>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</si>
  <si>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</si>
  <si>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</si>
  <si>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</si>
  <si>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</si>
  <si>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</si>
  <si>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</si>
  <si>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</si>
  <si>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</si>
  <si>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</si>
  <si>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</si>
  <si>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</si>
  <si>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</si>
  <si>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</si>
  <si>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</si>
  <si>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</si>
  <si>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</si>
  <si>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</si>
  <si>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</si>
  <si>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</si>
  <si>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</si>
  <si>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</si>
  <si>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</si>
  <si>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</si>
  <si>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</si>
  <si>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</si>
  <si>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</si>
  <si>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</si>
  <si>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</si>
  <si>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</si>
  <si>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</si>
  <si>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</si>
  <si>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</si>
  <si>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</si>
  <si>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</si>
  <si>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</si>
  <si>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</si>
  <si>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</si>
  <si>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</si>
  <si>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</si>
  <si>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</si>
  <si>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</si>
  <si>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</si>
  <si>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</si>
  <si>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</si>
  <si>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</si>
  <si>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</si>
  <si>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</si>
  <si>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</si>
  <si>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</si>
  <si>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</si>
  <si>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</si>
  <si>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</si>
  <si>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</si>
  <si>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</si>
  <si>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</si>
  <si>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</si>
  <si>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</si>
  <si>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</si>
  <si>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</si>
  <si>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</si>
  <si>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</si>
  <si>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</si>
  <si>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</si>
  <si>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</si>
  <si>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</si>
  <si>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</si>
  <si>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</si>
  <si>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</si>
  <si>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</si>
  <si>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</si>
  <si>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</si>
  <si>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</si>
  <si>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</si>
  <si>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</si>
  <si>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</si>
  <si>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</si>
  <si>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</si>
  <si>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</si>
  <si>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</si>
  <si>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</si>
  <si>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</si>
  <si>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</si>
  <si>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</si>
  <si>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</si>
  <si>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</si>
  <si>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</si>
  <si>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</si>
  <si>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</si>
  <si>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</si>
  <si>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</si>
  <si>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</si>
  <si>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</si>
  <si>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</si>
  <si>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</si>
  <si>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</si>
  <si>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</si>
  <si>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</si>
  <si>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</si>
  <si>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</si>
  <si>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</si>
  <si>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</si>
  <si>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</si>
  <si>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</si>
  <si>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</si>
  <si>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</si>
  <si>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</si>
  <si>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</si>
  <si>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</si>
  <si>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</si>
  <si>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</si>
  <si>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</si>
  <si>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</si>
  <si>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</si>
  <si>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</si>
  <si>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</si>
  <si>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</si>
  <si>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</si>
  <si>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</si>
  <si>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</si>
  <si>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</si>
  <si>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</si>
  <si>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</si>
  <si>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</si>
  <si>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</si>
  <si>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</si>
  <si>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</si>
  <si>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</si>
  <si>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</si>
  <si>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</si>
  <si>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</si>
  <si>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</si>
  <si>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</si>
  <si>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</si>
  <si>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</si>
  <si>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</si>
  <si>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</si>
  <si>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</si>
  <si>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</si>
  <si>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</si>
  <si>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</si>
  <si>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</si>
  <si>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</si>
  <si>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</si>
  <si>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</si>
  <si>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</si>
  <si>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</si>
  <si>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</si>
  <si>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</si>
  <si>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</si>
  <si>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</si>
  <si>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</si>
  <si>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</si>
  <si>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</si>
  <si>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</si>
  <si>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</si>
  <si>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</si>
  <si>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</si>
  <si>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</si>
  <si>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</si>
  <si>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</si>
  <si>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</si>
  <si>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</si>
  <si>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</si>
  <si>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</si>
  <si>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</si>
  <si>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</si>
  <si>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</si>
  <si>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</si>
  <si>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</si>
  <si>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</si>
  <si>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</si>
  <si>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</si>
  <si>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</si>
  <si>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</si>
  <si>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</si>
  <si>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</si>
  <si>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</si>
  <si>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</si>
  <si>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</si>
  <si>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</si>
  <si>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</si>
  <si>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</si>
  <si>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</si>
  <si>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</si>
  <si>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</si>
  <si>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</si>
  <si>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</si>
  <si>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</si>
  <si>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</si>
  <si>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</si>
  <si>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</si>
  <si>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</si>
  <si>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</si>
  <si>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</si>
  <si>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</si>
  <si>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</si>
  <si>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</si>
  <si>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</si>
  <si>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</si>
  <si>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</si>
  <si>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</si>
  <si>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</si>
  <si>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</si>
  <si>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</si>
  <si>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</si>
  <si>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</si>
  <si>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</si>
  <si>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</si>
  <si>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</si>
  <si>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</si>
  <si>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</si>
  <si>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</si>
  <si>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</si>
  <si>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</si>
  <si>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</si>
  <si>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</si>
  <si>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</si>
  <si>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</si>
  <si>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</si>
  <si>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</si>
  <si>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</si>
  <si>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</si>
  <si>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</si>
  <si>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</si>
  <si>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</si>
  <si>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</si>
  <si>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</si>
  <si>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</si>
  <si>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</si>
  <si>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</si>
  <si>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</si>
  <si>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</si>
  <si>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</si>
  <si>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</si>
  <si>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</si>
  <si>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</si>
  <si>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</si>
  <si>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</si>
  <si>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</si>
  <si>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</si>
  <si>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</si>
  <si>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</si>
  <si>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</si>
  <si>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</si>
  <si>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</si>
  <si>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</si>
  <si>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</si>
  <si>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</si>
  <si>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</si>
  <si>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</si>
  <si>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</si>
  <si>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</si>
  <si>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</si>
  <si>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</si>
  <si>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</si>
  <si>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</si>
  <si>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</si>
  <si>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</si>
  <si>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</si>
  <si>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</si>
  <si>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</si>
  <si>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</si>
  <si>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</si>
  <si>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</si>
  <si>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</si>
  <si>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</si>
  <si>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</si>
  <si>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</si>
  <si>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</si>
  <si>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</si>
  <si>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</si>
  <si>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</si>
  <si>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</si>
  <si>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</si>
  <si>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</si>
  <si>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</si>
  <si>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</si>
  <si>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</si>
  <si>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</si>
  <si>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</si>
  <si>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</si>
  <si>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</si>
  <si>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</si>
  <si>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</si>
  <si>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</si>
  <si>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</si>
  <si>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</si>
  <si>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</si>
  <si>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</si>
  <si>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</si>
  <si>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</si>
  <si>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</si>
  <si>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</si>
  <si>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</si>
  <si>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</si>
  <si>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</si>
  <si>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</si>
  <si>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</si>
  <si>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</si>
  <si>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</si>
  <si>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</si>
  <si>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</si>
  <si>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</si>
  <si>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</si>
  <si>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</si>
  <si>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</si>
  <si>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</si>
  <si>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</si>
  <si>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</si>
  <si>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</si>
  <si>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</si>
  <si>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</si>
  <si>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</si>
  <si>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</si>
  <si>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</si>
  <si>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</si>
  <si>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</si>
  <si>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</si>
  <si>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</si>
  <si>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</si>
  <si>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</si>
  <si>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</si>
  <si>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</si>
  <si>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</si>
  <si>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</si>
  <si>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</si>
  <si>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</si>
  <si>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</si>
  <si>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</si>
  <si>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</si>
  <si>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</si>
  <si>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</si>
  <si>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</si>
  <si>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</si>
  <si>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</si>
  <si>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</si>
  <si>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</si>
  <si>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</si>
  <si>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</si>
  <si>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</si>
  <si>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</si>
  <si>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</si>
  <si>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</si>
  <si>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</si>
  <si>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</si>
  <si>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</si>
  <si>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</si>
  <si>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</si>
  <si>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</si>
  <si>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</si>
  <si>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</si>
  <si>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</si>
  <si>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</si>
  <si>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</si>
  <si>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</si>
  <si>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</si>
  <si>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</si>
  <si>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</si>
  <si>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</si>
  <si>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</si>
  <si>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</si>
  <si>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</si>
  <si>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</si>
  <si>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</si>
  <si>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</si>
  <si>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</si>
  <si>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</si>
  <si>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</si>
  <si>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</si>
  <si>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</si>
  <si>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</si>
  <si>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</si>
  <si>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</si>
  <si>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</si>
  <si>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</si>
  <si>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</si>
  <si>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</si>
  <si>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</si>
  <si>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</si>
  <si>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</si>
  <si>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</si>
  <si>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</si>
  <si>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</si>
  <si>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</si>
  <si>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</si>
  <si>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</si>
  <si>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</si>
  <si>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</si>
  <si>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</si>
  <si>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</si>
  <si>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</si>
  <si>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</si>
  <si>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</si>
  <si>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</si>
  <si>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</si>
  <si>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</si>
  <si>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</si>
  <si>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</si>
  <si>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</si>
  <si>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</si>
  <si>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</si>
  <si>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</si>
  <si>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</si>
  <si>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</si>
  <si>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</si>
  <si>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</si>
  <si>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</si>
  <si>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</si>
  <si>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</si>
  <si>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</si>
  <si>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</si>
  <si>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</si>
  <si>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</si>
  <si>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</si>
  <si>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</si>
  <si>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</si>
  <si>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</si>
  <si>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</si>
  <si>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</si>
  <si>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</si>
  <si>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</si>
  <si>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</si>
  <si>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</si>
  <si>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</si>
  <si>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</si>
  <si>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</si>
  <si>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</si>
  <si>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</si>
  <si>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</si>
  <si>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</si>
  <si>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</si>
  <si>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</si>
  <si>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</si>
  <si>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</si>
  <si>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</si>
  <si>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</si>
  <si>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</si>
  <si>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</si>
  <si>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</si>
  <si>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</si>
  <si>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</si>
  <si>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</si>
  <si>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</si>
  <si>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</si>
  <si>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</si>
  <si>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</si>
  <si>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</si>
  <si>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</si>
  <si>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</si>
  <si>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</si>
  <si>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</si>
  <si>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</si>
  <si>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</si>
  <si>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</si>
  <si>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</si>
  <si>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</si>
  <si>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</si>
  <si>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</si>
  <si>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</si>
  <si>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</si>
  <si>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</si>
  <si>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</si>
  <si>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</si>
  <si>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</si>
  <si>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</si>
  <si>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</si>
  <si>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</si>
  <si>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</si>
  <si>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</si>
  <si>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</si>
  <si>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</si>
  <si>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</si>
  <si>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</si>
  <si>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</si>
  <si>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</si>
  <si>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</si>
  <si>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</si>
  <si>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</si>
  <si>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</si>
  <si>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</si>
  <si>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</si>
  <si>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</si>
  <si>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</si>
  <si>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</si>
  <si>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</si>
  <si>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</si>
  <si>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</si>
  <si>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</si>
  <si>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</si>
  <si>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</si>
  <si>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</si>
  <si>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</si>
  <si>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</si>
  <si>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</si>
  <si>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</si>
  <si>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</si>
  <si>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</si>
  <si>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</si>
  <si>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</si>
  <si>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</si>
  <si>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</si>
  <si>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</si>
  <si>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</si>
  <si>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</si>
  <si>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</si>
  <si>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</si>
  <si>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</si>
  <si>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</si>
  <si>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</si>
  <si>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</si>
  <si>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</si>
  <si>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</si>
  <si>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</si>
  <si>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</si>
  <si>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</si>
  <si>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</si>
  <si>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</si>
  <si>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</si>
  <si>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</si>
  <si>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</si>
  <si>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</si>
  <si>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</si>
  <si>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</si>
  <si>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</si>
  <si>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</si>
  <si>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</si>
  <si>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</si>
  <si>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</si>
  <si>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</si>
  <si>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</si>
  <si>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</si>
  <si>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</si>
  <si>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</si>
  <si>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</si>
  <si>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</si>
  <si>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</si>
  <si>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</si>
  <si>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</si>
  <si>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</si>
  <si>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</si>
  <si>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</si>
  <si>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</si>
  <si>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</si>
  <si>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</si>
  <si>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</si>
  <si>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</si>
  <si>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</si>
  <si>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</si>
  <si>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</si>
  <si>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</si>
  <si>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</si>
  <si>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</si>
  <si>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</si>
  <si>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</si>
  <si>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</si>
  <si>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</si>
  <si>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</si>
  <si>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</si>
  <si>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</si>
  <si>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</si>
  <si>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</si>
  <si>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</si>
  <si>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</si>
  <si>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</si>
  <si>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</si>
  <si>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</si>
  <si>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</si>
  <si>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</si>
  <si>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</si>
  <si>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</si>
  <si>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</si>
  <si>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</si>
  <si>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</si>
  <si>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</si>
  <si>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</si>
  <si>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</si>
  <si>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</si>
  <si>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</si>
  <si>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</si>
  <si>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</si>
  <si>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</si>
  <si>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</si>
  <si>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</si>
  <si>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</si>
  <si>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</si>
  <si>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</si>
  <si>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</si>
  <si>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</si>
  <si>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</si>
  <si>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</si>
  <si>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</si>
  <si>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</si>
  <si>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</si>
  <si>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</si>
  <si>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</si>
  <si>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</si>
  <si>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</si>
  <si>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</si>
  <si>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</si>
  <si>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</si>
  <si>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</si>
  <si>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</si>
  <si>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</si>
  <si>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</si>
  <si>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</si>
  <si>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</si>
  <si>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</si>
  <si>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</si>
  <si>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</si>
  <si>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</si>
  <si>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</si>
  <si>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</si>
  <si>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</si>
  <si>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</si>
  <si>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</si>
  <si>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</si>
  <si>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</si>
  <si>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</si>
  <si>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</si>
  <si>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</si>
  <si>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</si>
  <si>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</si>
  <si>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</si>
  <si>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</si>
  <si>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</si>
  <si>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</si>
  <si>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</si>
  <si>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</si>
  <si>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</si>
  <si>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</si>
  <si>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</si>
  <si>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</si>
  <si>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</si>
  <si>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</si>
  <si>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</si>
  <si>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</si>
  <si>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</si>
  <si>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</si>
  <si>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</si>
  <si>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</si>
  <si>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</si>
  <si>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</si>
  <si>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</si>
  <si>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</si>
  <si>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</si>
  <si>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</si>
  <si>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</si>
  <si>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</si>
  <si>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</si>
  <si>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</si>
  <si>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</si>
  <si>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</si>
  <si>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</si>
  <si>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</si>
  <si>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</si>
  <si>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</si>
  <si>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</si>
  <si>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</si>
  <si>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</si>
  <si>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</si>
  <si>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</si>
  <si>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</si>
  <si>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</si>
  <si>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</si>
  <si>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</si>
  <si>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</si>
  <si>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</si>
  <si>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</si>
  <si>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</si>
  <si>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</si>
  <si>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</si>
  <si>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</si>
  <si>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</si>
  <si>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</si>
  <si>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</si>
  <si>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</si>
  <si>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</si>
  <si>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</si>
  <si>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</si>
  <si>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</si>
  <si>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</si>
  <si>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</si>
  <si>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</si>
  <si>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</si>
  <si>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</si>
  <si>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</si>
  <si>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</si>
  <si>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</si>
  <si>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</si>
  <si>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</si>
  <si>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</si>
  <si>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</si>
  <si>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</si>
  <si>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</si>
  <si>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</si>
  <si>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</si>
  <si>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</si>
  <si>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</si>
  <si>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</si>
  <si>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</si>
  <si>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</si>
  <si>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</si>
  <si>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</si>
  <si>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</si>
  <si>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</si>
  <si>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</si>
  <si>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</si>
  <si>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</si>
  <si>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</si>
  <si>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</si>
  <si>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</si>
  <si>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</si>
  <si>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</si>
  <si>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</si>
  <si>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</si>
  <si>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</si>
  <si>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</si>
  <si>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</si>
  <si>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</si>
  <si>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</si>
  <si>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</si>
  <si>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</si>
  <si>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</si>
  <si>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</si>
  <si>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</si>
  <si>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</si>
  <si>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</si>
  <si>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</si>
  <si>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</si>
  <si>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</si>
  <si>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</si>
  <si>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</si>
  <si>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</si>
  <si>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</si>
  <si>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</si>
  <si>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</si>
  <si>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</si>
  <si>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</si>
  <si>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</si>
  <si>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</si>
  <si>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</si>
  <si>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</si>
  <si>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</si>
  <si>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</si>
  <si>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</si>
  <si>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</si>
  <si>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</si>
  <si>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</si>
  <si>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</si>
  <si>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</si>
  <si>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</si>
  <si>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</si>
  <si>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</si>
  <si>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</si>
  <si>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</si>
  <si>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</si>
  <si>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</si>
  <si>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</si>
  <si>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</si>
  <si>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</si>
  <si>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</si>
  <si>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</si>
  <si>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</si>
  <si>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</si>
  <si>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</si>
  <si>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</si>
  <si>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</si>
  <si>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</si>
  <si>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</si>
  <si>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</si>
  <si>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</si>
  <si>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</si>
  <si>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</si>
  <si>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</si>
  <si>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</si>
  <si>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</si>
  <si>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</si>
  <si>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</si>
  <si>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</si>
  <si>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</si>
  <si>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</si>
  <si>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</si>
  <si>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</si>
  <si>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</si>
  <si>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</si>
  <si>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</si>
  <si>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</si>
  <si>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</si>
  <si>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</si>
  <si>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</si>
  <si>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</si>
  <si>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</si>
  <si>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</si>
  <si>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</si>
  <si>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</si>
  <si>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</si>
  <si>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</si>
  <si>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</si>
  <si>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</si>
  <si>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</si>
  <si>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</si>
  <si>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</si>
  <si>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</si>
  <si>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</si>
  <si>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</si>
  <si>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</si>
  <si>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</si>
  <si>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</si>
  <si>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</si>
  <si>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</si>
  <si>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</si>
  <si>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</si>
  <si>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</si>
  <si>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</si>
  <si>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</si>
  <si>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</si>
  <si>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</si>
  <si>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</si>
  <si>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</si>
  <si>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</si>
  <si>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</si>
  <si>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</si>
  <si>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</si>
  <si>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</si>
  <si>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</si>
  <si>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</si>
  <si>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</si>
  <si>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</si>
  <si>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</si>
  <si>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</si>
  <si>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</si>
  <si>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</si>
  <si>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</si>
  <si>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</si>
  <si>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</si>
  <si>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</si>
  <si>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</si>
  <si>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</si>
  <si>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</si>
  <si>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</si>
  <si>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</si>
  <si>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</si>
  <si>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</si>
  <si>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</si>
  <si>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</si>
  <si>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</si>
  <si>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</si>
  <si>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</si>
  <si>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</si>
  <si>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</si>
  <si>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</si>
  <si>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</si>
  <si>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</si>
  <si>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</si>
  <si>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</si>
  <si>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</si>
  <si>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</si>
  <si>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</si>
  <si>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</si>
  <si>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</si>
  <si>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</si>
  <si>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</si>
  <si>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</si>
  <si>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</si>
  <si>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</si>
  <si>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</si>
  <si>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</si>
  <si>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</si>
  <si>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</si>
  <si>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</si>
  <si>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</si>
  <si>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</si>
  <si>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</si>
  <si>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</si>
  <si>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</si>
  <si>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</si>
  <si>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</si>
  <si>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</si>
  <si>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</si>
  <si>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</si>
  <si>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</si>
  <si>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</si>
  <si>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</si>
  <si>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</si>
  <si>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</si>
  <si>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</si>
  <si>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</si>
  <si>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</si>
  <si>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</si>
  <si>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</si>
  <si>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</si>
  <si>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</si>
  <si>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</si>
  <si>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</si>
  <si>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</si>
  <si>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</si>
  <si>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</si>
  <si>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</si>
  <si>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</si>
  <si>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</si>
  <si>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</si>
  <si>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</si>
  <si>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</si>
  <si>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</si>
  <si>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</si>
  <si>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</si>
  <si>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</si>
  <si>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</si>
  <si>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</si>
  <si>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</si>
  <si>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</si>
  <si>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</si>
  <si>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</si>
  <si>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</si>
  <si>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</si>
  <si>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</si>
  <si>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</si>
  <si>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</si>
  <si>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</si>
  <si>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</si>
  <si>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</si>
  <si>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</si>
  <si>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</si>
  <si>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</si>
  <si>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</si>
  <si>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</si>
  <si>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</si>
  <si>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</si>
  <si>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</si>
  <si>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</si>
  <si>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</si>
  <si>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</si>
  <si>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</si>
  <si>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</si>
  <si>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</si>
  <si>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</si>
  <si>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</si>
  <si>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</si>
  <si>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</si>
  <si>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</si>
  <si>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</si>
  <si>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</si>
  <si>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</si>
  <si>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</si>
  <si>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</si>
  <si>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</si>
  <si>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</si>
  <si>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</si>
  <si>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</si>
  <si>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</si>
  <si>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</si>
  <si>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</si>
  <si>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</si>
  <si>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</si>
  <si>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</si>
  <si>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</si>
  <si>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</si>
  <si>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</si>
  <si>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</si>
  <si>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</si>
  <si>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</si>
  <si>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</si>
  <si>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</si>
  <si>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</si>
  <si>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</si>
  <si>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</si>
  <si>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</si>
  <si>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</si>
  <si>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</si>
  <si>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</si>
  <si>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</si>
  <si>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</si>
  <si>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</si>
  <si>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</si>
  <si>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</si>
  <si>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</si>
  <si>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</si>
  <si>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</si>
  <si>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</si>
  <si>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</si>
  <si>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</si>
  <si>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</si>
  <si>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</si>
  <si>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</si>
  <si>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</si>
  <si>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</si>
  <si>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</si>
  <si>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</si>
  <si>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</si>
  <si>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</si>
  <si>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</si>
  <si>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</si>
  <si>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</si>
  <si>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</si>
  <si>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</si>
  <si>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</si>
  <si>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</si>
  <si>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</si>
  <si>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</si>
  <si>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</si>
  <si>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</si>
  <si>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</si>
  <si>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</si>
  <si>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</si>
  <si>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</si>
  <si>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</si>
  <si>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</si>
  <si>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</si>
  <si>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</si>
  <si>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</si>
  <si>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</si>
  <si>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</si>
  <si>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</si>
  <si>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</si>
  <si>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</si>
  <si>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</si>
  <si>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</si>
  <si>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</si>
  <si>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</si>
  <si>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</si>
  <si>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</si>
  <si>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</si>
  <si>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</si>
  <si>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</si>
  <si>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</si>
  <si>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</si>
  <si>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</si>
  <si>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</si>
  <si>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</si>
  <si>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</si>
  <si>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</si>
  <si>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</si>
  <si>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</si>
  <si>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</si>
  <si>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</si>
  <si>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</si>
  <si>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</si>
  <si>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</si>
  <si>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</si>
  <si>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</si>
  <si>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</si>
  <si>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</si>
  <si>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</si>
  <si>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</si>
  <si>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</si>
  <si>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</si>
  <si>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</si>
  <si>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</si>
  <si>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</si>
  <si>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</si>
  <si>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</si>
  <si>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</si>
  <si>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</si>
  <si>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</si>
  <si>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</si>
  <si>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</si>
  <si>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</si>
  <si>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</si>
  <si>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</si>
  <si>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</si>
  <si>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</si>
  <si>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</si>
  <si>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</si>
  <si>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</si>
  <si>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</si>
  <si>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</si>
  <si>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</si>
  <si>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</si>
  <si>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</si>
  <si>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</si>
  <si>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</si>
  <si>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</si>
  <si>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</si>
  <si>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</si>
  <si>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</si>
  <si>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</si>
  <si>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</si>
  <si>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</si>
  <si>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</si>
  <si>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</si>
  <si>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</si>
  <si>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</si>
  <si>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</si>
  <si>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</si>
  <si>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</si>
  <si>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</si>
  <si>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</si>
  <si>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</si>
  <si>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</si>
  <si>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</si>
  <si>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</si>
  <si>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</si>
  <si>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</si>
  <si>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</si>
  <si>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</si>
  <si>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</si>
  <si>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</si>
  <si>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</si>
  <si>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</si>
  <si>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</si>
  <si>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</si>
  <si>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</si>
  <si>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</si>
  <si>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</si>
  <si>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</si>
  <si>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</si>
  <si>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</si>
  <si>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</si>
  <si>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</si>
  <si>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</si>
  <si>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</si>
  <si>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</si>
  <si>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</si>
  <si>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</si>
  <si>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</si>
  <si>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</si>
  <si>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</si>
  <si>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</si>
  <si>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</si>
  <si>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</si>
  <si>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</si>
  <si>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</si>
  <si>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</si>
  <si>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</si>
  <si>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</si>
  <si>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</si>
  <si>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</si>
  <si>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</si>
  <si>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</si>
  <si>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</si>
  <si>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</si>
  <si>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</si>
  <si>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</si>
  <si>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</si>
  <si>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</si>
  <si>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</si>
  <si>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</si>
  <si>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</si>
  <si>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</si>
  <si>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</si>
  <si>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</si>
  <si>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</si>
  <si>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</si>
  <si>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</si>
  <si>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</si>
  <si>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</si>
  <si>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</si>
  <si>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</si>
  <si>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</si>
  <si>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</si>
  <si>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</si>
  <si>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</si>
  <si>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</si>
  <si>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</si>
  <si>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</si>
  <si>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</si>
  <si>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</si>
  <si>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</si>
  <si>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</si>
  <si>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</si>
  <si>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</si>
  <si>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</si>
  <si>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</si>
  <si>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</si>
  <si>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</si>
  <si>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</si>
  <si>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</si>
  <si>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</si>
  <si>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</si>
  <si>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</si>
  <si>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</si>
  <si>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</si>
  <si>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</si>
  <si>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</si>
  <si>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</si>
  <si>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</si>
  <si>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</si>
  <si>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</si>
  <si>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</si>
  <si>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</si>
  <si>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</si>
  <si>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</si>
  <si>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</si>
  <si>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</si>
  <si>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</si>
  <si>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</si>
  <si>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</si>
  <si>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</si>
  <si>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</si>
  <si>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</si>
  <si>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</si>
  <si>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</si>
  <si>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</si>
  <si>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</si>
  <si>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</si>
  <si>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</si>
  <si>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</si>
  <si>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</si>
  <si>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</si>
  <si>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</si>
  <si>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</si>
  <si>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</si>
  <si>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</si>
  <si>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</si>
  <si>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</si>
  <si>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</si>
  <si>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</si>
  <si>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</si>
  <si>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</si>
  <si>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</si>
  <si>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</si>
  <si>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</si>
  <si>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</si>
  <si>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</si>
  <si>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</si>
  <si>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</si>
  <si>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</si>
  <si>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</si>
  <si>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</si>
  <si>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</si>
  <si>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</si>
  <si>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</si>
  <si>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</si>
  <si>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</si>
  <si>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</si>
  <si>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</si>
  <si>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</si>
  <si>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</si>
  <si>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</si>
  <si>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</si>
  <si>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</si>
  <si>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</si>
  <si>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</si>
  <si>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</si>
  <si>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</si>
  <si>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</si>
  <si>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</si>
  <si>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</si>
  <si>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</si>
  <si>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</si>
  <si>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</si>
  <si>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</si>
  <si>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</si>
  <si>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</si>
  <si>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</si>
  <si>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</si>
  <si>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</si>
  <si>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</si>
  <si>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</si>
  <si>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</si>
  <si>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</si>
  <si>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</si>
  <si>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</si>
  <si>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</si>
  <si>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</si>
  <si>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</si>
  <si>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</si>
  <si>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</si>
  <si>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</si>
  <si>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</si>
  <si>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</si>
  <si>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</si>
  <si>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</si>
  <si>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</si>
  <si>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</si>
  <si>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</si>
  <si>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</si>
  <si>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</si>
  <si>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</si>
  <si>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</si>
  <si>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</si>
  <si>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</si>
  <si>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</si>
  <si>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</si>
  <si>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</si>
  <si>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</si>
  <si>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</si>
  <si>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</si>
  <si>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</si>
  <si>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</si>
  <si>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</si>
  <si>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</si>
  <si>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</si>
  <si>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</si>
  <si>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</si>
  <si>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</si>
  <si>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</si>
  <si>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</si>
  <si>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</si>
  <si>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</si>
  <si>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</si>
  <si>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</si>
  <si>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</si>
  <si>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</si>
  <si>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</si>
  <si>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</si>
  <si>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</si>
  <si>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</si>
  <si>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</si>
  <si>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</si>
  <si>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</si>
  <si>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</si>
  <si>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</si>
  <si>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</si>
  <si>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</si>
  <si>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</si>
  <si>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</si>
  <si>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</si>
  <si>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</si>
  <si>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</si>
  <si>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</si>
  <si>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</si>
  <si>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</si>
  <si>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</si>
  <si>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</si>
  <si>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</si>
  <si>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</si>
  <si>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</si>
  <si>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</si>
  <si>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</si>
  <si>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</si>
  <si>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</si>
  <si>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</si>
  <si>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</si>
  <si>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</si>
  <si>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</si>
  <si>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</si>
  <si>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</si>
  <si>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</si>
  <si>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</si>
  <si>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</si>
  <si>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</si>
  <si>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</si>
  <si>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</si>
  <si>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</si>
  <si>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</si>
  <si>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</si>
  <si>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</si>
  <si>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</si>
  <si>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</si>
  <si>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</si>
  <si>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</si>
  <si>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</si>
  <si>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</si>
  <si>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</si>
  <si>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</si>
  <si>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</si>
  <si>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</si>
  <si>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</si>
  <si>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</si>
  <si>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</si>
  <si>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</si>
  <si>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</si>
  <si>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</si>
  <si>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</si>
  <si>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</si>
  <si>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</si>
  <si>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</si>
  <si>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</si>
  <si>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</si>
  <si>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</si>
  <si>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</si>
  <si>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</si>
  <si>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</si>
  <si>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</si>
  <si>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</si>
  <si>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</si>
  <si>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</si>
  <si>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</si>
  <si>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</si>
  <si>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</si>
  <si>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</si>
  <si>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</si>
  <si>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</si>
  <si>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</si>
  <si>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</si>
  <si>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</si>
  <si>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</si>
  <si>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</si>
  <si>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</si>
  <si>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</si>
  <si>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</si>
  <si>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</si>
  <si>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</si>
  <si>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</si>
  <si>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</si>
  <si>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</si>
  <si>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</si>
  <si>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</si>
  <si>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</si>
  <si>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</si>
  <si>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</si>
  <si>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</si>
  <si>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</si>
  <si>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</si>
  <si>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</si>
  <si>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</si>
  <si>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</si>
  <si>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</si>
  <si>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</si>
  <si>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</si>
  <si>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</si>
  <si>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</si>
  <si>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</si>
  <si>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</si>
  <si>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</si>
  <si>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</si>
  <si>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</si>
  <si>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</si>
  <si>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</si>
  <si>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</si>
  <si>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</si>
  <si>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</si>
  <si>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</si>
  <si>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</si>
  <si>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</si>
  <si>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</si>
  <si>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</si>
  <si>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</si>
  <si>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</si>
  <si>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</si>
  <si>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</si>
  <si>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</si>
  <si>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</si>
  <si>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</si>
  <si>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</si>
  <si>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</si>
  <si>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</si>
  <si>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</si>
  <si>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</si>
  <si>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</si>
  <si>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</si>
  <si>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</si>
  <si>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</si>
  <si>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</si>
  <si>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</si>
  <si>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</si>
  <si>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</si>
  <si>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</si>
  <si>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</si>
  <si>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</si>
  <si>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</si>
  <si>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</si>
  <si>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</si>
  <si>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</si>
  <si>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</si>
  <si>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</si>
  <si>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</si>
  <si>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</si>
  <si>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</si>
  <si>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</si>
  <si>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</si>
  <si>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</si>
  <si>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</si>
  <si>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</si>
  <si>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</si>
  <si>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</si>
  <si>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</si>
  <si>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</si>
  <si>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</si>
  <si>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</si>
  <si>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</si>
  <si>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</si>
  <si>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</si>
  <si>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</si>
  <si>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</si>
  <si>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</si>
  <si>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</si>
  <si>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</si>
  <si>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</si>
  <si>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</si>
  <si>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</si>
  <si>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</si>
  <si>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</si>
  <si>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</si>
  <si>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</si>
  <si>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</si>
  <si>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</si>
  <si>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</si>
  <si>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</si>
  <si>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</si>
  <si>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</si>
  <si>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</si>
  <si>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</si>
  <si>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</si>
  <si>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</si>
  <si>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</si>
  <si>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</si>
  <si>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</si>
  <si>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</si>
  <si>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</si>
  <si>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</si>
  <si>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</si>
  <si>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</si>
  <si>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</si>
  <si>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</si>
  <si>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</si>
  <si>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</si>
  <si>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</si>
  <si>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</si>
  <si>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</si>
  <si>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</si>
  <si>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</si>
  <si>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</si>
  <si>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</si>
  <si>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</si>
  <si>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</si>
  <si>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</si>
  <si>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</si>
  <si>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</si>
  <si>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</si>
  <si>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</si>
  <si>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</si>
  <si>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</si>
  <si>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</si>
  <si>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</si>
  <si>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</si>
  <si>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</si>
  <si>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</si>
  <si>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</si>
  <si>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</si>
  <si>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</si>
  <si>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</si>
  <si>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</si>
  <si>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</si>
  <si>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</si>
  <si>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</si>
  <si>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</si>
  <si>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</si>
  <si>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</si>
  <si>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</si>
  <si>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</si>
  <si>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</si>
  <si>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</si>
  <si>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</si>
  <si>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</si>
  <si>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</si>
  <si>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</si>
  <si>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</si>
  <si>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</si>
  <si>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</si>
  <si>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</si>
  <si>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</si>
  <si>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</si>
  <si>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</si>
  <si>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</si>
  <si>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</si>
  <si>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</si>
  <si>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</si>
  <si>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</si>
  <si>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</si>
  <si>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</si>
  <si>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</si>
  <si>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</si>
  <si>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</si>
  <si>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</si>
  <si>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</si>
  <si>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</si>
  <si>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</si>
  <si>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</si>
  <si>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</si>
  <si>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</si>
  <si>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</si>
  <si>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</si>
  <si>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</si>
  <si>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</si>
  <si>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</si>
  <si>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</si>
  <si>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</si>
  <si>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</si>
  <si>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</si>
  <si>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</si>
  <si>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</si>
  <si>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</si>
  <si>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</si>
  <si>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</si>
  <si>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</si>
  <si>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</si>
  <si>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</si>
  <si>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</si>
  <si>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</si>
  <si>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</si>
  <si>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</si>
  <si>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</si>
  <si>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</si>
  <si>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</si>
  <si>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</si>
  <si>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</si>
  <si>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</si>
  <si>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</si>
  <si>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</si>
  <si>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</si>
  <si>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</si>
  <si>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</si>
  <si>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</si>
  <si>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</si>
  <si>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</si>
  <si>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</si>
  <si>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</si>
  <si>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</si>
  <si>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</si>
  <si>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</si>
  <si>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</si>
  <si>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</si>
  <si>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</si>
  <si>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</si>
  <si>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</si>
  <si>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</si>
  <si>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</si>
  <si>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</si>
  <si>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</si>
  <si>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</si>
  <si>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</si>
  <si>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</si>
  <si>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</si>
  <si>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</si>
  <si>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</si>
  <si>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</si>
  <si>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</si>
  <si>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</si>
  <si>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</si>
  <si>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</si>
  <si>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</si>
  <si>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</si>
  <si>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</si>
  <si>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</si>
  <si>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</si>
  <si>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</si>
  <si>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</si>
  <si>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</si>
  <si>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</si>
  <si>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</si>
  <si>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</si>
  <si>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</si>
  <si>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</si>
  <si>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</si>
  <si>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</si>
  <si>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</si>
  <si>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</si>
  <si>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</si>
  <si>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</si>
  <si>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</si>
  <si>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</si>
  <si>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</si>
  <si>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</si>
  <si>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</si>
  <si>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</si>
  <si>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</si>
  <si>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</si>
  <si>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</si>
  <si>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</si>
  <si>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</si>
  <si>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</si>
  <si>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</si>
  <si>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</si>
  <si>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</si>
  <si>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</si>
  <si>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</si>
  <si>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</si>
  <si>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</si>
  <si>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</si>
  <si>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</si>
  <si>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</si>
  <si>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</si>
  <si>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</si>
  <si>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</si>
  <si>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</si>
  <si>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</si>
  <si>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</si>
  <si>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</si>
  <si>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</si>
  <si>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</si>
  <si>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</si>
  <si>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</si>
  <si>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</si>
  <si>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</si>
  <si>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</si>
  <si>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</si>
  <si>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</si>
  <si>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</si>
  <si>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</si>
  <si>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</si>
  <si>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</si>
  <si>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</si>
  <si>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</si>
  <si>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</si>
  <si>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</si>
  <si>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</si>
  <si>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</si>
  <si>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</si>
  <si>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</si>
  <si>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</si>
  <si>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</si>
  <si>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</si>
  <si>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</si>
  <si>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</si>
  <si>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</si>
  <si>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</si>
  <si>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</si>
  <si>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</si>
  <si>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</si>
  <si>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</si>
  <si>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</si>
  <si>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</si>
  <si>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</si>
  <si>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</si>
  <si>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</si>
  <si>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</si>
  <si>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</si>
  <si>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</si>
  <si>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</si>
  <si>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</si>
  <si>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</si>
  <si>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</si>
  <si>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</si>
  <si>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</si>
  <si>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</si>
  <si>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</si>
  <si>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</si>
  <si>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</si>
  <si>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</si>
  <si>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</si>
  <si>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</si>
  <si>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</si>
  <si>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</si>
  <si>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</si>
  <si>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</si>
  <si>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</si>
  <si>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</si>
  <si>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</si>
  <si>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</si>
  <si>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</si>
  <si>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</si>
  <si>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</si>
  <si>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</si>
  <si>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</si>
  <si>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</si>
  <si>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</si>
  <si>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</si>
  <si>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</si>
  <si>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</si>
  <si>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</si>
  <si>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</si>
  <si>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</si>
  <si>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</si>
  <si>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</si>
  <si>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</si>
  <si>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</si>
  <si>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</si>
  <si>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</si>
  <si>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</si>
  <si>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</si>
  <si>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</si>
  <si>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</si>
  <si>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</si>
  <si>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</si>
  <si>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</si>
  <si>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</si>
  <si>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</si>
  <si>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</si>
  <si>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</si>
  <si>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</si>
  <si>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</si>
  <si>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</si>
  <si>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</si>
  <si>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</si>
  <si>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</si>
  <si>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</si>
  <si>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</si>
  <si>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</si>
  <si>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</si>
  <si>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</si>
  <si>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</si>
  <si>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</si>
  <si>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</si>
  <si>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</si>
  <si>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</si>
  <si>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</si>
  <si>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</si>
  <si>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</si>
  <si>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</si>
  <si>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</si>
  <si>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</si>
  <si>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</si>
  <si>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</si>
  <si>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</si>
  <si>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</si>
  <si>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</si>
  <si>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</si>
  <si>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</si>
  <si>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</si>
  <si>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</si>
  <si>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</si>
  <si>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</si>
  <si>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</si>
  <si>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</si>
  <si>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</si>
  <si>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</si>
  <si>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</si>
  <si>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</si>
  <si>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</si>
  <si>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</si>
  <si>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</si>
  <si>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</si>
  <si>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</si>
  <si>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</si>
  <si>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</si>
  <si>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</si>
  <si>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</si>
  <si>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</si>
  <si>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</si>
  <si>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</si>
  <si>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</si>
  <si>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</si>
  <si>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</si>
  <si>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</si>
  <si>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</si>
  <si>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</si>
  <si>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</si>
  <si>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</si>
  <si>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</si>
  <si>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</si>
  <si>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</si>
  <si>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</si>
  <si>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</si>
  <si>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</si>
  <si>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</si>
  <si>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</si>
  <si>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</si>
  <si>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</si>
  <si>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</si>
  <si>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</si>
  <si>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</si>
  <si>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</si>
  <si>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</si>
  <si>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</si>
  <si>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</si>
  <si>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</si>
  <si>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</si>
  <si>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</si>
  <si>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</si>
  <si>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</si>
  <si>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</si>
  <si>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</si>
  <si>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</si>
  <si>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</si>
  <si>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</si>
  <si>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</si>
  <si>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</si>
  <si>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</si>
  <si>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</si>
  <si>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</si>
  <si>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</si>
  <si>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</si>
  <si>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</si>
  <si>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</si>
  <si>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</si>
  <si>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</si>
  <si>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</si>
  <si>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</si>
  <si>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</si>
  <si>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</si>
  <si>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</si>
  <si>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</si>
  <si>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</si>
  <si>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</si>
  <si>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</si>
  <si>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</si>
  <si>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</si>
  <si>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</si>
  <si>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</si>
  <si>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</si>
  <si>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</si>
  <si>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</si>
  <si>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</si>
  <si>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</si>
  <si>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</si>
  <si>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</si>
  <si>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</si>
  <si>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</si>
  <si>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</si>
  <si>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</si>
  <si>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</si>
  <si>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</si>
  <si>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</si>
  <si>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</si>
  <si>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</si>
  <si>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</si>
  <si>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</si>
  <si>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</si>
  <si>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</si>
  <si>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</si>
  <si>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</si>
  <si>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</si>
  <si>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</si>
  <si>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</si>
  <si>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</si>
  <si>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</si>
  <si>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</si>
  <si>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</si>
  <si>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</si>
  <si>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</si>
  <si>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</si>
  <si>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</si>
  <si>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</si>
  <si>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</si>
  <si>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</si>
  <si>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</si>
  <si>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</si>
  <si>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</si>
  <si>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</si>
  <si>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</si>
  <si>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</si>
  <si>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</si>
  <si>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</si>
  <si>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</si>
  <si>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</si>
  <si>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</si>
  <si>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</si>
  <si>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</si>
  <si>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</si>
  <si>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</si>
  <si>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</si>
  <si>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</si>
  <si>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</si>
  <si>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</si>
  <si>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</si>
  <si>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</si>
  <si>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</si>
  <si>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</si>
  <si>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</si>
  <si>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</si>
  <si>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</si>
  <si>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</si>
  <si>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</si>
  <si>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</si>
  <si>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</si>
  <si>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</si>
  <si>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</si>
  <si>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</si>
  <si>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</si>
  <si>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</si>
  <si>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</si>
  <si>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</si>
  <si>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</si>
  <si>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</si>
  <si>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</si>
  <si>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</si>
  <si>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</si>
  <si>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</si>
  <si>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</si>
  <si>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</si>
  <si>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</si>
  <si>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</si>
  <si>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</si>
  <si>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</si>
  <si>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</si>
  <si>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</si>
  <si>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</si>
  <si>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</si>
  <si>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</si>
  <si>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</si>
  <si>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</si>
  <si>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</si>
  <si>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</si>
  <si>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</si>
  <si>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</si>
  <si>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</si>
  <si>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</si>
  <si>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</si>
  <si>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</si>
  <si>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</si>
  <si>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</si>
  <si>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</si>
  <si>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</si>
  <si>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</si>
  <si>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</si>
  <si>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</si>
  <si>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</si>
  <si>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</si>
  <si>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</si>
  <si>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</si>
  <si>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</si>
  <si>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</si>
  <si>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</si>
  <si>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</si>
  <si>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</si>
  <si>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</si>
  <si>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</si>
  <si>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</si>
  <si>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</si>
  <si>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</si>
  <si>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</si>
  <si>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</si>
  <si>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</si>
  <si>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</si>
  <si>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</si>
  <si>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</si>
  <si>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</si>
  <si>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</si>
  <si>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</si>
  <si>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</si>
  <si>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</si>
  <si>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</si>
  <si>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</si>
  <si>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</si>
  <si>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</si>
  <si>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</si>
  <si>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</si>
  <si>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</si>
  <si>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</si>
  <si>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</si>
  <si>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</si>
  <si>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</si>
  <si>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</si>
  <si>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</si>
  <si>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</si>
  <si>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</si>
  <si>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</si>
  <si>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</si>
  <si>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</si>
  <si>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</si>
  <si>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</si>
  <si>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</si>
  <si>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</si>
  <si>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</si>
  <si>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</si>
  <si>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</si>
  <si>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</si>
  <si>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</si>
  <si>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</si>
  <si>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</si>
  <si>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</si>
  <si>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</si>
  <si>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</si>
  <si>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</si>
  <si>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</si>
  <si>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</si>
  <si>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</si>
  <si>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</si>
  <si>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</si>
  <si>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</si>
  <si>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</si>
  <si>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</si>
  <si>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</si>
  <si>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</si>
  <si>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</si>
  <si>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</si>
  <si>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</si>
  <si>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</si>
  <si>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</si>
  <si>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</si>
  <si>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</si>
  <si>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</si>
  <si>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</si>
  <si>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</si>
  <si>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</si>
  <si>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</si>
  <si>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</si>
  <si>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</si>
  <si>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</si>
  <si>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</si>
  <si>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</si>
  <si>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</si>
  <si>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</si>
  <si>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</si>
  <si>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</si>
  <si>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</si>
  <si>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</si>
  <si>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</si>
  <si>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</si>
  <si>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</si>
  <si>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</si>
  <si>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</si>
  <si>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</si>
  <si>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</si>
  <si>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</si>
  <si>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</si>
  <si>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</si>
  <si>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</si>
  <si>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</si>
  <si>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</si>
  <si>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</si>
  <si>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</si>
  <si>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</si>
  <si>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</si>
  <si>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</si>
  <si>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</si>
  <si>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</si>
  <si>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</si>
  <si>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</si>
  <si>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</si>
  <si>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</si>
  <si>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</si>
  <si>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</si>
  <si>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</si>
  <si>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</si>
  <si>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</si>
  <si>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</si>
  <si>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</si>
  <si>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</si>
  <si>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</si>
  <si>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</si>
  <si>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</si>
  <si>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</si>
  <si>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</si>
  <si>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</si>
  <si>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</si>
  <si>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</si>
  <si>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</si>
  <si>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</si>
  <si>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</si>
  <si>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</si>
  <si>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</si>
  <si>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</si>
  <si>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</si>
  <si>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</si>
  <si>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</si>
  <si>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</si>
  <si>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</si>
  <si>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</si>
  <si>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</si>
  <si>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</si>
  <si>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</si>
  <si>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</si>
  <si>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</si>
  <si>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</si>
  <si>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</si>
  <si>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</si>
  <si>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</si>
  <si>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</si>
  <si>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</si>
  <si>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</si>
  <si>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</si>
  <si>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</si>
  <si>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</si>
  <si>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</si>
  <si>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</si>
  <si>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</si>
  <si>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</si>
  <si>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</si>
  <si>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</si>
  <si>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</si>
  <si>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</si>
  <si>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</si>
  <si>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</si>
  <si>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</si>
  <si>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</si>
  <si>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</si>
  <si>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</si>
  <si>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</si>
  <si>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</si>
  <si>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</si>
  <si>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</si>
  <si>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</si>
  <si>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</si>
  <si>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</si>
  <si>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</si>
  <si>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</si>
  <si>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</si>
  <si>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</si>
  <si>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</si>
  <si>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</si>
  <si>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</si>
  <si>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</si>
  <si>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</si>
  <si>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</si>
  <si>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</si>
  <si>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</si>
  <si>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</si>
  <si>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</si>
  <si>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</si>
  <si>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</si>
  <si>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</si>
  <si>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</si>
  <si>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</si>
  <si>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</si>
  <si>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</si>
  <si>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</si>
  <si>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</si>
  <si>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</si>
  <si>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</si>
  <si>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</si>
  <si>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</si>
  <si>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</si>
  <si>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</si>
  <si>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</si>
  <si>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</si>
  <si>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</si>
  <si>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</si>
  <si>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</si>
  <si>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</si>
  <si>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</si>
  <si>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</si>
  <si>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</si>
  <si>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</si>
  <si>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</si>
  <si>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</si>
  <si>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</si>
  <si>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</si>
  <si>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</si>
  <si>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</si>
  <si>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</si>
  <si>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</si>
  <si>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</si>
  <si>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</si>
  <si>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</si>
  <si>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</si>
  <si>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</si>
  <si>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</si>
  <si>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</si>
  <si>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</si>
  <si>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</si>
  <si>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</si>
  <si>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</si>
  <si>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</si>
  <si>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</si>
  <si>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</si>
  <si>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</si>
  <si>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</si>
  <si>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</si>
  <si>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</si>
  <si>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</si>
  <si>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</si>
  <si>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</si>
  <si>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</si>
  <si>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</si>
  <si>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</si>
  <si>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</si>
  <si>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</si>
  <si>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</si>
  <si>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</si>
  <si>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</si>
  <si>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</si>
  <si>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</si>
  <si>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</si>
  <si>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</si>
  <si>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</si>
  <si>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</si>
  <si>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</si>
  <si>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</si>
  <si>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</si>
  <si>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</si>
  <si>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</si>
  <si>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</si>
  <si>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</si>
  <si>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</si>
  <si>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</si>
  <si>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</si>
  <si>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</si>
  <si>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</si>
  <si>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</si>
  <si>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</si>
  <si>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</si>
  <si>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</si>
  <si>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</si>
  <si>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</si>
  <si>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</si>
  <si>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</si>
  <si>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</si>
  <si>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</si>
  <si>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</si>
  <si>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</si>
  <si>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</si>
  <si>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</si>
  <si>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</si>
  <si>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</si>
  <si>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</si>
  <si>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</si>
  <si>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</si>
  <si>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</si>
  <si>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</si>
  <si>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</si>
  <si>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</si>
  <si>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</si>
  <si>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</si>
  <si>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</si>
  <si>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</si>
  <si>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</si>
  <si>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</si>
  <si>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</si>
  <si>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</si>
  <si>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</si>
  <si>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</si>
  <si>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</si>
  <si>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</si>
  <si>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</si>
  <si>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</si>
  <si>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</si>
  <si>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</si>
  <si>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</si>
  <si>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</si>
  <si>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</si>
  <si>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</si>
  <si>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</si>
  <si>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</si>
  <si>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</si>
  <si>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</si>
  <si>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</si>
  <si>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</si>
  <si>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</si>
  <si>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</si>
  <si>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</si>
  <si>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</si>
  <si>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</si>
  <si>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</si>
  <si>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</si>
  <si>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</si>
  <si>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</si>
  <si>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</si>
  <si>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</si>
  <si>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</si>
  <si>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</si>
  <si>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</si>
  <si>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</si>
  <si>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</si>
  <si>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</si>
  <si>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</si>
  <si>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</si>
  <si>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</si>
  <si>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</si>
  <si>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</si>
  <si>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</si>
  <si>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</si>
  <si>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</si>
  <si>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</si>
  <si>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</si>
  <si>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</si>
  <si>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</si>
  <si>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</si>
  <si>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</si>
  <si>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</si>
  <si>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</si>
  <si>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</si>
  <si>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</si>
  <si>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</si>
  <si>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</si>
  <si>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</si>
  <si>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</si>
  <si>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</si>
  <si>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</si>
  <si>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</si>
  <si>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</si>
  <si>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</si>
  <si>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</si>
  <si>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</si>
  <si>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</si>
  <si>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</si>
  <si>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</si>
  <si>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</si>
  <si>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</si>
  <si>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</si>
  <si>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</si>
  <si>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</si>
  <si>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</si>
  <si>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</si>
  <si>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</si>
  <si>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</si>
  <si>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</si>
  <si>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</si>
  <si>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</si>
  <si>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</si>
  <si>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</si>
  <si>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</si>
  <si>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</si>
  <si>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</si>
  <si>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</si>
  <si>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</si>
  <si>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</si>
  <si>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</si>
  <si>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</si>
  <si>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</si>
  <si>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</si>
  <si>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</si>
  <si>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</si>
  <si>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</si>
  <si>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</si>
  <si>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</si>
  <si>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</si>
  <si>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</si>
  <si>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</si>
  <si>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</si>
  <si>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</si>
  <si>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</si>
  <si>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</si>
  <si>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</si>
  <si>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</si>
  <si>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</si>
  <si>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</si>
  <si>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</si>
  <si>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</si>
  <si>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</si>
  <si>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</si>
  <si>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</si>
  <si>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</si>
  <si>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</si>
  <si>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</si>
  <si>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</si>
  <si>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</si>
  <si>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</si>
  <si>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</si>
  <si>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</si>
  <si>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</si>
  <si>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</si>
  <si>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</si>
  <si>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</si>
  <si>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</si>
  <si>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</si>
  <si>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</si>
  <si>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</si>
  <si>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</si>
  <si>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</si>
  <si>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</si>
  <si>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</si>
  <si>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</si>
  <si>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</si>
  <si>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</si>
  <si>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</si>
  <si>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</si>
  <si>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</si>
  <si>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</si>
  <si>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</si>
  <si>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</si>
  <si>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</si>
  <si>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</si>
  <si>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</si>
  <si>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</si>
  <si>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</si>
  <si>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</si>
  <si>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</si>
  <si>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</si>
  <si>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</si>
  <si>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</si>
  <si>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</si>
  <si>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</si>
  <si>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</si>
  <si>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</si>
  <si>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</si>
  <si>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</si>
  <si>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</si>
  <si>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</si>
  <si>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</si>
  <si>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</si>
  <si>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</si>
  <si>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</si>
  <si>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</si>
  <si>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</si>
  <si>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</si>
  <si>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</si>
  <si>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</si>
  <si>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</si>
  <si>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</si>
  <si>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</si>
  <si>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</si>
  <si>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</si>
  <si>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</si>
  <si>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</si>
  <si>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</si>
  <si>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</si>
  <si>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</si>
  <si>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</si>
  <si>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</si>
  <si>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</si>
  <si>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</si>
  <si>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</si>
  <si>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</si>
  <si>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</si>
  <si>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</si>
  <si>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</si>
  <si>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</si>
  <si>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</si>
  <si>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</si>
  <si>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</si>
  <si>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</si>
  <si>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</si>
  <si>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</si>
  <si>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</si>
  <si>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</si>
  <si>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</si>
  <si>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</si>
  <si>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</si>
  <si>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</si>
  <si>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</si>
  <si>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</si>
  <si>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</si>
  <si>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</si>
  <si>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</si>
  <si>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</si>
  <si>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</si>
  <si>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</si>
  <si>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</si>
  <si>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</si>
  <si>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</si>
  <si>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</si>
  <si>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</si>
  <si>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</si>
  <si>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</si>
  <si>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</si>
  <si>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</si>
  <si>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</si>
  <si>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</si>
  <si>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</si>
  <si>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</si>
  <si>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</si>
  <si>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</si>
  <si>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</si>
  <si>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</si>
  <si>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</si>
  <si>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</si>
  <si>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</si>
  <si>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</si>
  <si>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</si>
  <si>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</si>
  <si>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</si>
  <si>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</si>
  <si>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</si>
  <si>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</si>
  <si>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</si>
  <si>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</si>
  <si>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</si>
  <si>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</si>
  <si>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</si>
  <si>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</si>
  <si>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</si>
  <si>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</si>
  <si>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</si>
  <si>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</si>
  <si>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</si>
  <si>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</si>
  <si>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</si>
  <si>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</si>
  <si>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</si>
  <si>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</si>
  <si>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</si>
  <si>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</si>
  <si>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</si>
  <si>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</si>
  <si>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</si>
  <si>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</si>
  <si>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</si>
  <si>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</si>
  <si>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</si>
  <si>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</si>
  <si>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</si>
  <si>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</si>
  <si>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</si>
  <si>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</si>
  <si>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</si>
  <si>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</si>
  <si>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</si>
  <si>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</si>
  <si>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</si>
  <si>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</si>
  <si>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</si>
  <si>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</si>
  <si>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</si>
  <si>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</si>
  <si>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</si>
  <si>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</si>
  <si>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</si>
  <si>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</si>
  <si>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</si>
  <si>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</si>
  <si>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</si>
  <si>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</si>
  <si>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</si>
  <si>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</si>
  <si>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</si>
  <si>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</si>
  <si>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</si>
  <si>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</si>
  <si>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</si>
  <si>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</si>
  <si>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</si>
  <si>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</si>
  <si>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</si>
  <si>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</si>
  <si>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</si>
  <si>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</si>
  <si>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</si>
  <si>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</si>
  <si>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</si>
  <si>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</si>
  <si>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</si>
  <si>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</si>
  <si>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</si>
  <si>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</si>
  <si>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</si>
  <si>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</si>
  <si>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</si>
  <si>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</si>
  <si>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</si>
  <si>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</si>
  <si>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</si>
  <si>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</si>
  <si>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</si>
  <si>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</si>
  <si>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</si>
  <si>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</si>
  <si>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</si>
  <si>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</si>
  <si>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</si>
  <si>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</si>
  <si>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</si>
  <si>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</si>
  <si>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</si>
  <si>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</si>
  <si>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</si>
  <si>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</si>
  <si>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</si>
  <si>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</si>
  <si>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</si>
  <si>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</si>
  <si>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</si>
  <si>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</si>
  <si>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</si>
  <si>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</si>
  <si>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</si>
  <si>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</si>
  <si>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</si>
  <si>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</si>
  <si>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</si>
  <si>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</si>
  <si>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</si>
  <si>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</si>
  <si>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</si>
  <si>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</si>
  <si>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</si>
  <si>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</si>
  <si>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</si>
  <si>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</si>
  <si>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</si>
  <si>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</si>
  <si>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</si>
  <si>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</si>
  <si>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</si>
  <si>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</si>
  <si>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</si>
  <si>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</si>
  <si>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</si>
  <si>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</si>
  <si>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</si>
  <si>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</si>
  <si>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</si>
  <si>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</si>
  <si>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</si>
  <si>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</si>
  <si>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</si>
  <si>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</si>
  <si>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</si>
  <si>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</si>
  <si>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</si>
  <si>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</si>
  <si>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</si>
  <si>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</si>
  <si>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</si>
  <si>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</si>
  <si>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</si>
  <si>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</si>
  <si>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</si>
  <si>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</si>
  <si>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</si>
  <si>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</si>
  <si>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</si>
  <si>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</si>
  <si>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</si>
  <si>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</si>
  <si>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</si>
  <si>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</si>
  <si>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</si>
  <si>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</si>
  <si>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</si>
  <si>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</si>
  <si>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</si>
  <si>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</si>
  <si>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</si>
  <si>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</si>
  <si>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</si>
  <si>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</si>
  <si>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</si>
  <si>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</si>
  <si>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</si>
  <si>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</si>
  <si>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</si>
  <si>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</si>
  <si>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</si>
  <si>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</si>
  <si>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</si>
  <si>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</si>
  <si>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</si>
  <si>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</si>
  <si>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</si>
  <si>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</si>
  <si>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</si>
  <si>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</si>
  <si>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</si>
  <si>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</si>
  <si>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</si>
  <si>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</si>
  <si>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</si>
  <si>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</si>
  <si>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</si>
  <si>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</si>
  <si>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</si>
  <si>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</si>
  <si>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</si>
  <si>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</si>
  <si>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</si>
  <si>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</si>
  <si>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</si>
  <si>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</si>
  <si>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</si>
  <si>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</si>
  <si>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</si>
  <si>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</si>
  <si>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</si>
  <si>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</si>
  <si>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</si>
  <si>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</si>
  <si>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</si>
  <si>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</si>
  <si>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</si>
  <si>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</si>
  <si>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</si>
  <si>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</si>
  <si>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</si>
  <si>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</si>
  <si>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</si>
  <si>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</si>
  <si>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</si>
  <si>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</si>
  <si>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</si>
  <si>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</si>
  <si>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</si>
  <si>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</si>
  <si>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</si>
  <si>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</si>
  <si>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</si>
  <si>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</si>
  <si>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</si>
  <si>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</si>
  <si>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</si>
  <si>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</si>
  <si>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</si>
  <si>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</si>
  <si>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</si>
  <si>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</si>
  <si>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</si>
  <si>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</si>
  <si>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</si>
  <si>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</si>
  <si>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</si>
  <si>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</si>
  <si>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</si>
  <si>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</si>
  <si>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</si>
  <si>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</si>
  <si>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</si>
  <si>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</si>
  <si>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</si>
  <si>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</si>
  <si>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</si>
  <si>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</si>
  <si>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</si>
  <si>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</si>
  <si>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</si>
  <si>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</si>
  <si>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</si>
  <si>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</si>
  <si>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</si>
  <si>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</si>
  <si>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</si>
  <si>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</si>
  <si>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</si>
  <si>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</si>
  <si>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</si>
  <si>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</si>
  <si>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</si>
  <si>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</si>
  <si>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</si>
  <si>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</si>
  <si>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</si>
  <si>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</si>
  <si>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</si>
  <si>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</si>
  <si>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</si>
  <si>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</si>
  <si>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</si>
  <si>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</si>
  <si>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</si>
  <si>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</si>
  <si>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</si>
  <si>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</si>
  <si>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</si>
  <si>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</si>
  <si>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</si>
  <si>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</si>
  <si>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</si>
  <si>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</si>
  <si>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</si>
  <si>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</si>
  <si>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</si>
  <si>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</si>
  <si>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</si>
  <si>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</si>
  <si>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</si>
  <si>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</si>
  <si>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</si>
  <si>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</si>
  <si>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</si>
  <si>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</si>
  <si>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</si>
  <si>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</si>
  <si>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</si>
  <si>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</si>
  <si>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</si>
  <si>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</si>
  <si>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</si>
  <si>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</si>
  <si>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</si>
  <si>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</si>
  <si>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</si>
  <si>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</si>
  <si>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</si>
  <si>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</si>
  <si>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</si>
  <si>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</si>
  <si>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</si>
  <si>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</si>
  <si>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</si>
  <si>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</si>
  <si>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</si>
  <si>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</si>
  <si>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</si>
  <si>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</si>
  <si>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</si>
  <si>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</si>
  <si>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</si>
  <si>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</si>
  <si>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</si>
  <si>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</si>
  <si>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</si>
  <si>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</si>
  <si>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</si>
  <si>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</si>
  <si>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</si>
  <si>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</si>
  <si>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</si>
  <si>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</si>
  <si>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</si>
  <si>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</si>
  <si>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</si>
  <si>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</si>
  <si>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</si>
  <si>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</si>
  <si>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</si>
  <si>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</si>
  <si>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</si>
  <si>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</si>
  <si>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</si>
  <si>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</si>
  <si>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</si>
  <si>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</si>
  <si>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</si>
  <si>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</si>
  <si>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</si>
  <si>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</si>
  <si>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</si>
  <si>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</si>
  <si>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</si>
  <si>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</si>
  <si>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</si>
  <si>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</si>
  <si>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</si>
  <si>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</si>
  <si>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</si>
  <si>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</si>
  <si>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</si>
  <si>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</si>
  <si>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</si>
  <si>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</si>
  <si>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</si>
  <si>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</si>
  <si>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</si>
  <si>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</si>
  <si>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</si>
  <si>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</si>
  <si>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</si>
  <si>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</si>
  <si>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</si>
  <si>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</si>
  <si>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</si>
  <si>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</si>
  <si>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</si>
  <si>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</si>
  <si>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</si>
  <si>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</si>
  <si>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</si>
  <si>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</si>
  <si>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</si>
  <si>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</si>
  <si>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</si>
  <si>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</si>
  <si>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</si>
  <si>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</si>
  <si>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</si>
  <si>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</si>
  <si>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</si>
  <si>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</si>
  <si>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</si>
  <si>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</si>
  <si>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</si>
  <si>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</si>
  <si>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</si>
  <si>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</si>
  <si>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</si>
  <si>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</si>
  <si>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</si>
  <si>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</si>
  <si>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</si>
  <si>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</si>
  <si>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</si>
  <si>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</si>
  <si>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</si>
  <si>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</si>
  <si>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</si>
  <si>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</si>
  <si>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</si>
  <si>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</si>
  <si>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</si>
  <si>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</si>
  <si>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</si>
  <si>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</si>
  <si>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</si>
  <si>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</si>
  <si>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</si>
  <si>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</si>
  <si>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</si>
  <si>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</si>
  <si>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</si>
  <si>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</si>
  <si>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</si>
  <si>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</si>
  <si>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</si>
  <si>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</si>
  <si>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</si>
  <si>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</si>
  <si>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</si>
  <si>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</si>
  <si>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</si>
  <si>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</si>
  <si>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</si>
  <si>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</si>
  <si>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</si>
  <si>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</si>
  <si>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</si>
  <si>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</si>
  <si>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</si>
  <si>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</si>
  <si>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</si>
  <si>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</si>
  <si>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</si>
  <si>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</si>
  <si>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</si>
  <si>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</si>
  <si>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</si>
  <si>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</si>
  <si>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</si>
  <si>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</si>
  <si>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</si>
  <si>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</si>
  <si>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</si>
  <si>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</si>
  <si>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</si>
  <si>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</si>
  <si>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</si>
  <si>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</si>
  <si>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</si>
  <si>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</si>
  <si>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</si>
  <si>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</si>
  <si>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</si>
  <si>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</si>
  <si>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</si>
  <si>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</si>
  <si>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</si>
  <si>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</si>
  <si>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</si>
  <si>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</si>
  <si>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</si>
  <si>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</si>
  <si>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</si>
  <si>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</si>
  <si>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</si>
  <si>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</si>
  <si>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</si>
  <si>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</si>
  <si>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</si>
  <si>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</si>
  <si>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</si>
  <si>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</si>
  <si>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</si>
  <si>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</si>
  <si>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</si>
  <si>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</si>
  <si>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</si>
  <si>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</si>
  <si>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</si>
  <si>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</si>
  <si>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</si>
  <si>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</si>
  <si>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</si>
  <si>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</si>
  <si>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</si>
  <si>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</si>
  <si>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</si>
  <si>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</si>
  <si>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</si>
  <si>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</si>
  <si>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</si>
  <si>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</si>
  <si>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</si>
  <si>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</si>
  <si>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</si>
  <si>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</si>
  <si>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</si>
  <si>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</si>
  <si>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</si>
  <si>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</si>
  <si>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</si>
  <si>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</si>
  <si>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</si>
  <si>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</si>
  <si>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</si>
  <si>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</si>
  <si>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</si>
  <si>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</si>
  <si>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</si>
  <si>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</si>
  <si>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</si>
  <si>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</si>
  <si>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</si>
  <si>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</si>
  <si>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</si>
  <si>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</si>
  <si>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</si>
  <si>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</si>
  <si>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</si>
  <si>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</si>
  <si>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</si>
  <si>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</si>
  <si>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</si>
  <si>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</si>
  <si>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</si>
  <si>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</si>
  <si>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</si>
  <si>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</si>
  <si>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</si>
  <si>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</si>
  <si>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</si>
  <si>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</si>
  <si>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</si>
  <si>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</si>
  <si>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</si>
  <si>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</si>
  <si>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</si>
  <si>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</si>
  <si>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</si>
  <si>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</si>
  <si>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</si>
  <si>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</si>
  <si>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</si>
  <si>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</si>
  <si>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</si>
  <si>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</si>
  <si>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</si>
  <si>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</si>
  <si>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</si>
  <si>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</si>
  <si>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</si>
  <si>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</si>
  <si>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</si>
  <si>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</si>
  <si>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</si>
  <si>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</si>
  <si>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</si>
  <si>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</si>
  <si>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</si>
  <si>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</si>
  <si>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</si>
  <si>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</si>
  <si>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</si>
  <si>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</si>
  <si>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</si>
  <si>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</si>
  <si>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</si>
  <si>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</si>
  <si>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</si>
  <si>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</si>
  <si>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</si>
  <si>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</si>
  <si>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</si>
  <si>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</si>
  <si>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</si>
  <si>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</si>
  <si>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</si>
  <si>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</si>
  <si>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</si>
  <si>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</si>
  <si>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</si>
  <si>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</si>
  <si>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</si>
  <si>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</si>
  <si>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</si>
  <si>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</si>
  <si>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</si>
  <si>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</si>
  <si>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</si>
  <si>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</si>
  <si>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</si>
  <si>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</si>
  <si>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</si>
  <si>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</si>
  <si>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</si>
  <si>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</si>
  <si>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</si>
  <si>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</si>
  <si>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</si>
  <si>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</si>
  <si>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</si>
  <si>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</si>
  <si>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</si>
  <si>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</si>
  <si>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</si>
  <si>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</si>
  <si>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</si>
  <si>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</si>
  <si>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</si>
  <si>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</si>
  <si>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</si>
  <si>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</si>
  <si>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</si>
  <si>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</si>
  <si>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</si>
  <si>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</si>
  <si>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</si>
  <si>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</si>
  <si>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</si>
  <si>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</si>
  <si>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</si>
  <si>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</si>
  <si>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</si>
  <si>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</si>
  <si>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</si>
  <si>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</si>
  <si>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</si>
  <si>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</si>
  <si>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</si>
  <si>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</si>
  <si>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</si>
  <si>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</si>
  <si>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</si>
  <si>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</si>
  <si>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</si>
  <si>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</si>
  <si>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</si>
  <si>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</si>
  <si>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</si>
  <si>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</si>
  <si>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</si>
  <si>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</si>
  <si>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</si>
  <si>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</si>
  <si>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</si>
  <si>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</si>
  <si>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</si>
  <si>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</si>
  <si>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</si>
  <si>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</si>
  <si>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</si>
  <si>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</si>
  <si>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</si>
  <si>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</si>
  <si>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</si>
  <si>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</si>
  <si>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</si>
  <si>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</si>
  <si>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</si>
  <si>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</si>
  <si>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</si>
  <si>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</si>
  <si>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</si>
  <si>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</si>
  <si>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</si>
  <si>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</si>
  <si>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</si>
  <si>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</si>
  <si>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</si>
  <si>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</si>
  <si>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</si>
  <si>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</si>
  <si>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</si>
  <si>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</si>
  <si>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</si>
  <si>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</si>
  <si>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</si>
  <si>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</si>
  <si>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</si>
  <si>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</si>
  <si>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</si>
  <si>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</si>
  <si>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</si>
  <si>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</si>
  <si>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</si>
  <si>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</si>
  <si>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</si>
  <si>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</si>
  <si>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</si>
  <si>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</si>
  <si>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</si>
  <si>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</si>
  <si>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</si>
  <si>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</si>
  <si>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</si>
  <si>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</si>
  <si>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</si>
  <si>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</si>
  <si>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</si>
  <si>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</si>
  <si>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</si>
  <si>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</si>
  <si>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</si>
  <si>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</si>
  <si>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</si>
  <si>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</si>
  <si>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</si>
  <si>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</si>
  <si>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</si>
  <si>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</si>
  <si>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</si>
  <si>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</si>
  <si>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</si>
  <si>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</si>
  <si>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</si>
  <si>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</si>
  <si>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</si>
  <si>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</si>
  <si>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</si>
  <si>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</si>
  <si>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</si>
  <si>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</si>
  <si>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</si>
  <si>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</si>
  <si>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</si>
  <si>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</si>
  <si>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</si>
  <si>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</si>
  <si>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</si>
  <si>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</si>
  <si>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</si>
  <si>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</si>
  <si>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</si>
  <si>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</si>
  <si>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</si>
  <si>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</si>
  <si>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</si>
  <si>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</si>
  <si>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</si>
  <si>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</si>
  <si>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</si>
  <si>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</si>
  <si>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</si>
  <si>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</si>
  <si>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</si>
  <si>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</si>
  <si>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</si>
  <si>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</si>
  <si>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</si>
  <si>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</si>
  <si>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</si>
  <si>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</si>
  <si>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</si>
  <si>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</si>
  <si>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</si>
  <si>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</si>
  <si>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</si>
  <si>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</si>
  <si>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</si>
  <si>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</si>
  <si>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</si>
  <si>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</si>
  <si>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</si>
  <si>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</si>
  <si>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</si>
  <si>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</si>
  <si>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</si>
  <si>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</si>
  <si>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</si>
  <si>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</si>
  <si>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</si>
  <si>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</si>
  <si>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</si>
  <si>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</si>
  <si>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</si>
  <si>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</si>
  <si>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</si>
  <si>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</si>
  <si>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</si>
  <si>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</si>
  <si>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</si>
  <si>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</si>
  <si>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</si>
  <si>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</si>
  <si>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</si>
  <si>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</si>
  <si>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</si>
  <si>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</si>
  <si>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</si>
  <si>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</si>
  <si>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</si>
  <si>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</si>
  <si>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</si>
  <si>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</si>
  <si>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</si>
  <si>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</si>
  <si>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</si>
  <si>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</si>
  <si>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</si>
  <si>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</si>
  <si>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</si>
  <si>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</si>
  <si>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</si>
  <si>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</si>
  <si>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</si>
  <si>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</si>
  <si>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</si>
  <si>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</si>
  <si>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</si>
  <si>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</si>
  <si>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</si>
  <si>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</si>
  <si>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</si>
  <si>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</si>
  <si>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</si>
  <si>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</si>
  <si>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</si>
  <si>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</si>
  <si>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</si>
  <si>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</si>
  <si>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</si>
  <si>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</si>
  <si>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</si>
  <si>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</si>
  <si>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</si>
  <si>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</si>
  <si>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</si>
  <si>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</si>
  <si>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</si>
  <si>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</si>
  <si>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</si>
  <si>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</si>
  <si>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</si>
  <si>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</si>
  <si>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</si>
  <si>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</si>
  <si>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</si>
  <si>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</si>
  <si>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</si>
  <si>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</si>
  <si>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</si>
  <si>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</si>
  <si>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</si>
  <si>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</si>
  <si>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</si>
  <si>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</si>
  <si>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</si>
  <si>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</si>
  <si>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</si>
  <si>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</si>
  <si>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</si>
  <si>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</si>
  <si>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</si>
  <si>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</si>
  <si>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</si>
  <si>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</si>
  <si>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</si>
  <si>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</si>
  <si>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</si>
  <si>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</si>
  <si>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</si>
  <si>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</si>
  <si>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</si>
  <si>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</si>
  <si>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</si>
  <si>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</si>
  <si>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</si>
  <si>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</si>
  <si>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</si>
  <si>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</si>
  <si>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</si>
  <si>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</si>
  <si>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</si>
  <si>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</si>
  <si>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</si>
  <si>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</si>
  <si>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</si>
  <si>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</si>
  <si>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</si>
  <si>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</si>
  <si>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</si>
  <si>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</si>
  <si>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</si>
  <si>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</si>
  <si>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</si>
  <si>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</si>
  <si>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</si>
  <si>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</si>
  <si>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</si>
  <si>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</si>
  <si>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</si>
  <si>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</si>
  <si>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</si>
  <si>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</si>
  <si>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</si>
  <si>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</si>
  <si>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</si>
  <si>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</si>
  <si>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</si>
  <si>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</si>
  <si>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</si>
  <si>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</si>
  <si>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</si>
  <si>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</si>
  <si>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</si>
  <si>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</si>
  <si>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</si>
  <si>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</si>
  <si>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</si>
  <si>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</si>
  <si>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</si>
  <si>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</si>
  <si>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</si>
  <si>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</si>
  <si>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</si>
  <si>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</si>
  <si>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</si>
  <si>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</si>
  <si>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</si>
  <si>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</si>
  <si>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</si>
  <si>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</si>
  <si>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</si>
  <si>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</si>
  <si>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</si>
  <si>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</si>
  <si>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</si>
  <si>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</si>
  <si>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</si>
  <si>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</si>
  <si>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</si>
  <si>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</si>
  <si>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</si>
  <si>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</si>
  <si>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</si>
  <si>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</si>
  <si>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</si>
  <si>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</si>
  <si>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</si>
  <si>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</si>
  <si>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</si>
  <si>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</si>
  <si>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</si>
  <si>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</si>
  <si>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</si>
  <si>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</si>
  <si>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</si>
  <si>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</si>
  <si>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</si>
  <si>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</si>
  <si>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</si>
  <si>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</si>
  <si>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</si>
  <si>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</si>
  <si>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</si>
  <si>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</si>
  <si>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</si>
  <si>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</si>
  <si>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</si>
  <si>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</si>
  <si>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</si>
  <si>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</si>
  <si>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</si>
  <si>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</si>
  <si>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</si>
  <si>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</si>
  <si>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</si>
  <si>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</si>
  <si>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</si>
  <si>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</si>
  <si>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</si>
  <si>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</si>
  <si>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</si>
  <si>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</si>
  <si>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</si>
  <si>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</si>
  <si>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</si>
  <si>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</si>
  <si>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</si>
  <si>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</si>
  <si>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</si>
  <si>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</si>
  <si>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</si>
  <si>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</si>
  <si>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</si>
  <si>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</si>
  <si>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</si>
  <si>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</si>
  <si>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</si>
  <si>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</si>
  <si>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</si>
  <si>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</si>
  <si>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</si>
  <si>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</si>
  <si>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</si>
  <si>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</si>
  <si>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</si>
  <si>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</si>
  <si>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</si>
  <si>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</si>
  <si>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</si>
  <si>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</si>
  <si>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</si>
  <si>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</si>
  <si>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</si>
  <si>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</si>
  <si>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</si>
  <si>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</si>
  <si>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</si>
  <si>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</si>
  <si>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</si>
  <si>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</si>
  <si>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</si>
  <si>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</si>
  <si>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</si>
  <si>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</si>
  <si>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</si>
  <si>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</si>
  <si>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</si>
  <si>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</si>
  <si>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</si>
  <si>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</si>
  <si>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</si>
  <si>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</si>
  <si>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</si>
  <si>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</si>
  <si>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</si>
  <si>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</si>
  <si>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</si>
  <si>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</si>
  <si>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</si>
  <si>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</si>
  <si>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</si>
  <si>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</si>
  <si>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</si>
  <si>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</si>
  <si>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</si>
  <si>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</si>
  <si>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</si>
  <si>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</si>
  <si>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</si>
  <si>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</si>
  <si>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</si>
  <si>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</si>
  <si>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</si>
  <si>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</si>
  <si>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</si>
  <si>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</si>
  <si>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</si>
  <si>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</si>
  <si>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</si>
  <si>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</si>
  <si>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</si>
  <si>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</si>
  <si>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</si>
  <si>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</si>
  <si>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</si>
  <si>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</si>
  <si>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</si>
  <si>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</si>
  <si>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</si>
  <si>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</si>
  <si>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</si>
  <si>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</si>
  <si>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</si>
  <si>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</si>
  <si>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</si>
  <si>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</si>
  <si>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</si>
  <si>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</si>
  <si>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</si>
  <si>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</si>
  <si>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</si>
  <si>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</si>
  <si>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</si>
  <si>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</si>
  <si>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</si>
  <si>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</si>
  <si>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</si>
  <si>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</si>
  <si>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</si>
  <si>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</si>
  <si>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</si>
  <si>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</si>
  <si>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</si>
  <si>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</si>
  <si>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</si>
  <si>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</si>
  <si>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</si>
  <si>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</si>
  <si>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</si>
  <si>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</si>
  <si>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</si>
  <si>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</si>
  <si>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</si>
  <si>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</si>
  <si>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</si>
  <si>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</si>
  <si>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</si>
  <si>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</si>
  <si>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</si>
  <si>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</si>
  <si>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</si>
  <si>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</si>
  <si>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</si>
  <si>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</si>
  <si>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</si>
  <si>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</si>
  <si>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</si>
  <si>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</si>
  <si>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</si>
  <si>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</si>
  <si>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</si>
  <si>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</si>
  <si>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</si>
  <si>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</si>
  <si>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</si>
  <si>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</si>
  <si>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</si>
  <si>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</si>
  <si>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</si>
  <si>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</si>
  <si>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</si>
  <si>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</si>
  <si>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</si>
  <si>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</si>
  <si>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</si>
  <si>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</si>
  <si>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</si>
  <si>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</si>
  <si>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</si>
  <si>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</si>
  <si>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</si>
  <si>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</si>
  <si>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</si>
  <si>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</si>
  <si>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</si>
  <si>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</si>
  <si>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</si>
  <si>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</si>
  <si>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</si>
  <si>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</si>
  <si>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</si>
  <si>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</si>
  <si>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</si>
  <si>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</si>
  <si>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</si>
  <si>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</si>
  <si>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</si>
  <si>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</si>
  <si>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</si>
  <si>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</si>
  <si>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</si>
  <si>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</si>
  <si>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</si>
  <si>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</si>
  <si>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</si>
  <si>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</si>
  <si>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</si>
  <si>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</si>
  <si>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</si>
  <si>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</si>
  <si>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</si>
  <si>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</si>
  <si>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</si>
  <si>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</si>
  <si>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</si>
  <si>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</si>
  <si>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</si>
  <si>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</si>
  <si>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</si>
  <si>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</si>
  <si>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</si>
  <si>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</si>
  <si>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</si>
  <si>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</si>
  <si>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</si>
  <si>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</si>
  <si>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</si>
  <si>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</si>
  <si>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</si>
  <si>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</si>
  <si>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</si>
  <si>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</si>
  <si>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</si>
  <si>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</si>
  <si>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</si>
  <si>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</si>
  <si>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</si>
  <si>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</si>
  <si>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</si>
  <si>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</si>
  <si>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</si>
  <si>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</si>
  <si>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</si>
  <si>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</si>
  <si>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</si>
  <si>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</si>
  <si>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</si>
  <si>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</si>
  <si>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</si>
  <si>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</si>
  <si>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</si>
  <si>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</si>
  <si>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</si>
  <si>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</si>
  <si>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</si>
  <si>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</si>
  <si>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</si>
  <si>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</si>
  <si>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</si>
  <si>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</si>
  <si>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</si>
  <si>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</si>
  <si>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</si>
  <si>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</si>
  <si>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</si>
  <si>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</si>
  <si>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</si>
  <si>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</si>
  <si>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</si>
  <si>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</si>
  <si>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</si>
  <si>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</si>
  <si>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</si>
  <si>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</si>
  <si>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</si>
  <si>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</si>
  <si>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</si>
  <si>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</si>
  <si>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</si>
  <si>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</si>
  <si>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</si>
  <si>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</si>
  <si>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</si>
  <si>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</si>
  <si>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</si>
  <si>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</si>
  <si>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</si>
  <si>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</si>
  <si>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</si>
  <si>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</si>
  <si>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</si>
  <si>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</si>
  <si>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</si>
  <si>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</si>
  <si>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</si>
  <si>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</si>
  <si>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</si>
  <si>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</si>
  <si>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</si>
  <si>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</si>
  <si>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</si>
  <si>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</si>
  <si>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</si>
  <si>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</si>
  <si>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</si>
  <si>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</si>
  <si>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</si>
  <si>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</si>
  <si>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</si>
  <si>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</si>
  <si>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</si>
  <si>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</si>
  <si>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</si>
  <si>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</si>
  <si>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</si>
  <si>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</si>
  <si>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</si>
  <si>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</si>
  <si>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</si>
  <si>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</si>
  <si>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</si>
  <si>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</si>
  <si>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</si>
  <si>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</si>
  <si>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</si>
  <si>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</si>
  <si>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</si>
  <si>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</si>
  <si>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</si>
  <si>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</si>
  <si>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</si>
  <si>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</si>
  <si>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</si>
  <si>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</si>
  <si>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</si>
  <si>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</si>
  <si>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</si>
  <si>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</si>
  <si>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</si>
  <si>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</si>
  <si>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</si>
  <si>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</si>
  <si>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</si>
  <si>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</si>
  <si>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</si>
  <si>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</si>
  <si>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</si>
  <si>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</si>
  <si>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</si>
  <si>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</si>
  <si>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</si>
  <si>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</si>
  <si>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</si>
  <si>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</si>
  <si>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</si>
  <si>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</si>
  <si>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</si>
  <si>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</si>
  <si>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</si>
  <si>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</si>
  <si>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</si>
  <si>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</si>
  <si>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</si>
  <si>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</si>
  <si>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</si>
  <si>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</si>
  <si>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</si>
  <si>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</si>
  <si>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</si>
  <si>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</si>
  <si>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</si>
  <si>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</si>
  <si>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</si>
  <si>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</si>
  <si>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</si>
  <si>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</si>
  <si>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</si>
  <si>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</si>
  <si>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</si>
  <si>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</si>
  <si>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</si>
  <si>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</si>
  <si>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</si>
  <si>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</si>
  <si>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</si>
  <si>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</si>
  <si>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</si>
  <si>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</si>
  <si>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</si>
  <si>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</si>
  <si>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</si>
  <si>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</si>
  <si>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</si>
  <si>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</si>
  <si>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</si>
  <si>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</si>
  <si>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</si>
  <si>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</si>
  <si>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</si>
  <si>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</si>
  <si>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</si>
  <si>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</si>
  <si>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</si>
  <si>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</si>
  <si>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</si>
  <si>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</si>
  <si>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</si>
  <si>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</si>
  <si>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</si>
  <si>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</si>
  <si>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</si>
  <si>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</si>
  <si>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</si>
  <si>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</si>
  <si>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</si>
  <si>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</si>
  <si>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</si>
  <si>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</si>
  <si>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</si>
  <si>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</si>
  <si>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</si>
  <si>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</si>
  <si>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</si>
  <si>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</si>
  <si>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</si>
  <si>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</si>
  <si>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</si>
  <si>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</si>
  <si>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</si>
  <si>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</si>
  <si>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</si>
  <si>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</si>
  <si>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</si>
  <si>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</si>
  <si>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</si>
  <si>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</si>
  <si>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</si>
  <si>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</si>
  <si>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</si>
  <si>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</si>
  <si>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</si>
  <si>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</si>
  <si>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</si>
  <si>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</si>
  <si>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</si>
  <si>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</si>
  <si>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</si>
  <si>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</si>
  <si>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</si>
  <si>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</si>
  <si>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</si>
  <si>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</si>
  <si>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</si>
  <si>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</si>
  <si>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</si>
  <si>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</si>
  <si>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</si>
  <si>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</si>
  <si>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</si>
  <si>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</si>
  <si>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</si>
  <si>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</si>
  <si>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</si>
  <si>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</si>
  <si>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</si>
  <si>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</si>
  <si>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</si>
  <si>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</si>
  <si>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</si>
  <si>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</si>
  <si>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</si>
  <si>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</si>
  <si>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</si>
  <si>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</si>
  <si>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</si>
  <si>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</si>
  <si>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</si>
  <si>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</si>
  <si>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</si>
  <si>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</si>
  <si>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</si>
  <si>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</si>
  <si>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</si>
  <si>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</si>
  <si>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</si>
  <si>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</si>
  <si>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</si>
  <si>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</si>
  <si>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</si>
  <si>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</si>
  <si>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</si>
  <si>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</si>
  <si>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</si>
  <si>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</si>
  <si>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</si>
  <si>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</si>
  <si>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</si>
  <si>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</si>
  <si>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</si>
  <si>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</si>
  <si>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</si>
  <si>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</si>
  <si>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</si>
  <si>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</si>
  <si>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</si>
  <si>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</si>
  <si>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</si>
  <si>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</si>
  <si>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</si>
  <si>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</si>
  <si>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</si>
  <si>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</si>
  <si>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</si>
  <si>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</si>
  <si>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</si>
  <si>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</si>
  <si>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</si>
  <si>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</si>
  <si>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</si>
  <si>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</si>
  <si>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</si>
  <si>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</si>
  <si>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</si>
  <si>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</si>
  <si>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</si>
  <si>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</si>
  <si>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</si>
  <si>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</si>
  <si>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</si>
  <si>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</si>
  <si>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</si>
  <si>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</si>
  <si>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</si>
  <si>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</si>
  <si>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</si>
  <si>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</si>
  <si>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</si>
  <si>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</si>
  <si>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</si>
  <si>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</si>
  <si>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</si>
  <si>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</si>
  <si>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</si>
  <si>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</si>
  <si>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</si>
  <si>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</si>
  <si>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</si>
  <si>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</si>
  <si>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</si>
  <si>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</si>
  <si>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</si>
  <si>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</si>
  <si>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</si>
  <si>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</si>
  <si>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</si>
  <si>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</si>
  <si>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</si>
  <si>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</si>
  <si>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</si>
  <si>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</si>
  <si>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</si>
  <si>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</si>
  <si>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</si>
  <si>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</si>
  <si>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</si>
  <si>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</si>
  <si>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</si>
  <si>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</si>
  <si>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</si>
  <si>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</si>
  <si>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</si>
  <si>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</si>
  <si>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</si>
  <si>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</si>
  <si>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</si>
  <si>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</si>
  <si>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</si>
  <si>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</si>
  <si>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</si>
  <si>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</si>
  <si>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</si>
  <si>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</si>
  <si>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</si>
  <si>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</si>
  <si>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</si>
  <si>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E121</t>
  </si>
  <si>
    <t>Visiting dog barking</t>
  </si>
  <si>
    <t>C112</t>
  </si>
  <si>
    <t>Bornhoeft</t>
  </si>
  <si>
    <t>Tignino</t>
  </si>
  <si>
    <t>Pet waste not picked up</t>
  </si>
  <si>
    <t>C411</t>
  </si>
  <si>
    <t>Mule</t>
  </si>
  <si>
    <t>Decorations mounted to brick patio</t>
  </si>
  <si>
    <t>A403</t>
  </si>
  <si>
    <t>Connelly</t>
  </si>
  <si>
    <t>C406</t>
  </si>
  <si>
    <t>Soltys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</si>
</sst>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E8" sqref="E8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41395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44656</v>
      </c>
      <c r="F3" s="31" t="s">
        <v>38062</v>
      </c>
      <c r="G3" s="55">
        <v>250</v>
      </c>
      <c r="H3" s="32" t="s">
        <v>8219</v>
      </c>
      <c r="I3" s="33" t="str">
        <f t="shared" ref="I3:I66" si="1">IF(ISERROR(VLOOKUP(H3,table,2,0)),"INVALID",VLOOKUP(H3,table,2,0))</f>
        <v>4050</v>
      </c>
      <c r="J3" s="43" t="str">
        <f t="shared" ref="J3:J66" si="2">IF(ISERROR(VLOOKUP(H3,table,3,0)),"",VLOOKUP(H3,table,3,0))</f>
        <v>Violation</v>
      </c>
      <c r="K3" s="34" t="s">
        <v>44654</v>
      </c>
      <c r="L3" s="52"/>
      <c r="M3" s="52"/>
      <c r="N3" s="84">
        <f ca="1">TODAY()</f>
        <v>41395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41395</v>
      </c>
      <c r="B4" s="44" t="str">
        <f t="shared" ref="B4:B31" si="5">IF(C4="","",B3)</f>
        <v>0554</v>
      </c>
      <c r="C4" s="23" t="s">
        <v>44655</v>
      </c>
      <c r="D4" s="60" t="str">
        <f t="shared" si="0"/>
        <v>01</v>
      </c>
      <c r="E4" s="45" t="s">
        <v>44657</v>
      </c>
      <c r="F4" s="31" t="s">
        <v>38062</v>
      </c>
      <c r="G4" s="56">
        <v>250</v>
      </c>
      <c r="H4" s="21" t="s">
        <v>8219</v>
      </c>
      <c r="I4" s="24" t="str">
        <f t="shared" si="1"/>
        <v>4050</v>
      </c>
      <c r="J4" s="46" t="str">
        <f t="shared" si="2"/>
        <v>Violation</v>
      </c>
      <c r="K4" s="25" t="s">
        <v>44658</v>
      </c>
      <c r="L4" s="52"/>
      <c r="M4" s="52"/>
      <c r="N4" s="84">
        <f ca="1">N3+60</f>
        <v>41455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41395</v>
      </c>
      <c r="B5" s="44" t="str">
        <f t="shared" si="5"/>
        <v>0554</v>
      </c>
      <c r="C5" s="22" t="s">
        <v>44659</v>
      </c>
      <c r="D5" s="60" t="str">
        <f t="shared" si="0"/>
        <v>01</v>
      </c>
      <c r="E5" s="45" t="s">
        <v>44660</v>
      </c>
      <c r="F5" s="31" t="s">
        <v>38062</v>
      </c>
      <c r="G5" s="56">
        <v>100</v>
      </c>
      <c r="H5" s="21" t="s">
        <v>8219</v>
      </c>
      <c r="I5" s="24" t="str">
        <f t="shared" si="1"/>
        <v>4050</v>
      </c>
      <c r="J5" s="46" t="str">
        <f t="shared" si="2"/>
        <v>Violation</v>
      </c>
      <c r="K5" s="25" t="s">
        <v>44661</v>
      </c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>
        <f t="shared" si="4"/>
        <v>41395</v>
      </c>
      <c r="B6" s="44" t="str">
        <f t="shared" si="5"/>
        <v>0554</v>
      </c>
      <c r="C6" s="22" t="s">
        <v>44662</v>
      </c>
      <c r="D6" s="60" t="str">
        <f t="shared" si="0"/>
        <v>01</v>
      </c>
      <c r="E6" s="45" t="s">
        <v>44663</v>
      </c>
      <c r="F6" s="31" t="s">
        <v>38062</v>
      </c>
      <c r="G6" s="56">
        <v>100</v>
      </c>
      <c r="H6" s="21" t="s">
        <v>8219</v>
      </c>
      <c r="I6" s="24" t="str">
        <f t="shared" si="1"/>
        <v>4050</v>
      </c>
      <c r="J6" s="46" t="str">
        <f t="shared" si="2"/>
        <v>Violation</v>
      </c>
      <c r="K6" s="25" t="s">
        <v>44661</v>
      </c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01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>
        <f t="shared" si="4"/>
        <v>41395</v>
      </c>
      <c r="B7" s="44" t="str">
        <f t="shared" si="5"/>
        <v>0554</v>
      </c>
      <c r="C7" s="22" t="s">
        <v>44664</v>
      </c>
      <c r="D7" s="60" t="str">
        <f t="shared" si="0"/>
        <v>01</v>
      </c>
      <c r="E7" s="45" t="s">
        <v>44665</v>
      </c>
      <c r="F7" s="31" t="s">
        <v>38062</v>
      </c>
      <c r="G7" s="56">
        <v>100</v>
      </c>
      <c r="H7" s="21" t="s">
        <v>8219</v>
      </c>
      <c r="I7" s="24" t="str">
        <f t="shared" si="1"/>
        <v>4050</v>
      </c>
      <c r="J7" s="46" t="str">
        <f t="shared" si="2"/>
        <v>Violation</v>
      </c>
      <c r="K7" s="25" t="s">
        <v>44661</v>
      </c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>
        <f t="shared" si="4"/>
        <v>41395</v>
      </c>
      <c r="B8" s="44" t="str">
        <f t="shared" si="5"/>
        <v>0554</v>
      </c>
      <c r="C8" s="22" t="s">
        <v>44655</v>
      </c>
      <c r="D8" s="60" t="str">
        <f t="shared" si="0"/>
        <v>01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01</v>
      </c>
      <c r="BB8" s="54">
        <f t="shared" si="7"/>
        <v>1</v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7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151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E121</v>
      </c>
      <c r="C2" s="3" t="str">
        <f>'Billing Adjustment'!D3</f>
        <v>01</v>
      </c>
      <c r="D2" t="str">
        <f>'Billing Adjustment'!H3</f>
        <v>VI</v>
      </c>
      <c r="E2" s="59">
        <f>IF('Billing Adjustment'!A3="","",'Billing Adjustment'!A3)</f>
        <v>41395</v>
      </c>
      <c r="F2" s="12" t="str">
        <f>'Billing Adjustment'!K3</f>
        <v>Visiting dog barking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250</v>
      </c>
    </row>
    <row r="3" spans="1:8" x14ac:dyDescent="0.2">
      <c r="A3" t="str">
        <f>"00-"&amp;'Billing Adjustment'!B4</f>
        <v>00-0554</v>
      </c>
      <c r="B3" s="3" t="str">
        <f>'Billing Adjustment'!C4</f>
        <v>C112</v>
      </c>
      <c r="C3" s="3" t="str">
        <f>'Billing Adjustment'!D4</f>
        <v>01</v>
      </c>
      <c r="D3" t="str">
        <f>'Billing Adjustment'!H4</f>
        <v>VI</v>
      </c>
      <c r="E3" s="59">
        <f>'Billing Adjustment'!A4</f>
        <v>41395</v>
      </c>
      <c r="F3" s="12" t="str">
        <f>'Billing Adjustment'!K4</f>
        <v>Pet waste not picked up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250</v>
      </c>
    </row>
    <row r="4" spans="1:8" x14ac:dyDescent="0.2">
      <c r="A4" t="str">
        <f>"00-"&amp;'Billing Adjustment'!B5</f>
        <v>00-0554</v>
      </c>
      <c r="B4" s="3" t="str">
        <f>'Billing Adjustment'!C5</f>
        <v>C411</v>
      </c>
      <c r="C4" s="3" t="str">
        <f>'Billing Adjustment'!D5</f>
        <v>01</v>
      </c>
      <c r="D4" t="str">
        <f>'Billing Adjustment'!H5</f>
        <v>VI</v>
      </c>
      <c r="E4" s="59">
        <f>'Billing Adjustment'!A5</f>
        <v>41395</v>
      </c>
      <c r="F4" s="12" t="str">
        <f>'Billing Adjustment'!K5</f>
        <v>Decorations mounted to brick patio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100</v>
      </c>
    </row>
    <row r="5" spans="1:8" x14ac:dyDescent="0.2">
      <c r="A5" t="str">
        <f>"00-"&amp;'Billing Adjustment'!B6</f>
        <v>00-0554</v>
      </c>
      <c r="B5" s="3" t="str">
        <f>'Billing Adjustment'!C6</f>
        <v>A403</v>
      </c>
      <c r="C5" s="3" t="str">
        <f>'Billing Adjustment'!D6</f>
        <v>01</v>
      </c>
      <c r="D5" t="str">
        <f>'Billing Adjustment'!H6</f>
        <v>VI</v>
      </c>
      <c r="E5" s="59">
        <f>'Billing Adjustment'!A6</f>
        <v>41395</v>
      </c>
      <c r="F5" s="12" t="str">
        <f>'Billing Adjustment'!K6</f>
        <v>Decorations mounted to brick patio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100</v>
      </c>
    </row>
    <row r="6" spans="1:8" x14ac:dyDescent="0.2">
      <c r="A6" t="str">
        <f>"00-"&amp;'Billing Adjustment'!B7</f>
        <v>00-0554</v>
      </c>
      <c r="B6" s="3" t="str">
        <f>'Billing Adjustment'!C7</f>
        <v>C406</v>
      </c>
      <c r="C6" s="3" t="str">
        <f>'Billing Adjustment'!D7</f>
        <v>01</v>
      </c>
      <c r="D6" t="str">
        <f>'Billing Adjustment'!H7</f>
        <v>VI</v>
      </c>
      <c r="E6" s="59">
        <f>'Billing Adjustment'!A7</f>
        <v>41395</v>
      </c>
      <c r="F6" s="12" t="str">
        <f>'Billing Adjustment'!K7</f>
        <v>Decorations mounted to brick patio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100</v>
      </c>
    </row>
    <row r="7" spans="1:8" x14ac:dyDescent="0.2">
      <c r="A7" t="str">
        <f>"00-"&amp;'Billing Adjustment'!B8</f>
        <v>00-0554</v>
      </c>
      <c r="B7" s="3" t="str">
        <f>'Billing Adjustment'!C8</f>
        <v>C112</v>
      </c>
      <c r="C7" s="3" t="str">
        <f>'Billing Adjustment'!D8</f>
        <v>01</v>
      </c>
      <c r="D7">
        <f>'Billing Adjustment'!H8</f>
        <v>0</v>
      </c>
      <c r="E7" s="59">
        <f>'Billing Adjustment'!A8</f>
        <v>41395</v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2013-05-01T17:34:18Z</dcterms:modified>
</cp:coreProperties>
</file>