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A366" i="11" s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C400" i="1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C408" i="1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C15" i="1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A48" i="1" s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C95" i="1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A202" i="1" s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9" i="11"/>
  <c r="A70" i="11"/>
  <c r="A50" i="11"/>
  <c r="A29" i="11"/>
  <c r="A202" i="11"/>
  <c r="A190" i="11"/>
  <c r="A46" i="11"/>
  <c r="A42" i="11"/>
  <c r="A30" i="11"/>
  <c r="C14" i="11"/>
  <c r="A14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BA115" i="1"/>
  <c r="C114" i="11"/>
  <c r="BA113" i="1"/>
  <c r="BA107" i="1"/>
  <c r="C155" i="11"/>
  <c r="BA122" i="1"/>
  <c r="BA112" i="1"/>
  <c r="C441" i="11"/>
  <c r="A290" i="11"/>
  <c r="C16" i="11"/>
  <c r="C11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6" i="1"/>
  <c r="C363" i="11"/>
  <c r="BA347" i="1"/>
  <c r="BA331" i="1"/>
  <c r="BA273" i="1"/>
  <c r="BA262" i="1"/>
  <c r="BA254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BA334" i="1"/>
  <c r="BA245" i="1"/>
  <c r="A244" i="11"/>
  <c r="BA199" i="1"/>
  <c r="C198" i="11"/>
  <c r="BA118" i="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A207" i="1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11" i="11"/>
  <c r="A194" i="11"/>
  <c r="C194" i="11"/>
  <c r="A219" i="11"/>
  <c r="A221" i="11" l="1"/>
  <c r="A209" i="11"/>
  <c r="A295" i="11"/>
  <c r="A321" i="11"/>
  <c r="BA208" i="1"/>
  <c r="A117" i="11"/>
  <c r="A183" i="11"/>
  <c r="A265" i="11"/>
  <c r="A301" i="11"/>
  <c r="A269" i="11"/>
  <c r="A243" i="11"/>
  <c r="BA246" i="1"/>
  <c r="A293" i="11"/>
  <c r="A307" i="11"/>
  <c r="A261" i="11"/>
  <c r="BA214" i="1"/>
  <c r="A247" i="11"/>
  <c r="A5" i="11"/>
  <c r="A57" i="11"/>
  <c r="A41" i="11"/>
  <c r="A17" i="11"/>
  <c r="A73" i="11"/>
  <c r="A89" i="11"/>
  <c r="A153" i="11"/>
  <c r="A135" i="11"/>
  <c r="A151" i="11"/>
  <c r="A159" i="11"/>
  <c r="A400" i="11"/>
  <c r="A364" i="11"/>
  <c r="A362" i="11"/>
  <c r="A103" i="11"/>
  <c r="A95" i="11"/>
  <c r="A65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<sst xmlns="http://schemas.openxmlformats.org/spreadsheetml/2006/main" count="89347" uniqueCount="44335">
  <si>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</si>
  <si>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</si>
  <si>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</si>
  <si>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</si>
  <si>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</si>
  <si>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</si>
  <si>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</si>
  <si>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</si>
  <si>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</si>
  <si>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</si>
  <si>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</si>
  <si>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</si>
  <si>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</si>
  <si>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</si>
  <si>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</si>
  <si>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</si>
  <si>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</si>
  <si>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</si>
  <si>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</si>
  <si>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</si>
  <si>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</si>
  <si>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</si>
  <si>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</si>
  <si>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</si>
  <si>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</si>
  <si>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</si>
  <si>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</si>
  <si>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</si>
  <si>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</si>
  <si>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</si>
  <si>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</si>
  <si>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</si>
  <si>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</si>
  <si>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</si>
  <si>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</si>
  <si>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</si>
  <si>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</si>
  <si>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</si>
  <si>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</si>
  <si>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</si>
  <si>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</si>
  <si>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</si>
  <si>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</si>
  <si>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</si>
  <si>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</si>
  <si>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</si>
  <si>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</si>
  <si>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</si>
  <si>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</si>
  <si>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</si>
  <si>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</si>
  <si>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</si>
  <si>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</si>
  <si>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</si>
  <si>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</si>
  <si>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</si>
  <si>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</si>
  <si>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</si>
  <si>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</si>
  <si>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</si>
  <si>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</si>
  <si>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</si>
  <si>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</si>
  <si>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</si>
  <si>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</si>
  <si>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</si>
  <si>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</si>
  <si>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</si>
  <si>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</si>
  <si>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</si>
  <si>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</si>
  <si>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</si>
  <si>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</si>
  <si>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</si>
  <si>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</si>
  <si>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</si>
  <si>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</si>
  <si>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</si>
  <si>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</si>
  <si>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</si>
  <si>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</si>
  <si>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</si>
  <si>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</si>
  <si>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</si>
  <si>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</si>
  <si>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</si>
  <si>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</si>
  <si>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</si>
  <si>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</si>
  <si>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</si>
  <si>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</si>
  <si>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</si>
  <si>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</si>
  <si>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</si>
  <si>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</si>
  <si>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</si>
  <si>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</si>
  <si>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</si>
  <si>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</si>
  <si>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</si>
  <si>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</si>
  <si>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</si>
  <si>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</si>
  <si>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</si>
  <si>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</si>
  <si>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</si>
  <si>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</si>
  <si>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</si>
  <si>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</si>
  <si>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</si>
  <si>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</si>
  <si>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</si>
  <si>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</si>
  <si>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</si>
  <si>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</si>
  <si>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</si>
  <si>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</si>
  <si>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</si>
  <si>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</si>
  <si>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</si>
  <si>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</si>
  <si>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</si>
  <si>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</si>
  <si>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</si>
  <si>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</si>
  <si>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</si>
  <si>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</si>
  <si>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</si>
  <si>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</si>
  <si>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</si>
  <si>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</si>
  <si>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</si>
  <si>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</si>
  <si>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</si>
  <si>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</si>
  <si>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</si>
  <si>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</si>
  <si>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</si>
  <si>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</si>
  <si>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</si>
  <si>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</si>
  <si>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</si>
  <si>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</si>
  <si>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</si>
  <si>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</si>
  <si>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</si>
  <si>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</si>
  <si>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</si>
  <si>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</si>
  <si>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</si>
  <si>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</si>
  <si>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</si>
  <si>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</si>
  <si>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</si>
  <si>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</si>
  <si>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</si>
  <si>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</si>
  <si>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</si>
  <si>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</si>
  <si>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</si>
  <si>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</si>
  <si>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</si>
  <si>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</si>
  <si>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</si>
  <si>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</si>
  <si>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</si>
  <si>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</si>
  <si>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</si>
  <si>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</si>
  <si>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</si>
  <si>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</si>
  <si>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</si>
  <si>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</si>
  <si>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</si>
  <si>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</si>
  <si>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</si>
  <si>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</si>
  <si>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</si>
  <si>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</si>
  <si>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</si>
  <si>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</si>
  <si>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</si>
  <si>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</si>
  <si>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</si>
  <si>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</si>
  <si>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</si>
  <si>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</si>
  <si>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</si>
  <si>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</si>
  <si>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</si>
  <si>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</si>
  <si>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</si>
  <si>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</si>
  <si>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</si>
  <si>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</si>
  <si>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</si>
  <si>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</si>
  <si>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</si>
  <si>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</si>
  <si>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</si>
  <si>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</si>
  <si>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</si>
  <si>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</si>
  <si>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</si>
  <si>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</si>
  <si>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</si>
  <si>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</si>
  <si>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</si>
  <si>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</si>
  <si>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</si>
  <si>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</si>
  <si>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</si>
  <si>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</si>
  <si>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</si>
  <si>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</si>
  <si>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</si>
  <si>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</si>
  <si>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</si>
  <si>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</si>
  <si>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</si>
  <si>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</si>
  <si>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</si>
  <si>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</si>
  <si>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</si>
  <si>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</si>
  <si>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</si>
  <si>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</si>
  <si>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</si>
  <si>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</si>
  <si>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</si>
  <si>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</si>
  <si>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</si>
  <si>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</si>
  <si>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</si>
  <si>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</si>
  <si>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</si>
  <si>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</si>
  <si>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</si>
  <si>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</si>
  <si>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</si>
  <si>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</si>
  <si>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</si>
  <si>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</si>
  <si>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</si>
  <si>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</si>
  <si>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</si>
  <si>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</si>
  <si>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</si>
  <si>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</si>
  <si>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</si>
  <si>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</si>
  <si>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</si>
  <si>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</si>
  <si>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</si>
  <si>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</si>
  <si>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</si>
  <si>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</si>
  <si>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</si>
  <si>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</si>
  <si>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</si>
  <si>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</si>
  <si>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</si>
  <si>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</si>
  <si>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</si>
  <si>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</si>
  <si>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</si>
  <si>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</si>
  <si>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</si>
  <si>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</si>
  <si>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</si>
  <si>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</si>
  <si>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</si>
  <si>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</si>
  <si>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</si>
  <si>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</si>
  <si>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</si>
  <si>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</si>
  <si>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</si>
  <si>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</si>
  <si>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</si>
  <si>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</si>
  <si>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</si>
  <si>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</si>
  <si>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</si>
  <si>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</si>
  <si>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</si>
  <si>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</si>
  <si>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</si>
  <si>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</si>
  <si>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</si>
  <si>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</si>
  <si>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</si>
  <si>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</si>
  <si>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</si>
  <si>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</si>
  <si>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</si>
  <si>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</si>
  <si>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</si>
  <si>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</si>
  <si>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</si>
  <si>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</si>
  <si>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</si>
  <si>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</si>
  <si>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</si>
  <si>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</si>
  <si>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</si>
  <si>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</si>
  <si>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</si>
  <si>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</si>
  <si>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</si>
  <si>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</si>
  <si>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</si>
  <si>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</si>
  <si>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</si>
  <si>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</si>
  <si>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</si>
  <si>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</si>
  <si>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</si>
  <si>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</si>
  <si>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</si>
  <si>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</si>
  <si>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</si>
  <si>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</si>
  <si>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</si>
  <si>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</si>
  <si>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</si>
  <si>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</si>
  <si>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</si>
  <si>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</si>
  <si>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</si>
  <si>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</si>
  <si>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</si>
  <si>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</si>
  <si>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</si>
  <si>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</si>
  <si>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</si>
  <si>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</si>
  <si>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</si>
  <si>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</si>
  <si>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</si>
  <si>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</si>
  <si>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</si>
  <si>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</si>
  <si>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</si>
  <si>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</si>
  <si>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</si>
  <si>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</si>
  <si>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</si>
  <si>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</si>
  <si>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</si>
  <si>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</si>
  <si>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</si>
  <si>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</si>
  <si>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</si>
  <si>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</si>
  <si>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</si>
  <si>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</si>
  <si>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</si>
  <si>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</si>
  <si>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</si>
  <si>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</si>
  <si>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</si>
  <si>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</si>
  <si>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</si>
  <si>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</si>
  <si>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</si>
  <si>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</si>
  <si>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</si>
  <si>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</si>
  <si>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</si>
  <si>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</si>
  <si>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</si>
  <si>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</si>
  <si>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</si>
  <si>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</si>
  <si>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</si>
  <si>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</si>
  <si>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</si>
  <si>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</si>
  <si>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</si>
  <si>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</si>
  <si>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</si>
  <si>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</si>
  <si>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</si>
  <si>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</si>
  <si>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</si>
  <si>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</si>
  <si>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</si>
  <si>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</si>
  <si>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</si>
  <si>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</si>
  <si>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</si>
  <si>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</si>
  <si>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</si>
  <si>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</si>
  <si>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</si>
  <si>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</si>
  <si>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</si>
  <si>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</si>
  <si>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</si>
  <si>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</si>
  <si>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</si>
  <si>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</si>
  <si>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</si>
  <si>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</si>
  <si>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</si>
  <si>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</si>
  <si>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</si>
  <si>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</si>
  <si>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</si>
  <si>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</si>
  <si>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</si>
  <si>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</si>
  <si>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</si>
  <si>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</si>
  <si>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</si>
  <si>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</si>
  <si>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</si>
  <si>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</si>
  <si>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</si>
  <si>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</si>
  <si>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</si>
  <si>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</si>
  <si>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</si>
  <si>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</si>
  <si>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</si>
  <si>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</si>
  <si>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</si>
  <si>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</si>
  <si>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</si>
  <si>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</si>
  <si>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</si>
  <si>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</si>
  <si>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</si>
  <si>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</si>
  <si>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</si>
  <si>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</si>
  <si>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</si>
  <si>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</si>
  <si>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</si>
  <si>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</si>
  <si>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</si>
  <si>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</si>
  <si>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</si>
  <si>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</si>
  <si>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</si>
  <si>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</si>
  <si>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</si>
  <si>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</si>
  <si>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</si>
  <si>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</si>
  <si>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</si>
  <si>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</si>
  <si>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</si>
  <si>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</si>
  <si>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</si>
  <si>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</si>
  <si>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</si>
  <si>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</si>
  <si>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</si>
  <si>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</si>
  <si>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</si>
  <si>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</si>
  <si>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</si>
  <si>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</si>
  <si>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</si>
  <si>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</si>
  <si>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</si>
  <si>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</si>
  <si>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</si>
  <si>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</si>
  <si>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</si>
  <si>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</si>
  <si>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</si>
  <si>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</si>
  <si>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</si>
  <si>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</si>
  <si>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</si>
  <si>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</si>
  <si>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</si>
  <si>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</si>
  <si>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</si>
  <si>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</si>
  <si>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</si>
  <si>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</si>
  <si>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</si>
  <si>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</si>
  <si>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</si>
  <si>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</si>
  <si>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</si>
  <si>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</si>
  <si>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</si>
  <si>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</si>
  <si>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</si>
  <si>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</si>
  <si>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</si>
  <si>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</si>
  <si>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</si>
  <si>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</si>
  <si>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</si>
  <si>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</si>
  <si>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</si>
  <si>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</si>
  <si>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</si>
  <si>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</si>
  <si>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</si>
  <si>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</si>
  <si>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</si>
  <si>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</si>
  <si>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</si>
  <si>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</si>
  <si>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</si>
  <si>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</si>
  <si>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</si>
  <si>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</si>
  <si>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</si>
  <si>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</si>
  <si>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</si>
  <si>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</si>
  <si>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</si>
  <si>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</si>
  <si>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</si>
  <si>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</si>
  <si>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</si>
  <si>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</si>
  <si>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</si>
  <si>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</si>
  <si>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</si>
  <si>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</si>
  <si>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</si>
  <si>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</si>
  <si>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</si>
  <si>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</si>
  <si>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</si>
  <si>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</si>
  <si>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</si>
  <si>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</si>
  <si>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</si>
  <si>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</si>
  <si>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</si>
  <si>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</si>
  <si>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</si>
  <si>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</si>
  <si>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</si>
  <si>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</si>
  <si>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</si>
  <si>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</si>
  <si>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</si>
  <si>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</si>
  <si>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</si>
  <si>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</si>
  <si>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</si>
  <si>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</si>
  <si>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</si>
  <si>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</si>
  <si>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</si>
  <si>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</si>
  <si>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</si>
  <si>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</si>
  <si>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</si>
  <si>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</si>
  <si>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</si>
  <si>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</si>
  <si>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</si>
  <si>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</si>
  <si>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</si>
  <si>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</si>
  <si>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</si>
  <si>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</si>
  <si>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</si>
  <si>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</si>
  <si>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</si>
  <si>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</si>
  <si>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</si>
  <si>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</si>
  <si>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</si>
  <si>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</si>
  <si>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</si>
  <si>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</si>
  <si>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</si>
  <si>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</si>
  <si>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</si>
  <si>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</si>
  <si>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</si>
  <si>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</si>
  <si>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</si>
  <si>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</si>
  <si>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</si>
  <si>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</si>
  <si>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</si>
  <si>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</si>
  <si>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</si>
  <si>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</si>
  <si>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</si>
  <si>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</si>
  <si>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</si>
  <si>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</si>
  <si>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</si>
  <si>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</si>
  <si>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</si>
  <si>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</si>
  <si>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</si>
  <si>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</si>
  <si>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</si>
  <si>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</si>
  <si>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</si>
  <si>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</si>
  <si>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</si>
  <si>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</si>
  <si>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</si>
  <si>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</si>
  <si>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</si>
  <si>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</si>
  <si>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</si>
  <si>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</si>
  <si>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</si>
  <si>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</si>
  <si>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</si>
  <si>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</si>
  <si>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</si>
  <si>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</si>
  <si>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</si>
  <si>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</si>
  <si>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</si>
  <si>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</si>
  <si>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</si>
  <si>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</si>
  <si>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</si>
  <si>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</si>
  <si>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</si>
  <si>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</si>
  <si>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</si>
  <si>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</si>
  <si>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</si>
  <si>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</si>
  <si>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</si>
  <si>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</si>
  <si>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</si>
  <si>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</si>
  <si>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</si>
  <si>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</si>
  <si>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</si>
  <si>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</si>
  <si>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</si>
  <si>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</si>
  <si>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</si>
  <si>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</si>
  <si>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</si>
  <si>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</si>
  <si>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</si>
  <si>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</si>
  <si>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</si>
  <si>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</si>
  <si>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</si>
  <si>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</si>
  <si>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</si>
  <si>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</si>
  <si>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</si>
  <si>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</si>
  <si>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</si>
  <si>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</si>
  <si>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</si>
  <si>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</si>
  <si>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</si>
  <si>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</si>
  <si>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</si>
  <si>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</si>
  <si>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</si>
  <si>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</si>
  <si>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</si>
  <si>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</si>
  <si>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</si>
  <si>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</si>
  <si>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</si>
  <si>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</si>
  <si>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</si>
  <si>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</si>
  <si>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</si>
  <si>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</si>
  <si>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</si>
  <si>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</si>
  <si>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</si>
  <si>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</si>
  <si>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</si>
  <si>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</si>
  <si>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</si>
  <si>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</si>
  <si>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</si>
  <si>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</si>
  <si>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</si>
  <si>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</si>
  <si>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</si>
  <si>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</si>
  <si>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</si>
  <si>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</si>
  <si>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</si>
  <si>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</si>
  <si>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</si>
  <si>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</si>
  <si>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</si>
  <si>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</si>
  <si>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</si>
  <si>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</si>
  <si>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</si>
  <si>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</si>
  <si>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</si>
  <si>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</si>
  <si>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</si>
  <si>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</si>
  <si>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</si>
  <si>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</si>
  <si>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</si>
  <si>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</si>
  <si>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</si>
  <si>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</si>
  <si>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</si>
  <si>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</si>
  <si>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</si>
  <si>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</si>
  <si>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</si>
  <si>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</si>
  <si>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</si>
  <si>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</si>
  <si>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</si>
  <si>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</si>
  <si>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</si>
  <si>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</si>
  <si>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</si>
  <si>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</si>
  <si>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</si>
  <si>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</si>
  <si>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</si>
  <si>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</si>
  <si>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</si>
  <si>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</si>
  <si>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</si>
  <si>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</si>
  <si>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</si>
  <si>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</si>
  <si>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</si>
  <si>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</si>
  <si>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</si>
  <si>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</si>
  <si>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</si>
  <si>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</si>
  <si>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</si>
  <si>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</si>
  <si>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</si>
  <si>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</si>
  <si>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</si>
  <si>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</si>
  <si>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</si>
  <si>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</si>
  <si>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</si>
  <si>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</si>
  <si>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</si>
  <si>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</si>
  <si>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</si>
  <si>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</si>
  <si>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</si>
  <si>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</si>
  <si>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</si>
  <si>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</si>
  <si>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</si>
  <si>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</si>
  <si>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</si>
  <si>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</si>
  <si>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</si>
  <si>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</si>
  <si>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</si>
  <si>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</si>
  <si>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</si>
  <si>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</si>
  <si>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</si>
  <si>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</si>
  <si>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</si>
  <si>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</si>
  <si>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</si>
  <si>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</si>
  <si>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</si>
  <si>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</si>
  <si>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</si>
  <si>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</si>
  <si>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</si>
  <si>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</si>
  <si>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</si>
  <si>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</si>
  <si>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</si>
  <si>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</si>
  <si>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</si>
  <si>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</si>
  <si>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</si>
  <si>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</si>
  <si>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</si>
  <si>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</si>
  <si>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</si>
  <si>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</si>
  <si>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</si>
  <si>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</si>
  <si>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</si>
  <si>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</si>
  <si>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</si>
  <si>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</si>
  <si>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</si>
  <si>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</si>
  <si>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</si>
  <si>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</si>
  <si>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</si>
  <si>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</si>
  <si>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</si>
  <si>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</si>
  <si>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</si>
  <si>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</si>
  <si>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</si>
  <si>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</si>
  <si>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</si>
  <si>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</si>
  <si>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</si>
  <si>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</si>
  <si>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</si>
  <si>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</si>
  <si>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</si>
  <si>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</si>
  <si>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</si>
  <si>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</si>
  <si>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</si>
  <si>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</si>
  <si>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</si>
  <si>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</si>
  <si>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</si>
  <si>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</si>
  <si>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</si>
  <si>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</si>
  <si>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</si>
  <si>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</si>
  <si>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</si>
  <si>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</si>
  <si>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</si>
  <si>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</si>
  <si>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</si>
  <si>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</si>
  <si>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</si>
  <si>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</si>
  <si>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</si>
  <si>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</si>
  <si>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</si>
  <si>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</si>
  <si>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</si>
  <si>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</si>
  <si>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</si>
  <si>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</si>
  <si>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</si>
  <si>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</si>
  <si>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</si>
  <si>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</si>
  <si>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</si>
  <si>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</si>
  <si>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</si>
  <si>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</si>
  <si>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</si>
  <si>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</si>
  <si>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</si>
  <si>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</si>
  <si>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</si>
  <si>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</si>
  <si>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</si>
  <si>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</si>
  <si>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</si>
  <si>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</si>
  <si>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</si>
  <si>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</si>
  <si>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</si>
  <si>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</si>
  <si>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</si>
  <si>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</si>
  <si>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</si>
  <si>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</si>
  <si>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</si>
  <si>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</si>
  <si>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</si>
  <si>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</si>
  <si>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</si>
  <si>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</si>
  <si>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</si>
  <si>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</si>
  <si>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</si>
  <si>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</si>
  <si>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</si>
  <si>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</si>
  <si>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</si>
  <si>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</si>
  <si>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</si>
  <si>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</si>
  <si>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</si>
  <si>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</si>
  <si>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</si>
  <si>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</si>
  <si>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</si>
  <si>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</si>
  <si>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</si>
  <si>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</si>
  <si>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</si>
  <si>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</si>
  <si>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</si>
  <si>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</si>
  <si>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</si>
  <si>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</si>
  <si>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</si>
  <si>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</si>
  <si>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</si>
  <si>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</si>
  <si>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</si>
  <si>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</si>
  <si>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</si>
  <si>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</si>
  <si>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</si>
  <si>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</si>
  <si>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</si>
  <si>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</si>
  <si>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</si>
  <si>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</si>
  <si>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</si>
  <si>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</si>
  <si>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</si>
  <si>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</si>
  <si>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</si>
  <si>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</si>
  <si>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</si>
  <si>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</si>
  <si>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</si>
  <si>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</si>
  <si>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</si>
  <si>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</si>
  <si>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</si>
  <si>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</si>
  <si>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</si>
  <si>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</si>
  <si>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</si>
  <si>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</si>
  <si>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</si>
  <si>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</si>
  <si>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</si>
  <si>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</si>
  <si>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</si>
  <si>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</si>
  <si>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</si>
  <si>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</si>
  <si>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</si>
  <si>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</si>
  <si>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</si>
  <si>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</si>
  <si>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</si>
  <si>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</si>
  <si>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</si>
  <si>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</si>
  <si>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</si>
  <si>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</si>
  <si>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</si>
  <si>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</si>
  <si>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</si>
  <si>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</si>
  <si>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</si>
  <si>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</si>
  <si>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</si>
  <si>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</si>
  <si>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</si>
  <si>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</si>
  <si>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</si>
  <si>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</si>
  <si>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</si>
  <si>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</si>
  <si>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</si>
  <si>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</si>
  <si>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</si>
  <si>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</si>
  <si>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</si>
  <si>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</si>
  <si>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</si>
  <si>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</si>
  <si>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</si>
  <si>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</si>
  <si>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</si>
  <si>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</si>
  <si>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</si>
  <si>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</si>
  <si>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</si>
  <si>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</si>
  <si>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</si>
  <si>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</si>
  <si>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</si>
  <si>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</si>
  <si>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</si>
  <si>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</si>
  <si>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</si>
  <si>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</si>
  <si>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</si>
  <si>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</si>
  <si>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</si>
  <si>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</si>
  <si>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</si>
  <si>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</si>
  <si>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</si>
  <si>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</si>
  <si>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</si>
  <si>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</si>
  <si>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</si>
  <si>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</si>
  <si>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</si>
  <si>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</si>
  <si>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</si>
  <si>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</si>
  <si>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</si>
  <si>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</si>
  <si>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</si>
  <si>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</si>
  <si>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</si>
  <si>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</si>
  <si>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</si>
  <si>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</si>
  <si>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</si>
  <si>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</si>
  <si>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</si>
  <si>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</si>
  <si>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</si>
  <si>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</si>
  <si>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</si>
  <si>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</si>
  <si>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</si>
  <si>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</si>
  <si>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</si>
  <si>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</si>
  <si>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</si>
  <si>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</si>
  <si>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</si>
  <si>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</si>
  <si>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</si>
  <si>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</si>
  <si>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</si>
  <si>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</si>
  <si>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</si>
  <si>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</si>
  <si>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</si>
  <si>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</si>
  <si>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</si>
  <si>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</si>
  <si>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</si>
  <si>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</si>
  <si>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</si>
  <si>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</si>
  <si>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</si>
  <si>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</si>
  <si>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</si>
  <si>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</si>
  <si>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</si>
  <si>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</si>
  <si>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</si>
  <si>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</si>
  <si>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</si>
  <si>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</si>
  <si>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</si>
  <si>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</si>
  <si>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</si>
  <si>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</si>
  <si>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</si>
  <si>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</si>
  <si>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</si>
  <si>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</si>
  <si>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</si>
  <si>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</si>
  <si>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</si>
  <si>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</si>
  <si>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</si>
  <si>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</si>
  <si>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</si>
  <si>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</si>
  <si>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</si>
  <si>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</si>
  <si>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</si>
  <si>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</si>
  <si>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</si>
  <si>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</si>
  <si>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</si>
  <si>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</si>
  <si>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</si>
  <si>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</si>
  <si>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</si>
  <si>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</si>
  <si>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</si>
  <si>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</si>
  <si>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</si>
  <si>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</si>
  <si>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</si>
  <si>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</si>
  <si>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</si>
  <si>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</si>
  <si>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</si>
  <si>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</si>
  <si>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</si>
  <si>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</si>
  <si>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</si>
  <si>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</si>
  <si>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</si>
  <si>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</si>
  <si>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</si>
  <si>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</si>
  <si>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</si>
  <si>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</si>
  <si>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</si>
  <si>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</si>
  <si>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</si>
  <si>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</si>
  <si>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</si>
  <si>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</si>
  <si>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</si>
  <si>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</si>
  <si>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</si>
  <si>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</si>
  <si>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</si>
  <si>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</si>
  <si>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</si>
  <si>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</si>
  <si>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</si>
  <si>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</si>
  <si>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</si>
  <si>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</si>
  <si>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</si>
  <si>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</si>
  <si>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</si>
  <si>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</si>
  <si>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</si>
  <si>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</si>
  <si>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</si>
  <si>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</si>
  <si>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</si>
  <si>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</si>
  <si>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</si>
  <si>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</si>
  <si>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</si>
  <si>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</si>
  <si>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</si>
  <si>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</si>
  <si>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</si>
  <si>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</si>
  <si>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</si>
  <si>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</si>
  <si>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</si>
  <si>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</si>
  <si>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</si>
  <si>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</si>
  <si>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</si>
  <si>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</si>
  <si>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</si>
  <si>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</si>
  <si>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</si>
  <si>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</si>
  <si>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</si>
  <si>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</si>
  <si>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</si>
  <si>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</si>
  <si>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</si>
  <si>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</si>
  <si>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</si>
  <si>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</si>
  <si>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</si>
  <si>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</si>
  <si>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</si>
  <si>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</si>
  <si>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</si>
  <si>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</si>
  <si>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</si>
  <si>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</si>
  <si>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</si>
  <si>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</si>
  <si>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</si>
  <si>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</si>
  <si>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</si>
  <si>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</si>
  <si>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</si>
  <si>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</si>
  <si>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</si>
  <si>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</si>
  <si>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</si>
  <si>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</si>
  <si>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</si>
  <si>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</si>
  <si>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</si>
  <si>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</si>
  <si>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</si>
  <si>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</si>
  <si>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</si>
  <si>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</si>
  <si>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</si>
  <si>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</si>
  <si>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</si>
  <si>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</si>
  <si>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</si>
  <si>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</si>
  <si>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</si>
  <si>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</si>
  <si>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</si>
  <si>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</si>
  <si>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</si>
  <si>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</si>
  <si>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</si>
  <si>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</si>
  <si>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</si>
  <si>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</si>
  <si>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</si>
  <si>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</si>
  <si>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</si>
  <si>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</si>
  <si>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</si>
  <si>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</si>
  <si>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</si>
  <si>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</si>
  <si>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</si>
  <si>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</si>
  <si>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</si>
  <si>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</si>
  <si>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</si>
  <si>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</si>
  <si>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</si>
  <si>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</si>
  <si>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</si>
  <si>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</si>
  <si>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</si>
  <si>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</si>
  <si>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</si>
  <si>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</si>
  <si>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</si>
  <si>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</si>
  <si>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</si>
  <si>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</si>
  <si>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</si>
  <si>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</si>
  <si>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</si>
  <si>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</si>
  <si>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</si>
  <si>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</si>
  <si>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</si>
  <si>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</si>
  <si>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</si>
  <si>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</si>
  <si>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</si>
  <si>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</si>
  <si>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</si>
  <si>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</si>
  <si>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</si>
  <si>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</si>
  <si>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</si>
  <si>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</si>
  <si>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</si>
  <si>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</si>
  <si>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</si>
  <si>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</si>
  <si>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</si>
  <si>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</si>
  <si>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</si>
  <si>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</si>
  <si>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</si>
  <si>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</si>
  <si>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</si>
  <si>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</si>
  <si>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</si>
  <si>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</si>
  <si>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</si>
  <si>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</si>
  <si>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</si>
  <si>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</si>
  <si>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</si>
  <si>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</si>
  <si>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</si>
  <si>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</si>
  <si>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</si>
  <si>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</si>
  <si>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</si>
  <si>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</si>
  <si>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</si>
  <si>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</si>
  <si>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</si>
  <si>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</si>
  <si>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</si>
  <si>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</si>
  <si>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</si>
  <si>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</si>
  <si>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</si>
  <si>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</si>
  <si>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</si>
  <si>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</si>
  <si>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</si>
  <si>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</si>
  <si>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</si>
  <si>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</si>
  <si>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</si>
  <si>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</si>
  <si>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</si>
  <si>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</si>
  <si>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</si>
  <si>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</si>
  <si>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</si>
  <si>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</si>
  <si>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</si>
  <si>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</si>
  <si>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</si>
  <si>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</si>
  <si>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</si>
  <si>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</si>
  <si>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</si>
  <si>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</si>
  <si>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</si>
  <si>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</si>
  <si>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</si>
  <si>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</si>
  <si>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</si>
  <si>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</si>
  <si>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</si>
  <si>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</si>
  <si>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</si>
  <si>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</si>
  <si>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</si>
  <si>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</si>
  <si>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</si>
  <si>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</si>
  <si>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</si>
  <si>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</si>
  <si>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</si>
  <si>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</si>
  <si>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</si>
  <si>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</si>
  <si>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</si>
  <si>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</si>
  <si>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</si>
  <si>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</si>
  <si>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</si>
  <si>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</si>
  <si>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</si>
  <si>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</si>
  <si>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</si>
  <si>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</si>
  <si>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</si>
  <si>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</si>
  <si>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</si>
  <si>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</si>
  <si>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</si>
  <si>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</si>
  <si>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</si>
  <si>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</si>
  <si>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</si>
  <si>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</si>
  <si>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</si>
  <si>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</si>
  <si>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</si>
  <si>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</si>
  <si>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</si>
  <si>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</si>
  <si>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</si>
  <si>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</si>
  <si>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</si>
  <si>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</si>
  <si>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</si>
  <si>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</si>
  <si>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</si>
  <si>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</si>
  <si>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</si>
  <si>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</si>
  <si>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</si>
  <si>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</si>
  <si>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</si>
  <si>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</si>
  <si>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</si>
  <si>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</si>
  <si>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</si>
  <si>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</si>
  <si>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</si>
  <si>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</si>
  <si>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</si>
  <si>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</si>
  <si>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</si>
  <si>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</si>
  <si>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</si>
  <si>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</si>
  <si>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</si>
  <si>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</si>
  <si>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</si>
  <si>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</si>
  <si>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</si>
  <si>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</si>
  <si>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</si>
  <si>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</si>
  <si>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</si>
  <si>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</si>
  <si>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</si>
  <si>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</si>
  <si>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</si>
  <si>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</si>
  <si>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</si>
  <si>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</si>
  <si>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</si>
  <si>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</si>
  <si>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</si>
  <si>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</si>
  <si>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</si>
  <si>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</si>
  <si>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</si>
  <si>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</si>
  <si>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</si>
  <si>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</si>
  <si>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</si>
  <si>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</si>
  <si>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</si>
  <si>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</si>
  <si>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</si>
  <si>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</si>
  <si>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</si>
  <si>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</si>
  <si>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</si>
  <si>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</si>
  <si>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</si>
  <si>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</si>
  <si>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</si>
  <si>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</si>
  <si>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</si>
  <si>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</si>
  <si>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</si>
  <si>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</si>
  <si>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</si>
  <si>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</si>
  <si>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</si>
  <si>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</si>
  <si>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</si>
  <si>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</si>
  <si>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</si>
  <si>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</si>
  <si>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</si>
  <si>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</si>
  <si>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</si>
  <si>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</si>
  <si>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</si>
  <si>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</si>
  <si>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</si>
  <si>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</si>
  <si>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</si>
  <si>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</si>
  <si>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</si>
  <si>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</si>
  <si>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</si>
  <si>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</si>
  <si>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</si>
  <si>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</si>
  <si>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</si>
  <si>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</si>
  <si>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</si>
  <si>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</si>
  <si>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</si>
  <si>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</si>
  <si>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</si>
  <si>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</si>
  <si>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</si>
  <si>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</si>
  <si>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</si>
  <si>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</si>
  <si>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</si>
  <si>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</si>
  <si>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</si>
  <si>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</si>
  <si>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</si>
  <si>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</si>
  <si>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</si>
  <si>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</si>
  <si>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</si>
  <si>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</si>
  <si>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</si>
  <si>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</si>
  <si>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</si>
  <si>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</si>
  <si>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</si>
  <si>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</si>
  <si>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</si>
  <si>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</si>
  <si>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</si>
  <si>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</si>
  <si>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</si>
  <si>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</si>
  <si>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</si>
  <si>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</si>
  <si>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</si>
  <si>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</si>
  <si>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</si>
  <si>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</si>
  <si>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</si>
  <si>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</si>
  <si>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</si>
  <si>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</si>
  <si>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</si>
  <si>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</si>
  <si>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</si>
  <si>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</si>
  <si>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</si>
  <si>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</si>
  <si>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</si>
  <si>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</si>
  <si>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</si>
  <si>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</si>
  <si>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</si>
  <si>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</si>
  <si>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</si>
  <si>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</si>
  <si>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</si>
  <si>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</si>
  <si>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</si>
  <si>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</si>
  <si>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</si>
  <si>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</si>
  <si>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</si>
  <si>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</si>
  <si>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</si>
  <si>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</si>
  <si>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</si>
  <si>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</si>
  <si>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</si>
  <si>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</si>
  <si>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</si>
  <si>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</si>
  <si>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</si>
  <si>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</si>
  <si>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</si>
  <si>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</si>
  <si>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</si>
  <si>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</si>
  <si>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</si>
  <si>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</si>
  <si>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</si>
  <si>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</si>
  <si>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</si>
  <si>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</si>
  <si>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</si>
  <si>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</si>
  <si>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</si>
  <si>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</si>
  <si>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</si>
  <si>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</si>
  <si>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</si>
  <si>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</si>
  <si>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</si>
  <si>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</si>
  <si>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</si>
  <si>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</si>
  <si>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</si>
  <si>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</si>
  <si>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</si>
  <si>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</si>
  <si>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</si>
  <si>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</si>
  <si>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</si>
  <si>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</si>
  <si>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</si>
  <si>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</si>
  <si>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</si>
  <si>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</si>
  <si>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</si>
  <si>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</si>
  <si>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</si>
  <si>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</si>
  <si>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</si>
  <si>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</si>
  <si>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</si>
  <si>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</si>
  <si>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</si>
  <si>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</si>
  <si>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</si>
  <si>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</si>
  <si>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</si>
  <si>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</si>
  <si>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</si>
  <si>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</si>
  <si>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</si>
  <si>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</si>
  <si>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</si>
  <si>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</si>
  <si>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</si>
  <si>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</si>
  <si>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</si>
  <si>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</si>
  <si>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</si>
  <si>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</si>
  <si>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</si>
  <si>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</si>
  <si>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</si>
  <si>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</si>
  <si>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</si>
  <si>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</si>
  <si>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</si>
  <si>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</si>
  <si>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</si>
  <si>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</si>
  <si>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</si>
  <si>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</si>
  <si>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</si>
  <si>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</si>
  <si>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</si>
  <si>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</si>
  <si>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</si>
  <si>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</si>
  <si>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</si>
  <si>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</si>
  <si>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</si>
  <si>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</si>
  <si>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</si>
  <si>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</si>
  <si>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</si>
  <si>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</si>
  <si>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</si>
  <si>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</si>
  <si>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</si>
  <si>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</si>
  <si>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</si>
  <si>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</si>
  <si>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</si>
  <si>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</si>
  <si>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</si>
  <si>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</si>
  <si>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</si>
  <si>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</si>
  <si>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</si>
  <si>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</si>
  <si>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</si>
  <si>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</si>
  <si>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</si>
  <si>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</si>
  <si>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</si>
  <si>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</si>
  <si>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</si>
  <si>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</si>
  <si>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</si>
  <si>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</si>
  <si>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</si>
  <si>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</si>
  <si>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</si>
  <si>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</si>
  <si>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</si>
  <si>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</si>
  <si>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</si>
  <si>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</si>
  <si>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</si>
  <si>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</si>
  <si>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</si>
  <si>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</si>
  <si>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</si>
  <si>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</si>
  <si>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</si>
  <si>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</si>
  <si>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</si>
  <si>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</si>
  <si>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</si>
  <si>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</si>
  <si>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</si>
  <si>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</si>
  <si>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</si>
  <si>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</si>
  <si>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</si>
  <si>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</si>
  <si>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</si>
  <si>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</si>
  <si>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</si>
  <si>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</si>
  <si>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</si>
  <si>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</si>
  <si>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</si>
  <si>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</si>
  <si>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</si>
  <si>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</si>
  <si>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</si>
  <si>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</si>
  <si>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</si>
  <si>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</si>
  <si>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</si>
  <si>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</si>
  <si>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</si>
  <si>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</si>
  <si>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</si>
  <si>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</si>
  <si>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</si>
  <si>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</si>
  <si>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</si>
  <si>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</si>
  <si>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</si>
  <si>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</si>
  <si>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</si>
  <si>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</si>
  <si>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</si>
  <si>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</si>
  <si>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</si>
  <si>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</si>
  <si>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</si>
  <si>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</si>
  <si>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</si>
  <si>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</si>
  <si>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</si>
  <si>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</si>
  <si>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</si>
  <si>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</si>
  <si>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</si>
  <si>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</si>
  <si>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</si>
  <si>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</si>
  <si>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</si>
  <si>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</si>
  <si>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</si>
  <si>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</si>
  <si>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</si>
  <si>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</si>
  <si>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</si>
  <si>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</si>
  <si>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</si>
  <si>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</si>
  <si>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</si>
  <si>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</si>
  <si>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</si>
  <si>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</si>
  <si>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</si>
  <si>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</si>
  <si>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</si>
  <si>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</si>
  <si>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</si>
  <si>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</si>
  <si>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</si>
  <si>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</si>
  <si>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</si>
  <si>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</si>
  <si>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</si>
  <si>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</si>
  <si>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</si>
  <si>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</si>
  <si>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</si>
  <si>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</si>
  <si>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</si>
  <si>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</si>
  <si>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</si>
  <si>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</si>
  <si>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</si>
  <si>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</si>
  <si>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</si>
  <si>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</si>
  <si>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</si>
  <si>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</si>
  <si>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</si>
  <si>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</si>
  <si>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</si>
  <si>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</si>
  <si>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</si>
  <si>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</si>
  <si>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</si>
  <si>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</si>
  <si>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</si>
  <si>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</si>
  <si>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</si>
  <si>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</si>
  <si>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</si>
  <si>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</si>
  <si>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</si>
  <si>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</si>
  <si>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</si>
  <si>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</si>
  <si>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</si>
  <si>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</si>
  <si>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</si>
  <si>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</si>
  <si>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</si>
  <si>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</si>
  <si>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</si>
  <si>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</si>
  <si>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</si>
  <si>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</si>
  <si>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</si>
  <si>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</si>
  <si>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</si>
  <si>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</si>
  <si>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</si>
  <si>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</si>
  <si>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</si>
  <si>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</si>
  <si>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</si>
  <si>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</si>
  <si>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</si>
  <si>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</si>
  <si>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</si>
  <si>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</si>
  <si>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</si>
  <si>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</si>
  <si>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</si>
  <si>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</si>
  <si>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</si>
  <si>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</si>
  <si>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</si>
  <si>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</si>
  <si>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</si>
  <si>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</si>
  <si>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</si>
  <si>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</si>
  <si>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</si>
  <si>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</si>
  <si>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</si>
  <si>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</si>
  <si>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</si>
  <si>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</si>
  <si>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</si>
  <si>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</si>
  <si>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</si>
  <si>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</si>
  <si>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</si>
  <si>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</si>
  <si>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</si>
  <si>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</si>
  <si>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</si>
  <si>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</si>
  <si>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</si>
  <si>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</si>
  <si>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</si>
  <si>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</si>
  <si>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</si>
  <si>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</si>
  <si>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</si>
  <si>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</si>
  <si>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</si>
  <si>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</si>
  <si>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</si>
  <si>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</si>
  <si>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</si>
  <si>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</si>
  <si>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</si>
  <si>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</si>
  <si>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</si>
  <si>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</si>
  <si>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</si>
  <si>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</si>
  <si>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</si>
  <si>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</si>
  <si>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</si>
  <si>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</si>
  <si>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</si>
  <si>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</si>
  <si>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</si>
  <si>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</si>
  <si>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</si>
  <si>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</si>
  <si>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</si>
  <si>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</si>
  <si>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</si>
  <si>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</si>
  <si>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</si>
  <si>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</si>
  <si>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</si>
  <si>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</si>
  <si>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</si>
  <si>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</si>
  <si>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</si>
  <si>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</si>
  <si>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</si>
  <si>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</si>
  <si>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</si>
  <si>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</si>
  <si>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</si>
  <si>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</si>
  <si>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</si>
  <si>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</si>
  <si>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</si>
  <si>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</si>
  <si>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</si>
  <si>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</si>
  <si>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</si>
  <si>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</si>
  <si>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</si>
  <si>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</si>
  <si>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</si>
  <si>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</si>
  <si>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</si>
  <si>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</si>
  <si>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</si>
  <si>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</si>
  <si>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</si>
  <si>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</si>
  <si>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</si>
  <si>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</si>
  <si>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</si>
  <si>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</si>
  <si>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</si>
  <si>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</si>
  <si>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</si>
  <si>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</si>
  <si>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</si>
  <si>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</si>
  <si>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</si>
  <si>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</si>
  <si>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</si>
  <si>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</si>
  <si>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</si>
  <si>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</si>
  <si>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</si>
  <si>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</si>
  <si>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</si>
  <si>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</si>
  <si>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</si>
  <si>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</si>
  <si>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</si>
  <si>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</si>
  <si>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</si>
  <si>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</si>
  <si>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</si>
  <si>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</si>
  <si>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</si>
  <si>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</si>
  <si>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</si>
  <si>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</si>
  <si>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</si>
  <si>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</si>
  <si>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</si>
  <si>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</si>
  <si>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</si>
  <si>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</si>
  <si>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</si>
  <si>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</si>
  <si>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</si>
  <si>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</si>
  <si>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</si>
  <si>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</si>
  <si>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</si>
  <si>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</si>
  <si>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</si>
  <si>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</si>
  <si>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</si>
  <si>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</si>
  <si>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</si>
  <si>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</si>
  <si>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</si>
  <si>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</si>
  <si>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</si>
  <si>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</si>
  <si>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</si>
  <si>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</si>
  <si>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</si>
  <si>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</si>
  <si>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</si>
  <si>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</si>
  <si>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</si>
  <si>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</si>
  <si>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</si>
  <si>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</si>
  <si>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</si>
  <si>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</si>
  <si>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</si>
  <si>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</si>
  <si>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</si>
  <si>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</si>
  <si>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</si>
  <si>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</si>
  <si>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</si>
  <si>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</si>
  <si>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</si>
  <si>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</si>
  <si>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</si>
  <si>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</si>
  <si>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</si>
  <si>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</si>
  <si>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</si>
  <si>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</si>
  <si>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</si>
  <si>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</si>
  <si>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</si>
  <si>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</si>
  <si>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</si>
  <si>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</si>
  <si>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</si>
  <si>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</si>
  <si>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</si>
  <si>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</si>
  <si>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</si>
  <si>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</si>
  <si>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</si>
  <si>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</si>
  <si>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</si>
  <si>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</si>
  <si>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</si>
  <si>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</si>
  <si>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</si>
  <si>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</si>
  <si>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</si>
  <si>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</si>
  <si>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</si>
  <si>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</si>
  <si>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</si>
  <si>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</si>
  <si>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</si>
  <si>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</si>
  <si>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</si>
  <si>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</si>
  <si>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</si>
  <si>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</si>
  <si>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</si>
  <si>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</si>
  <si>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</si>
  <si>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</si>
  <si>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</si>
  <si>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</si>
  <si>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</si>
  <si>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</si>
  <si>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</si>
  <si>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</si>
  <si>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</si>
  <si>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</si>
  <si>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</si>
  <si>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</si>
  <si>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</si>
  <si>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</si>
  <si>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</si>
  <si>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</si>
  <si>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</si>
  <si>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</si>
  <si>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</si>
  <si>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</si>
  <si>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</si>
  <si>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</si>
  <si>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</si>
  <si>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</si>
  <si>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</si>
  <si>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</si>
  <si>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</si>
  <si>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</si>
  <si>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</si>
  <si>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</si>
  <si>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</si>
  <si>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</si>
  <si>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</si>
  <si>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</si>
  <si>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</si>
  <si>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</si>
  <si>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</si>
  <si>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</si>
  <si>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</si>
  <si>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</si>
  <si>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</si>
  <si>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</si>
  <si>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</si>
  <si>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</si>
  <si>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</si>
  <si>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</si>
  <si>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</si>
  <si>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</si>
  <si>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</si>
  <si>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</si>
  <si>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</si>
  <si>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</si>
  <si>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</si>
  <si>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</si>
  <si>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</si>
  <si>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</si>
  <si>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</si>
  <si>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</si>
  <si>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</si>
  <si>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</si>
  <si>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</si>
  <si>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</si>
  <si>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</si>
  <si>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</si>
  <si>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</si>
  <si>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</si>
  <si>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</si>
  <si>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</si>
  <si>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</si>
  <si>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</si>
  <si>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</si>
  <si>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</si>
  <si>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</si>
  <si>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</si>
  <si>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</si>
  <si>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</si>
  <si>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</si>
  <si>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</si>
  <si>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</si>
  <si>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</si>
  <si>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</si>
  <si>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</si>
  <si>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</si>
  <si>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</si>
  <si>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</si>
  <si>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</si>
  <si>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</si>
  <si>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</si>
  <si>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</si>
  <si>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</si>
  <si>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</si>
  <si>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</si>
  <si>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</si>
  <si>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</si>
  <si>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</si>
  <si>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</si>
  <si>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</si>
  <si>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</si>
  <si>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</si>
  <si>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</si>
  <si>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</si>
  <si>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</si>
  <si>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</si>
  <si>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</si>
  <si>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</si>
  <si>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</si>
  <si>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</si>
  <si>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</si>
  <si>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</si>
  <si>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</si>
  <si>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</si>
  <si>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</si>
  <si>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</si>
  <si>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</si>
  <si>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</si>
  <si>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</si>
  <si>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</si>
  <si>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</si>
  <si>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</si>
  <si>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</si>
  <si>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</si>
  <si>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</si>
  <si>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</si>
  <si>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</si>
  <si>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</si>
  <si>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</si>
  <si>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</si>
  <si>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</si>
  <si>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</si>
  <si>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</si>
  <si>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</si>
  <si>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</si>
  <si>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</si>
  <si>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</si>
  <si>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</si>
  <si>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</si>
  <si>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</si>
  <si>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</si>
  <si>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</si>
  <si>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</si>
  <si>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</si>
  <si>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</si>
  <si>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</si>
  <si>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</si>
  <si>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</si>
  <si>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</si>
  <si>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</si>
  <si>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</si>
  <si>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</si>
  <si>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</si>
  <si>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</si>
  <si>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</si>
  <si>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</si>
  <si>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</si>
  <si>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</si>
  <si>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</si>
  <si>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</si>
  <si>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</si>
  <si>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</si>
  <si>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</si>
  <si>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</si>
  <si>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</si>
  <si>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</si>
  <si>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</si>
  <si>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</si>
  <si>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</si>
  <si>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</si>
  <si>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</si>
  <si>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</si>
  <si>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</si>
  <si>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</si>
  <si>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</si>
  <si>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</si>
  <si>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</si>
  <si>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</si>
  <si>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</si>
  <si>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</si>
  <si>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</si>
  <si>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</si>
  <si>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</si>
  <si>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</si>
  <si>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</si>
  <si>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</si>
  <si>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</si>
  <si>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</si>
  <si>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</si>
  <si>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</si>
  <si>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</si>
  <si>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</si>
  <si>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</si>
  <si>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</si>
  <si>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</si>
  <si>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</si>
  <si>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</si>
  <si>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</si>
  <si>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</si>
  <si>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</si>
  <si>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</si>
  <si>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</si>
  <si>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</si>
  <si>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</si>
  <si>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</si>
  <si>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</si>
  <si>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</si>
  <si>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</si>
  <si>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</si>
  <si>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</si>
  <si>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</si>
  <si>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</si>
  <si>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</si>
  <si>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</si>
  <si>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</si>
  <si>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</si>
  <si>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</si>
  <si>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</si>
  <si>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</si>
  <si>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</si>
  <si>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</si>
  <si>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</si>
  <si>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</si>
  <si>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</si>
  <si>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</si>
  <si>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</si>
  <si>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</si>
  <si>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</si>
  <si>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</si>
  <si>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</si>
  <si>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</si>
  <si>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</si>
  <si>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</si>
  <si>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</si>
  <si>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</si>
  <si>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</si>
  <si>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</si>
  <si>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</si>
  <si>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</si>
  <si>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</si>
  <si>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</si>
  <si>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</si>
  <si>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</si>
  <si>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</si>
  <si>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</si>
  <si>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</si>
  <si>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</si>
  <si>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</si>
  <si>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</si>
  <si>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</si>
  <si>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</si>
  <si>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</si>
  <si>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</si>
  <si>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</si>
  <si>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</si>
  <si>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</si>
  <si>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</si>
  <si>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</si>
  <si>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</si>
  <si>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</si>
  <si>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</si>
  <si>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</si>
  <si>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</si>
  <si>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</si>
  <si>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</si>
  <si>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</si>
  <si>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</si>
  <si>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</si>
  <si>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</si>
  <si>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</si>
  <si>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</si>
  <si>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</si>
  <si>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</si>
  <si>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</si>
  <si>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</si>
  <si>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</si>
  <si>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</si>
  <si>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</si>
  <si>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</si>
  <si>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</si>
  <si>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</si>
  <si>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</si>
  <si>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</si>
  <si>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</si>
  <si>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</si>
  <si>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</si>
  <si>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</si>
  <si>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</si>
  <si>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</si>
  <si>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</si>
  <si>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</si>
  <si>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</si>
  <si>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</si>
  <si>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</si>
  <si>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</si>
  <si>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</si>
  <si>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</si>
  <si>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</si>
  <si>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</si>
  <si>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</si>
  <si>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</si>
  <si>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</si>
  <si>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</si>
  <si>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</si>
  <si>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</si>
  <si>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</si>
  <si>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</si>
  <si>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</si>
  <si>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</si>
  <si>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</si>
  <si>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</si>
  <si>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</si>
  <si>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</si>
  <si>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</si>
  <si>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</si>
  <si>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</si>
  <si>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</si>
  <si>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</si>
  <si>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</si>
  <si>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</si>
  <si>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</si>
  <si>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</si>
  <si>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</si>
  <si>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</si>
  <si>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</si>
  <si>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</si>
  <si>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</si>
  <si>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</si>
  <si>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</si>
  <si>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</si>
  <si>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</si>
  <si>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</si>
  <si>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</si>
  <si>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</si>
  <si>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</si>
  <si>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</si>
  <si>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</si>
  <si>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</si>
  <si>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</si>
  <si>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</si>
  <si>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</si>
  <si>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</si>
  <si>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</si>
  <si>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</si>
  <si>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</si>
  <si>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</si>
  <si>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</si>
  <si>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</si>
  <si>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</si>
  <si>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</si>
  <si>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</si>
  <si>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</si>
  <si>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</si>
  <si>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</si>
  <si>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</si>
  <si>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</si>
  <si>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</si>
  <si>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</si>
  <si>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</si>
  <si>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</si>
  <si>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</si>
  <si>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</si>
  <si>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</si>
  <si>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</si>
  <si>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</si>
  <si>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</si>
  <si>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</si>
  <si>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</si>
  <si>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</si>
  <si>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</si>
  <si>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</si>
  <si>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</si>
  <si>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</si>
  <si>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</si>
  <si>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</si>
  <si>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</si>
  <si>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</si>
  <si>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</si>
  <si>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</si>
  <si>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</si>
  <si>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</si>
  <si>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</si>
  <si>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</si>
  <si>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</si>
  <si>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</si>
  <si>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</si>
  <si>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</si>
  <si>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</si>
  <si>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</si>
  <si>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</si>
  <si>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</si>
  <si>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</si>
  <si>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</si>
  <si>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</si>
  <si>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</si>
  <si>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</si>
  <si>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</si>
  <si>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</si>
  <si>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</si>
  <si>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</si>
  <si>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</si>
  <si>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</si>
  <si>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</si>
  <si>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</si>
  <si>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</si>
  <si>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</si>
  <si>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</si>
  <si>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</si>
  <si>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</si>
  <si>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</si>
  <si>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</si>
  <si>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</si>
  <si>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</si>
  <si>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</si>
  <si>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</si>
  <si>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</si>
  <si>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</si>
  <si>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</si>
  <si>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</si>
  <si>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</si>
  <si>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</si>
  <si>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</si>
  <si>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</si>
  <si>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</si>
  <si>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</si>
  <si>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</si>
  <si>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</si>
  <si>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</si>
  <si>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</si>
  <si>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</si>
  <si>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</si>
  <si>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</si>
  <si>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</si>
  <si>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</si>
  <si>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</si>
  <si>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</si>
  <si>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</si>
  <si>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</si>
  <si>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</si>
  <si>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</si>
  <si>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</si>
  <si>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</si>
  <si>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</si>
  <si>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</si>
  <si>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</si>
  <si>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</si>
  <si>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</si>
  <si>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</si>
  <si>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</si>
  <si>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</si>
  <si>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</si>
  <si>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</si>
  <si>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</si>
  <si>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</si>
  <si>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</si>
  <si>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</si>
  <si>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</si>
  <si>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</si>
  <si>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</si>
  <si>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</si>
  <si>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</si>
  <si>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</si>
  <si>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</si>
  <si>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</si>
  <si>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</si>
  <si>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</si>
  <si>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</si>
  <si>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</si>
  <si>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</si>
  <si>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</si>
  <si>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</si>
  <si>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</si>
  <si>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</si>
  <si>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</si>
  <si>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</si>
  <si>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</si>
  <si>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</si>
  <si>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</si>
  <si>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</si>
  <si>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</si>
  <si>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</si>
  <si>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</si>
  <si>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</si>
  <si>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</si>
  <si>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</si>
  <si>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</si>
  <si>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</si>
  <si>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</si>
  <si>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</si>
  <si>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</si>
  <si>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</si>
  <si>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</si>
  <si>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</si>
  <si>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</si>
  <si>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</si>
  <si>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</si>
  <si>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</si>
  <si>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</si>
  <si>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</si>
  <si>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</si>
  <si>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</si>
  <si>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</si>
  <si>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</si>
  <si>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</si>
  <si>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</si>
  <si>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</si>
  <si>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</si>
  <si>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</si>
  <si>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</si>
  <si>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</si>
  <si>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</si>
  <si>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</si>
  <si>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</si>
  <si>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</si>
  <si>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</si>
  <si>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</si>
  <si>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</si>
  <si>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</si>
  <si>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</si>
  <si>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</si>
  <si>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</si>
  <si>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</si>
  <si>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</si>
  <si>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</si>
  <si>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</si>
  <si>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</si>
  <si>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</si>
  <si>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</si>
  <si>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</si>
  <si>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</si>
  <si>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</si>
  <si>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</si>
  <si>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</si>
  <si>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</si>
  <si>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</si>
  <si>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</si>
  <si>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</si>
  <si>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</si>
  <si>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</si>
  <si>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</si>
  <si>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</si>
  <si>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</si>
  <si>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</si>
  <si>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</si>
  <si>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</si>
  <si>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</si>
  <si>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</si>
  <si>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</si>
  <si>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</si>
  <si>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</si>
  <si>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</si>
  <si>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</si>
  <si>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</si>
  <si>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</si>
  <si>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</si>
  <si>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</si>
  <si>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</si>
  <si>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</si>
  <si>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</si>
  <si>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</si>
  <si>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</si>
  <si>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</si>
  <si>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</si>
  <si>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</si>
  <si>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</si>
  <si>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</si>
  <si>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</si>
  <si>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</si>
  <si>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</si>
  <si>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</si>
  <si>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</si>
  <si>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</si>
  <si>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</si>
  <si>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</si>
  <si>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</si>
  <si>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</si>
  <si>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</si>
  <si>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</si>
  <si>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</si>
  <si>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</si>
  <si>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</si>
  <si>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</si>
  <si>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</si>
  <si>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</si>
  <si>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</si>
  <si>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</si>
  <si>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</si>
  <si>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</si>
  <si>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</si>
  <si>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</si>
  <si>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</si>
  <si>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</si>
  <si>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</si>
  <si>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</si>
  <si>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</si>
  <si>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</si>
  <si>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</si>
  <si>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</si>
  <si>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</si>
  <si>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</si>
  <si>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</si>
  <si>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</si>
  <si>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</si>
  <si>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</si>
  <si>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</si>
  <si>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</si>
  <si>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</si>
  <si>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</si>
  <si>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</si>
  <si>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</si>
  <si>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</si>
  <si>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</si>
  <si>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</si>
  <si>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</si>
  <si>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</si>
  <si>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</si>
  <si>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</si>
  <si>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</si>
  <si>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</si>
  <si>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</si>
  <si>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</si>
  <si>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</si>
  <si>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</si>
  <si>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</si>
  <si>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</si>
  <si>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</si>
  <si>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</si>
  <si>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</si>
  <si>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</si>
  <si>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</si>
  <si>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</si>
  <si>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</si>
  <si>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</si>
  <si>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</si>
  <si>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</si>
  <si>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</si>
  <si>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</si>
  <si>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</si>
  <si>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</si>
  <si>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</si>
  <si>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</si>
  <si>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</si>
  <si>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</si>
  <si>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</si>
  <si>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</si>
  <si>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</si>
  <si>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</si>
  <si>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</si>
  <si>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</si>
  <si>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</si>
  <si>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</si>
  <si>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</si>
  <si>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</si>
  <si>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</si>
  <si>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</si>
  <si>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</si>
  <si>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</si>
  <si>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</si>
  <si>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</si>
  <si>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</si>
  <si>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</si>
  <si>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</si>
  <si>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</si>
  <si>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</si>
  <si>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</si>
  <si>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</si>
  <si>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</si>
  <si>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</si>
  <si>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</si>
  <si>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</si>
  <si>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</si>
  <si>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</si>
  <si>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</si>
  <si>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</si>
  <si>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</si>
  <si>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</si>
  <si>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</si>
  <si>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</si>
  <si>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</si>
  <si>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</si>
  <si>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</si>
  <si>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</si>
  <si>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</si>
  <si>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</si>
  <si>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</si>
  <si>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</si>
  <si>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</si>
  <si>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</si>
  <si>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</si>
  <si>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</si>
  <si>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</si>
  <si>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</si>
  <si>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</si>
  <si>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</si>
  <si>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</si>
  <si>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</si>
  <si>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</si>
  <si>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</si>
  <si>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</si>
  <si>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</si>
  <si>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</si>
  <si>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</si>
  <si>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</si>
  <si>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</si>
  <si>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</si>
  <si>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</si>
  <si>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</si>
  <si>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</si>
  <si>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</si>
  <si>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</si>
  <si>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</si>
  <si>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</si>
  <si>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</si>
  <si>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</si>
  <si>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</si>
  <si>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</si>
  <si>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</si>
  <si>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</si>
  <si>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</si>
  <si>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</si>
  <si>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</si>
  <si>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</si>
  <si>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</si>
  <si>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</si>
  <si>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</si>
  <si>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</si>
  <si>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</si>
  <si>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</si>
  <si>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</si>
  <si>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</si>
  <si>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</si>
  <si>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</si>
  <si>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</si>
  <si>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</si>
  <si>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</si>
  <si>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</si>
  <si>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</si>
  <si>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</si>
  <si>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</si>
  <si>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</si>
  <si>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</si>
  <si>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</si>
  <si>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</si>
  <si>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</si>
  <si>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</si>
  <si>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</si>
  <si>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</si>
  <si>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</si>
  <si>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</si>
  <si>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</si>
  <si>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</si>
  <si>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</si>
  <si>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</si>
  <si>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</si>
  <si>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</si>
  <si>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</si>
  <si>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</si>
  <si>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</si>
  <si>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</si>
  <si>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</si>
  <si>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</si>
  <si>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</si>
  <si>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</si>
  <si>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</si>
  <si>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</si>
  <si>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</si>
  <si>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</si>
  <si>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</si>
  <si>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</si>
  <si>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</si>
  <si>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</si>
  <si>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</si>
  <si>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</si>
  <si>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</si>
  <si>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</si>
  <si>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</si>
  <si>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</si>
  <si>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</si>
  <si>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</si>
  <si>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</si>
  <si>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</si>
  <si>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</si>
  <si>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</si>
  <si>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</si>
  <si>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</si>
  <si>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</si>
  <si>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</si>
  <si>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</si>
  <si>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</si>
  <si>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</si>
  <si>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</si>
  <si>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</si>
  <si>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</si>
  <si>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</si>
  <si>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</si>
  <si>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</si>
  <si>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</si>
  <si>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</si>
  <si>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</si>
  <si>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</si>
  <si>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</si>
  <si>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</si>
  <si>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</si>
  <si>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</si>
  <si>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</si>
  <si>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</si>
  <si>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</si>
  <si>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</si>
  <si>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</si>
  <si>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</si>
  <si>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</si>
  <si>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</si>
  <si>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</si>
  <si>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</si>
  <si>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</si>
  <si>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</si>
  <si>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</si>
  <si>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</si>
  <si>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</si>
  <si>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</si>
  <si>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</si>
  <si>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</si>
  <si>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</si>
  <si>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</si>
  <si>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</si>
  <si>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</si>
  <si>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</si>
  <si>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</si>
  <si>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</si>
  <si>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</si>
  <si>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</si>
  <si>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</si>
  <si>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</si>
  <si>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</si>
  <si>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</si>
  <si>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</si>
  <si>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</si>
  <si>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</si>
  <si>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</si>
  <si>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</si>
  <si>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</si>
  <si>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</si>
  <si>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</si>
  <si>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</si>
  <si>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</si>
  <si>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</si>
  <si>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</si>
  <si>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</si>
  <si>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</si>
  <si>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</si>
  <si>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</si>
  <si>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</si>
  <si>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</si>
  <si>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</si>
  <si>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</si>
  <si>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</si>
  <si>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</si>
  <si>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</si>
  <si>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</si>
  <si>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</si>
  <si>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</si>
  <si>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</si>
  <si>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</si>
  <si>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</si>
  <si>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</si>
  <si>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</si>
  <si>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</si>
  <si>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</si>
  <si>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</si>
  <si>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</si>
  <si>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</si>
  <si>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</si>
  <si>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</si>
  <si>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</si>
  <si>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</si>
  <si>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</si>
  <si>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</si>
  <si>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</si>
  <si>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</si>
  <si>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</si>
  <si>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</si>
  <si>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</si>
  <si>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</si>
  <si>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</si>
  <si>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</si>
  <si>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</si>
  <si>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</si>
  <si>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</si>
  <si>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</si>
  <si>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</si>
  <si>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</si>
  <si>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</si>
  <si>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</si>
  <si>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</si>
  <si>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</si>
  <si>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</si>
  <si>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</si>
  <si>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</si>
  <si>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</si>
  <si>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</si>
  <si>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</si>
  <si>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</si>
  <si>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</si>
  <si>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</si>
  <si>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</si>
  <si>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</si>
  <si>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</si>
  <si>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</si>
  <si>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</si>
  <si>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</si>
  <si>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</si>
  <si>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</si>
  <si>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</si>
  <si>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</si>
  <si>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</si>
  <si>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</si>
  <si>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</si>
  <si>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</si>
  <si>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</si>
  <si>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</si>
  <si>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</si>
  <si>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</si>
  <si>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</si>
  <si>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</si>
  <si>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</si>
  <si>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</si>
  <si>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</si>
  <si>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</si>
  <si>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</si>
  <si>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</si>
  <si>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</si>
  <si>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</si>
  <si>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</si>
  <si>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</si>
  <si>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</si>
  <si>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</si>
  <si>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</si>
  <si>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</si>
  <si>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</si>
  <si>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</si>
  <si>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</si>
  <si>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</si>
  <si>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</si>
  <si>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</si>
  <si>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</si>
  <si>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</si>
  <si>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</si>
  <si>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</si>
  <si>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</si>
  <si>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</si>
  <si>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</si>
  <si>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</si>
  <si>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</si>
  <si>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</si>
  <si>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</si>
  <si>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</si>
  <si>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</si>
  <si>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</si>
  <si>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</si>
  <si>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</si>
  <si>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</si>
  <si>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</si>
  <si>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</si>
  <si>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</si>
  <si>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</si>
  <si>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</si>
  <si>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</si>
  <si>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</si>
  <si>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</si>
  <si>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</si>
  <si>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</si>
  <si>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</si>
  <si>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</si>
  <si>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</si>
  <si>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</si>
  <si>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</si>
  <si>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</si>
  <si>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</si>
  <si>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</si>
  <si>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</si>
  <si>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</si>
  <si>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</si>
  <si>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</si>
  <si>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</si>
  <si>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</si>
  <si>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</si>
  <si>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</si>
  <si>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</si>
  <si>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</si>
  <si>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</si>
  <si>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</si>
  <si>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</si>
  <si>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</si>
  <si>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</si>
  <si>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</si>
  <si>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</si>
  <si>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</si>
  <si>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</si>
  <si>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</si>
  <si>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</si>
  <si>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</si>
  <si>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</si>
  <si>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</si>
  <si>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</si>
  <si>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</si>
  <si>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</si>
  <si>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</si>
  <si>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</si>
  <si>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</si>
  <si>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</si>
  <si>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</si>
  <si>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</si>
  <si>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</si>
  <si>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</si>
  <si>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</si>
  <si>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</si>
  <si>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</si>
  <si>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</si>
  <si>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</si>
  <si>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</si>
  <si>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</si>
  <si>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</si>
  <si>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</si>
  <si>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</si>
  <si>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</si>
  <si>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</si>
  <si>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</si>
  <si>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</si>
  <si>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</si>
  <si>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</si>
  <si>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</si>
  <si>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</si>
  <si>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</si>
  <si>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</si>
  <si>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</si>
  <si>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</si>
  <si>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</si>
  <si>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</si>
  <si>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</si>
  <si>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</si>
  <si>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</si>
  <si>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</si>
  <si>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</si>
  <si>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</si>
  <si>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</si>
  <si>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</si>
  <si>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</si>
  <si>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</si>
  <si>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</si>
  <si>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</si>
  <si>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</si>
  <si>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</si>
  <si>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</si>
  <si>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</si>
  <si>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</si>
  <si>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</si>
  <si>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</si>
  <si>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</si>
  <si>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</si>
  <si>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</si>
  <si>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</si>
  <si>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</si>
  <si>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</si>
  <si>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</si>
  <si>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</si>
  <si>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</si>
  <si>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</si>
  <si>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</si>
  <si>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</si>
  <si>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</si>
  <si>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</si>
  <si>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</si>
  <si>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</si>
  <si>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</si>
  <si>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</si>
  <si>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</si>
  <si>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</si>
  <si>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</si>
  <si>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</si>
  <si>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</si>
  <si>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</si>
  <si>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</si>
  <si>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</si>
  <si>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</si>
  <si>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</si>
  <si>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</si>
  <si>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</si>
  <si>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</si>
  <si>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</si>
  <si>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</si>
  <si>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</si>
  <si>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</si>
  <si>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</si>
  <si>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</si>
  <si>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</si>
  <si>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</si>
  <si>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</si>
  <si>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</si>
  <si>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</si>
  <si>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</si>
  <si>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</si>
  <si>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</si>
  <si>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</si>
  <si>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</si>
  <si>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</si>
  <si>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</si>
  <si>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</si>
  <si>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</si>
  <si>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</si>
  <si>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</si>
  <si>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</si>
  <si>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</si>
  <si>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</si>
  <si>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</si>
  <si>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</si>
  <si>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</si>
  <si>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</si>
  <si>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</si>
  <si>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</si>
  <si>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</si>
  <si>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</si>
  <si>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</si>
  <si>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</si>
  <si>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</si>
  <si>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</si>
  <si>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</si>
  <si>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</si>
  <si>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</si>
  <si>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</si>
  <si>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</si>
  <si>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</si>
  <si>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</si>
  <si>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</si>
  <si>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</si>
  <si>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</si>
  <si>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</si>
  <si>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</si>
  <si>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</si>
  <si>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</si>
  <si>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</si>
  <si>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</si>
  <si>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</si>
  <si>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</si>
  <si>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</si>
  <si>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</si>
  <si>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</si>
  <si>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</si>
  <si>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</si>
  <si>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</si>
  <si>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</si>
  <si>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</si>
  <si>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</si>
  <si>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</si>
  <si>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</si>
  <si>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</si>
  <si>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</si>
  <si>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</si>
  <si>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</si>
  <si>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</si>
  <si>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</si>
  <si>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</si>
  <si>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</si>
  <si>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</si>
  <si>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</si>
  <si>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</si>
  <si>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</si>
  <si>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</si>
  <si>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</si>
  <si>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</si>
  <si>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</si>
  <si>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</si>
  <si>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</si>
  <si>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</si>
  <si>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</si>
  <si>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</si>
  <si>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</si>
  <si>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</si>
  <si>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</si>
  <si>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</si>
  <si>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</si>
  <si>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</si>
  <si>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</si>
  <si>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</si>
  <si>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</si>
  <si>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</si>
  <si>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</si>
  <si>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</si>
  <si>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</si>
  <si>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</si>
  <si>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</si>
  <si>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</si>
  <si>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</si>
  <si>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</si>
  <si>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</si>
  <si>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</si>
  <si>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</si>
  <si>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</si>
  <si>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</si>
  <si>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</si>
  <si>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</si>
  <si>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</si>
  <si>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</si>
  <si>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</si>
  <si>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</si>
  <si>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</si>
  <si>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</si>
  <si>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</si>
  <si>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</si>
  <si>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</si>
  <si>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</si>
  <si>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</si>
  <si>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</si>
  <si>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</si>
  <si>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</si>
  <si>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</si>
  <si>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</si>
  <si>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</si>
  <si>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</si>
  <si>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</si>
  <si>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</si>
  <si>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</si>
  <si>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</si>
  <si>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</si>
  <si>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</si>
  <si>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</si>
  <si>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</si>
  <si>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</si>
  <si>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</si>
  <si>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</si>
  <si>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</si>
  <si>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</si>
  <si>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</si>
  <si>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</si>
  <si>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</si>
  <si>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</si>
  <si>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</si>
  <si>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</si>
  <si>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</si>
  <si>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</si>
  <si>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</si>
  <si>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</si>
  <si>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</si>
  <si>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</si>
  <si>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</si>
  <si>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</si>
  <si>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</si>
  <si>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</si>
  <si>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</si>
  <si>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</si>
  <si>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</si>
  <si>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</si>
  <si>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</si>
  <si>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</si>
  <si>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</si>
  <si>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</si>
  <si>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</si>
  <si>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</si>
  <si>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</si>
  <si>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</si>
  <si>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</si>
  <si>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</si>
  <si>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</si>
  <si>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</si>
  <si>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</si>
  <si>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</si>
  <si>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</si>
  <si>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</si>
  <si>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</si>
  <si>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</si>
  <si>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</si>
  <si>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</si>
  <si>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</si>
  <si>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</si>
  <si>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</si>
  <si>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</si>
  <si>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</si>
  <si>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</si>
  <si>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</si>
  <si>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</si>
  <si>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</si>
  <si>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</si>
  <si>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</si>
  <si>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</si>
  <si>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</si>
  <si>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</si>
  <si>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</si>
  <si>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</si>
  <si>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</si>
  <si>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</si>
  <si>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</si>
  <si>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</si>
  <si>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</si>
  <si>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</si>
  <si>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</si>
  <si>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</si>
  <si>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</si>
  <si>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</si>
  <si>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</si>
  <si>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</si>
  <si>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</si>
  <si>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</si>
  <si>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</si>
  <si>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</si>
  <si>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</si>
  <si>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</si>
  <si>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</si>
  <si>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</si>
  <si>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</si>
  <si>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</si>
  <si>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</si>
  <si>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</si>
  <si>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</si>
  <si>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</si>
  <si>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</si>
  <si>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</si>
  <si>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</si>
  <si>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</si>
  <si>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</si>
  <si>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</si>
  <si>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</si>
  <si>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</si>
  <si>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</si>
  <si>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</si>
  <si>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</si>
  <si>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</si>
  <si>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</si>
  <si>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</si>
  <si>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</si>
  <si>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</si>
  <si>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</si>
  <si>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</si>
  <si>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</si>
  <si>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</si>
  <si>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</si>
  <si>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</si>
  <si>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</si>
  <si>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</si>
  <si>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</si>
  <si>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</si>
  <si>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</si>
  <si>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</si>
  <si>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</si>
  <si>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</si>
  <si>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</si>
  <si>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</si>
  <si>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</si>
  <si>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</si>
  <si>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</si>
  <si>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</si>
  <si>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</si>
  <si>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</si>
  <si>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</si>
  <si>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</si>
  <si>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</si>
  <si>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</si>
  <si>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</si>
  <si>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</si>
  <si>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</si>
  <si>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</si>
  <si>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</si>
  <si>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</si>
  <si>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</si>
  <si>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</si>
  <si>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</si>
  <si>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</si>
  <si>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</si>
  <si>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</si>
  <si>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</si>
  <si>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</si>
  <si>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</si>
  <si>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</si>
  <si>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</si>
  <si>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</si>
  <si>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</si>
  <si>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</si>
  <si>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</si>
  <si>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</si>
  <si>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</si>
  <si>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</si>
  <si>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</si>
  <si>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</si>
  <si>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</si>
  <si>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</si>
  <si>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</si>
  <si>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</si>
  <si>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</si>
  <si>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</si>
  <si>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</si>
  <si>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</si>
  <si>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</si>
  <si>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</si>
  <si>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</si>
  <si>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</si>
  <si>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</si>
  <si>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</si>
  <si>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</si>
  <si>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</si>
  <si>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</si>
  <si>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</si>
  <si>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</si>
  <si>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</si>
  <si>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</si>
  <si>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</si>
  <si>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</si>
  <si>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</si>
  <si>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</si>
  <si>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</si>
  <si>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</si>
  <si>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</si>
  <si>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</si>
  <si>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</si>
  <si>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</si>
  <si>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</si>
  <si>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</si>
  <si>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</si>
  <si>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</si>
  <si>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</si>
  <si>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</si>
  <si>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</si>
  <si>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</si>
  <si>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</si>
  <si>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</si>
  <si>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</si>
  <si>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</si>
  <si>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</si>
  <si>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</si>
  <si>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</si>
  <si>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</si>
  <si>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</si>
  <si>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</si>
  <si>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</si>
  <si>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</si>
  <si>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</si>
  <si>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</si>
  <si>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</si>
  <si>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</si>
  <si>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</si>
  <si>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</si>
  <si>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</si>
  <si>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</si>
  <si>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</si>
  <si>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</si>
  <si>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</si>
  <si>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</si>
  <si>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</si>
  <si>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</si>
  <si>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</si>
  <si>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</si>
  <si>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</si>
  <si>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</si>
  <si>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</si>
  <si>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</si>
  <si>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</si>
  <si>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</si>
  <si>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</si>
  <si>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</si>
  <si>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</si>
  <si>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</si>
  <si>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</si>
  <si>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</si>
  <si>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</si>
  <si>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</si>
  <si>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</si>
  <si>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</si>
  <si>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</si>
  <si>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</si>
  <si>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</si>
  <si>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</si>
  <si>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</si>
  <si>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</si>
  <si>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</si>
  <si>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</si>
  <si>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</si>
  <si>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</si>
  <si>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</si>
  <si>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</si>
  <si>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</si>
  <si>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</si>
  <si>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</si>
  <si>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</si>
  <si>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</si>
  <si>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</si>
  <si>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</si>
  <si>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</si>
  <si>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</si>
  <si>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</si>
  <si>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</si>
  <si>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</si>
  <si>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</si>
  <si>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</si>
  <si>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</si>
  <si>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</si>
  <si>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</si>
  <si>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</si>
  <si>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</si>
  <si>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</si>
  <si>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</si>
  <si>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</si>
  <si>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</si>
  <si>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</si>
  <si>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</si>
  <si>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</si>
  <si>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</si>
  <si>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</si>
  <si>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</si>
  <si>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</si>
  <si>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</si>
  <si>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</si>
  <si>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</si>
  <si>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</si>
  <si>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</si>
  <si>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</si>
  <si>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</si>
  <si>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</si>
  <si>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</si>
  <si>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</si>
  <si>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</si>
  <si>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</si>
  <si>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</si>
  <si>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</si>
  <si>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</si>
  <si>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</si>
  <si>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</si>
  <si>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</si>
  <si>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</si>
  <si>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</si>
  <si>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</si>
  <si>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</si>
  <si>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</si>
  <si>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</si>
  <si>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</si>
  <si>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</si>
  <si>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</si>
  <si>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</si>
  <si>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</si>
  <si>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</si>
  <si>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</si>
  <si>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</si>
  <si>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</si>
  <si>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</si>
  <si>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</si>
  <si>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</si>
  <si>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</si>
  <si>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</si>
  <si>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</si>
  <si>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</si>
  <si>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</si>
  <si>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</si>
  <si>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</si>
  <si>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</si>
  <si>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</si>
  <si>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</si>
  <si>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</si>
  <si>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</si>
  <si>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</si>
  <si>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</si>
  <si>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</si>
  <si>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</si>
  <si>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</si>
  <si>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</si>
  <si>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</si>
  <si>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</si>
  <si>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</si>
  <si>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</si>
  <si>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</si>
  <si>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</si>
  <si>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</si>
  <si>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</si>
  <si>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</si>
  <si>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</si>
  <si>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</si>
  <si>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</si>
  <si>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</si>
  <si>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</si>
  <si>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</si>
  <si>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</si>
  <si>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</si>
  <si>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</si>
  <si>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</si>
  <si>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</si>
  <si>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</si>
  <si>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</si>
  <si>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</si>
  <si>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</si>
  <si>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</si>
  <si>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</si>
  <si>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</si>
  <si>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</si>
  <si>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</si>
  <si>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</si>
  <si>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</si>
  <si>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</si>
  <si>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</si>
  <si>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</si>
  <si>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</si>
  <si>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</si>
  <si>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</si>
  <si>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</si>
  <si>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</si>
  <si>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</si>
  <si>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</si>
  <si>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</si>
  <si>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</si>
  <si>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</si>
  <si>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</si>
  <si>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</si>
  <si>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</si>
  <si>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</si>
  <si>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</si>
  <si>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</si>
  <si>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</si>
  <si>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</si>
  <si>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</si>
  <si>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</si>
  <si>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</si>
  <si>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</si>
  <si>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</si>
  <si>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</si>
  <si>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</si>
  <si>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</si>
  <si>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</si>
  <si>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</si>
  <si>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</si>
  <si>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</si>
  <si>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</si>
  <si>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</si>
  <si>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</si>
  <si>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</si>
  <si>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</si>
  <si>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</si>
  <si>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</si>
  <si>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</si>
  <si>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</si>
  <si>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</si>
  <si>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</si>
  <si>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</si>
  <si>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</si>
  <si>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</si>
  <si>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</si>
  <si>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</si>
  <si>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</si>
  <si>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</si>
  <si>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</si>
  <si>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</si>
  <si>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</si>
  <si>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</si>
  <si>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</si>
  <si>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</si>
  <si>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</si>
  <si>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</si>
  <si>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</si>
  <si>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</si>
  <si>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</si>
  <si>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</si>
  <si>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</si>
  <si>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</si>
  <si>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</si>
  <si>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</si>
  <si>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</si>
  <si>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</si>
  <si>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</si>
  <si>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</si>
  <si>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</si>
  <si>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</si>
  <si>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</si>
  <si>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</si>
  <si>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</si>
  <si>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</si>
  <si>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</si>
  <si>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</si>
  <si>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</si>
  <si>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</si>
  <si>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</si>
  <si>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</si>
  <si>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</si>
  <si>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</si>
  <si>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</si>
  <si>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</si>
  <si>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</si>
  <si>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</si>
  <si>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</si>
  <si>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</si>
  <si>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</si>
  <si>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</si>
  <si>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</si>
  <si>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</si>
  <si>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</si>
  <si>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</si>
  <si>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</si>
  <si>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</si>
  <si>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</si>
  <si>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</si>
  <si>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</si>
  <si>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</si>
  <si>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</si>
  <si>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</si>
  <si>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</si>
  <si>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</si>
  <si>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</si>
  <si>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</si>
  <si>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</si>
  <si>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</si>
  <si>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</si>
  <si>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</si>
  <si>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</si>
  <si>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</si>
  <si>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</si>
  <si>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</si>
  <si>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</si>
  <si>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</si>
  <si>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</si>
  <si>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</si>
  <si>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</si>
  <si>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</si>
  <si>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</si>
  <si>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</si>
  <si>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</si>
  <si>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</si>
  <si>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</si>
  <si>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</si>
  <si>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</si>
  <si>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</si>
  <si>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</si>
  <si>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</si>
  <si>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</si>
  <si>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</si>
  <si>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</si>
  <si>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</si>
  <si>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</si>
  <si>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</si>
  <si>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</si>
  <si>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</si>
  <si>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</si>
  <si>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</si>
  <si>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</si>
  <si>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</si>
  <si>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</si>
  <si>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</si>
  <si>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</si>
  <si>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</si>
  <si>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</si>
  <si>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</si>
  <si>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</si>
  <si>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</si>
  <si>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</si>
  <si>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</si>
  <si>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</si>
  <si>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</si>
  <si>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</si>
  <si>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</si>
  <si>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</si>
  <si>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</si>
  <si>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</si>
  <si>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</si>
  <si>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</si>
  <si>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</si>
  <si>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</si>
  <si>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</si>
  <si>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</si>
  <si>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</si>
  <si>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</si>
  <si>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</si>
  <si>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</si>
  <si>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</si>
  <si>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</si>
  <si>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</si>
  <si>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</si>
  <si>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</si>
  <si>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</si>
  <si>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</si>
  <si>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</si>
  <si>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</si>
  <si>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</si>
  <si>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</si>
  <si>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</si>
  <si>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</si>
  <si>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</si>
  <si>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</si>
  <si>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</si>
  <si>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</si>
  <si>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</si>
  <si>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</si>
  <si>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</si>
  <si>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</si>
  <si>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</si>
  <si>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</si>
  <si>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</si>
  <si>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</si>
  <si>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</si>
  <si>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</si>
  <si>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</si>
  <si>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</si>
  <si>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</si>
  <si>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</si>
  <si>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</si>
  <si>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</si>
  <si>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</si>
  <si>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</si>
  <si>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</si>
  <si>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</si>
  <si>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</si>
  <si>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</si>
  <si>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</si>
  <si>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</si>
  <si>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</si>
  <si>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</si>
  <si>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</si>
  <si>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</si>
  <si>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</si>
  <si>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</si>
  <si>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</si>
  <si>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</si>
  <si>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</si>
  <si>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</si>
  <si>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</si>
  <si>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</si>
  <si>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</si>
  <si>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</si>
  <si>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</si>
  <si>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</si>
  <si>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</si>
  <si>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</si>
  <si>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</si>
  <si>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</si>
  <si>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</si>
  <si>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</si>
  <si>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</si>
  <si>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</si>
  <si>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</si>
  <si>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</si>
  <si>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</si>
  <si>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</si>
  <si>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</si>
  <si>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</si>
  <si>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</si>
  <si>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</si>
  <si>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</si>
  <si>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</si>
  <si>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</si>
  <si>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</si>
  <si>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</si>
  <si>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</si>
  <si>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</si>
  <si>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</si>
  <si>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</si>
  <si>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</si>
  <si>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</si>
  <si>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</si>
  <si>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</si>
  <si>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</si>
  <si>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</si>
  <si>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</si>
  <si>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</si>
  <si>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</si>
  <si>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</si>
  <si>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</si>
  <si>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</si>
  <si>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</si>
  <si>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</si>
  <si>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</si>
  <si>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</si>
  <si>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</si>
  <si>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</si>
  <si>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</si>
  <si>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</si>
  <si>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</si>
  <si>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</si>
  <si>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</si>
  <si>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</si>
  <si>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</si>
  <si>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</si>
  <si>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</si>
  <si>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</si>
  <si>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</si>
  <si>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</si>
  <si>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</si>
  <si>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</si>
  <si>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</si>
  <si>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</si>
  <si>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</si>
  <si>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</si>
  <si>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</si>
  <si>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</si>
  <si>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</si>
  <si>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</si>
  <si>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</si>
  <si>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</si>
  <si>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</si>
  <si>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</si>
  <si>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</si>
  <si>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</si>
  <si>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</si>
  <si>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</si>
  <si>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</si>
  <si>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</si>
  <si>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</si>
  <si>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</si>
  <si>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</si>
  <si>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</si>
  <si>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</si>
  <si>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</si>
  <si>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</si>
  <si>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</si>
  <si>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</si>
  <si>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</si>
  <si>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</si>
  <si>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</si>
  <si>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</si>
  <si>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</si>
  <si>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</si>
  <si>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</si>
  <si>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</si>
  <si>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</si>
  <si>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</si>
  <si>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</si>
  <si>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</si>
  <si>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</si>
  <si>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</si>
  <si>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</si>
  <si>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</si>
  <si>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</si>
  <si>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</si>
  <si>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</si>
  <si>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</si>
  <si>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</si>
  <si>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</si>
  <si>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</si>
  <si>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</si>
  <si>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</si>
  <si>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</si>
  <si>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</si>
  <si>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</si>
  <si>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</si>
  <si>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</si>
  <si>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</si>
  <si>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</si>
  <si>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</si>
  <si>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</si>
  <si>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</si>
  <si>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</si>
  <si>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</si>
  <si>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</si>
  <si>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</si>
  <si>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</si>
  <si>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</si>
  <si>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</si>
  <si>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</si>
  <si>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</si>
  <si>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</si>
  <si>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</si>
  <si>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</si>
  <si>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</si>
  <si>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</si>
  <si>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</si>
  <si>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</si>
  <si>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</si>
  <si>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</si>
  <si>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</si>
  <si>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</si>
  <si>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</si>
  <si>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</si>
  <si>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</si>
  <si>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</si>
  <si>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</si>
  <si>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</si>
  <si>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</si>
  <si>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</si>
  <si>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</si>
  <si>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</si>
  <si>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</si>
  <si>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</si>
  <si>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</si>
  <si>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</si>
  <si>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</si>
  <si>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</si>
  <si>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</si>
  <si>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</si>
  <si>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</si>
  <si>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</si>
  <si>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</si>
  <si>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</si>
  <si>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</si>
  <si>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</si>
  <si>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</si>
  <si>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</si>
  <si>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</si>
  <si>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</si>
  <si>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</si>
  <si>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</si>
  <si>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</si>
  <si>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</si>
  <si>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</si>
  <si>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</si>
  <si>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</si>
  <si>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</si>
  <si>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</si>
  <si>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</si>
  <si>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</si>
  <si>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</si>
  <si>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</si>
  <si>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</si>
  <si>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</si>
  <si>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</si>
  <si>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</si>
  <si>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</si>
  <si>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</si>
  <si>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</si>
  <si>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</si>
  <si>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</si>
  <si>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</si>
  <si>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</si>
  <si>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</si>
  <si>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</si>
  <si>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</si>
  <si>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</si>
  <si>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</si>
  <si>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</si>
  <si>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</si>
  <si>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</si>
  <si>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</si>
  <si>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</si>
  <si>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</si>
  <si>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</si>
  <si>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</si>
  <si>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</si>
  <si>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</si>
  <si>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</si>
  <si>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</si>
  <si>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</si>
  <si>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</si>
  <si>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</si>
  <si>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</si>
  <si>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</si>
  <si>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</si>
  <si>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</si>
  <si>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</si>
  <si>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</si>
  <si>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</si>
  <si>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</si>
  <si>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</si>
  <si>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</si>
  <si>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</si>
  <si>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</si>
  <si>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</si>
  <si>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</si>
  <si>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</si>
  <si>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</si>
  <si>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</si>
  <si>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</si>
  <si>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</si>
  <si>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</si>
  <si>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</si>
  <si>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</si>
  <si>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</si>
  <si>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</si>
  <si>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</si>
  <si>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</si>
  <si>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</si>
  <si>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</si>
  <si>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</si>
  <si>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</si>
  <si>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</si>
  <si>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</si>
  <si>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</si>
  <si>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</si>
  <si>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</si>
  <si>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</si>
  <si>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</si>
  <si>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</si>
  <si>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</si>
  <si>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</si>
  <si>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</si>
  <si>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</si>
  <si>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</si>
  <si>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</si>
  <si>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</si>
  <si>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</si>
  <si>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</si>
  <si>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</si>
  <si>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</si>
  <si>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</si>
  <si>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</si>
  <si>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</si>
  <si>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</si>
  <si>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</si>
  <si>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</si>
  <si>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</si>
  <si>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</si>
  <si>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</si>
  <si>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</si>
  <si>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</si>
  <si>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</si>
  <si>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</si>
  <si>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</si>
  <si>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</si>
  <si>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</si>
  <si>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</si>
  <si>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</si>
  <si>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</si>
  <si>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</si>
  <si>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</si>
  <si>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</si>
  <si>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</si>
  <si>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</si>
  <si>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</si>
  <si>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</si>
  <si>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</si>
  <si>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</si>
  <si>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</si>
  <si>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</si>
  <si>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</si>
  <si>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</si>
  <si>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</si>
  <si>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</si>
  <si>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</si>
  <si>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</si>
  <si>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</si>
  <si>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</si>
  <si>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</si>
  <si>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</si>
  <si>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</si>
  <si>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</si>
  <si>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</si>
  <si>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</si>
  <si>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</si>
  <si>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</si>
  <si>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</si>
  <si>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</si>
  <si>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</si>
  <si>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</si>
  <si>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</si>
  <si>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</si>
  <si>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</si>
  <si>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</si>
  <si>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</si>
  <si>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</si>
  <si>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</si>
  <si>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</si>
  <si>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</si>
  <si>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</si>
  <si>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</si>
  <si>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</si>
  <si>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</si>
  <si>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</si>
  <si>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</si>
  <si>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</si>
  <si>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</si>
  <si>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</si>
  <si>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</si>
  <si>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</si>
  <si>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</si>
  <si>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</si>
  <si>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</si>
  <si>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</si>
  <si>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</si>
  <si>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</si>
  <si>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</si>
  <si>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</si>
  <si>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</si>
  <si>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</si>
  <si>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</si>
  <si>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</si>
  <si>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</si>
  <si>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</si>
  <si>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</si>
  <si>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</si>
  <si>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</si>
  <si>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</si>
  <si>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</si>
  <si>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</si>
  <si>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</si>
  <si>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</si>
  <si>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</si>
  <si>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</si>
  <si>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</si>
  <si>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</si>
  <si>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</si>
  <si>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</si>
  <si>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</si>
  <si>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</si>
  <si>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</si>
  <si>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</si>
  <si>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</si>
  <si>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</si>
  <si>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</si>
  <si>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</si>
  <si>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</si>
  <si>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</si>
  <si>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</si>
  <si>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</si>
  <si>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</si>
  <si>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</si>
  <si>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</si>
  <si>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</si>
  <si>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</si>
  <si>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</si>
  <si>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</si>
  <si>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</si>
  <si>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</si>
  <si>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</si>
  <si>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</si>
  <si>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</si>
  <si>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</si>
  <si>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</si>
  <si>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</si>
  <si>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</si>
  <si>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</si>
  <si>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</si>
  <si>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</si>
  <si>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</si>
  <si>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</si>
  <si>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</si>
  <si>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</si>
  <si>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</si>
  <si>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</si>
  <si>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</si>
  <si>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</si>
  <si>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</si>
  <si>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</si>
  <si>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</si>
  <si>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</si>
  <si>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</si>
  <si>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</si>
  <si>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</si>
  <si>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</si>
  <si>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</si>
  <si>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</si>
  <si>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</si>
  <si>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</si>
  <si>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</si>
  <si>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</si>
  <si>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</si>
  <si>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</si>
  <si>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</si>
  <si>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</si>
  <si>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</si>
  <si>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</si>
  <si>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</si>
  <si>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</si>
  <si>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</si>
  <si>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</si>
  <si>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</si>
  <si>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</si>
  <si>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</si>
  <si>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</si>
  <si>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</si>
  <si>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</si>
  <si>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</si>
  <si>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</si>
  <si>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</si>
  <si>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</si>
  <si>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</si>
  <si>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</si>
  <si>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</si>
  <si>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</si>
  <si>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</si>
  <si>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</si>
  <si>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</si>
  <si>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</si>
  <si>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</si>
  <si>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</si>
  <si>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</si>
  <si>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</si>
  <si>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</si>
  <si>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</si>
  <si>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</si>
  <si>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</si>
  <si>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</si>
  <si>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</si>
  <si>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</si>
  <si>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</si>
  <si>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</si>
  <si>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</si>
  <si>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</si>
  <si>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</si>
  <si>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</si>
  <si>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</si>
  <si>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</si>
  <si>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</si>
  <si>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</si>
  <si>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</si>
  <si>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</si>
  <si>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</si>
  <si>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</si>
  <si>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</si>
  <si>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</si>
  <si>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</si>
  <si>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</si>
  <si>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</si>
  <si>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</si>
  <si>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</si>
  <si>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</si>
  <si>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</si>
  <si>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</si>
  <si>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</si>
  <si>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</si>
  <si>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</si>
  <si>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</si>
  <si>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</si>
  <si>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</si>
  <si>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</si>
  <si>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</si>
  <si>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</si>
  <si>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</si>
  <si>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</si>
  <si>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</si>
  <si>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</si>
  <si>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</si>
  <si>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</si>
  <si>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</si>
  <si>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</si>
  <si>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</si>
  <si>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</si>
  <si>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</si>
  <si>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</si>
  <si>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</si>
  <si>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</si>
  <si>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</si>
  <si>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</si>
  <si>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</si>
  <si>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</si>
  <si>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</si>
  <si>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</si>
  <si>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</si>
  <si>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</si>
  <si>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</si>
  <si>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</si>
  <si>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</si>
  <si>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</si>
  <si>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</si>
  <si>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</si>
  <si>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</si>
  <si>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</si>
  <si>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</si>
  <si>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</si>
  <si>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</si>
  <si>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</si>
  <si>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</si>
  <si>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</si>
  <si>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</si>
  <si>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</si>
  <si>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</si>
  <si>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</si>
  <si>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</si>
  <si>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</si>
  <si>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</si>
  <si>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</si>
  <si>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</si>
  <si>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</si>
  <si>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</si>
  <si>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</si>
  <si>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</si>
  <si>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</si>
  <si>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</si>
  <si>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</si>
  <si>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</si>
  <si>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</si>
  <si>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</si>
  <si>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</si>
  <si>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</si>
  <si>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</si>
  <si>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</si>
  <si>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</si>
  <si>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</si>
  <si>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</si>
  <si>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</si>
  <si>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</si>
  <si>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</si>
  <si>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</si>
  <si>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</si>
  <si>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</si>
  <si>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</si>
  <si>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</si>
  <si>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</si>
  <si>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</si>
  <si>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</si>
  <si>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</si>
  <si>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</si>
  <si>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</si>
  <si>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</si>
  <si>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</si>
  <si>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</si>
  <si>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</si>
  <si>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</si>
  <si>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</si>
  <si>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</si>
  <si>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</si>
  <si>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</si>
  <si>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</si>
  <si>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</si>
  <si>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</si>
  <si>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</si>
  <si>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</si>
  <si>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</si>
  <si>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</si>
  <si>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</si>
  <si>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</si>
  <si>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</si>
  <si>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</si>
  <si>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</si>
  <si>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</si>
  <si>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</si>
  <si>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</si>
  <si>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</si>
  <si>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</si>
  <si>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</si>
  <si>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</si>
  <si>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</si>
  <si>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</si>
  <si>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</si>
  <si>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</si>
  <si>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</si>
  <si>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</si>
  <si>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</si>
  <si>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</si>
  <si>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</si>
  <si>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</si>
  <si>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</si>
  <si>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</si>
  <si>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</si>
  <si>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</si>
  <si>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</si>
  <si>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</si>
  <si>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</si>
  <si>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</si>
  <si>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</si>
  <si>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</si>
  <si>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</si>
  <si>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</si>
  <si>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</si>
  <si>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</si>
  <si>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</si>
  <si>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</si>
  <si>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</si>
  <si>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</si>
  <si>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</si>
  <si>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</si>
  <si>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</si>
  <si>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</si>
  <si>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</si>
  <si>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</si>
  <si>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</si>
  <si>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</si>
  <si>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</si>
  <si>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</si>
  <si>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</si>
  <si>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</si>
  <si>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</si>
  <si>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</si>
  <si>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</si>
  <si>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</si>
  <si>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</si>
  <si>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</si>
  <si>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</si>
  <si>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</si>
  <si>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</si>
  <si>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</si>
  <si>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</si>
  <si>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</si>
  <si>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</si>
  <si>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</si>
  <si>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</si>
  <si>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</si>
  <si>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</si>
  <si>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</si>
  <si>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</si>
  <si>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</si>
  <si>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</si>
  <si>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</si>
  <si>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</si>
  <si>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</si>
  <si>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</si>
  <si>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</si>
  <si>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</si>
  <si>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</si>
  <si>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</si>
  <si>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</si>
  <si>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</si>
  <si>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</si>
  <si>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</si>
  <si>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</si>
  <si>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</si>
  <si>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</si>
  <si>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</si>
  <si>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</si>
  <si>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</si>
  <si>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</si>
  <si>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</si>
  <si>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</si>
  <si>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</si>
  <si>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</si>
  <si>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</si>
  <si>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</si>
  <si>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</si>
  <si>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</si>
  <si>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</si>
  <si>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</si>
  <si>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</si>
  <si>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</si>
  <si>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</si>
  <si>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</si>
  <si>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</si>
  <si>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</si>
  <si>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</si>
  <si>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</si>
  <si>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</si>
  <si>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</si>
  <si>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</si>
  <si>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</si>
  <si>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</si>
  <si>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</si>
  <si>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</si>
  <si>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</si>
  <si>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</si>
  <si>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</si>
  <si>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</si>
  <si>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</si>
  <si>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</si>
  <si>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</si>
  <si>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</si>
  <si>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</si>
  <si>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</si>
  <si>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</si>
  <si>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</si>
  <si>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</si>
  <si>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</si>
  <si>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</si>
  <si>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</si>
  <si>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</si>
  <si>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</si>
  <si>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</si>
  <si>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</si>
  <si>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</si>
  <si>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</si>
  <si>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</si>
  <si>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</si>
  <si>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</si>
  <si>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</si>
  <si>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</si>
  <si>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</si>
  <si>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</si>
  <si>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</si>
  <si>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</si>
  <si>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</si>
  <si>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</si>
  <si>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</si>
  <si>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</si>
  <si>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</si>
  <si>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</si>
  <si>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</si>
  <si>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</si>
  <si>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</si>
  <si>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</si>
  <si>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</si>
  <si>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</si>
  <si>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</si>
  <si>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</si>
  <si>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</si>
  <si>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</si>
  <si>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</si>
  <si>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</si>
  <si>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</si>
  <si>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</si>
  <si>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</si>
  <si>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</si>
  <si>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</si>
  <si>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</si>
  <si>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</si>
  <si>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</si>
  <si>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</si>
  <si>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</si>
  <si>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</si>
  <si>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</si>
  <si>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</si>
  <si>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</si>
  <si>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</si>
  <si>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</si>
  <si>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</si>
  <si>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</si>
  <si>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</si>
  <si>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</si>
  <si>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</si>
  <si>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</si>
  <si>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</si>
  <si>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</si>
  <si>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</si>
  <si>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</si>
  <si>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</si>
  <si>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</si>
  <si>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</si>
  <si>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</si>
  <si>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</si>
  <si>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</si>
  <si>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</si>
  <si>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</si>
  <si>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</si>
  <si>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</si>
  <si>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</si>
  <si>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</si>
  <si>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</si>
  <si>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</si>
  <si>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</si>
  <si>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</si>
  <si>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</si>
  <si>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</si>
  <si>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</si>
  <si>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</si>
  <si>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</si>
  <si>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</si>
  <si>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</si>
  <si>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</si>
  <si>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</si>
  <si>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</si>
  <si>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</si>
  <si>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</si>
  <si>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</si>
  <si>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</si>
  <si>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</si>
  <si>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</si>
  <si>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</si>
  <si>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</si>
  <si>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</si>
  <si>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</si>
  <si>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</si>
  <si>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</si>
  <si>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</si>
  <si>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</si>
  <si>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</si>
  <si>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</si>
  <si>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</si>
  <si>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</si>
  <si>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</si>
  <si>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</si>
  <si>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</si>
  <si>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</si>
  <si>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</si>
  <si>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</si>
  <si>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</si>
  <si>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</si>
  <si>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</si>
  <si>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</si>
  <si>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</si>
  <si>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</si>
  <si>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</si>
  <si>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</si>
  <si>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</si>
  <si>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</si>
  <si>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</si>
  <si>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</si>
  <si>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</si>
  <si>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</si>
  <si>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</si>
  <si>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</si>
  <si>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</si>
  <si>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</si>
  <si>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</si>
  <si>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</si>
  <si>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</si>
  <si>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</si>
  <si>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</si>
  <si>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</si>
  <si>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</si>
  <si>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</si>
  <si>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</si>
  <si>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</si>
  <si>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</si>
  <si>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</si>
  <si>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</si>
  <si>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</si>
  <si>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</si>
  <si>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</si>
  <si>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</si>
  <si>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</si>
  <si>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</si>
  <si>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</si>
  <si>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</si>
  <si>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</si>
  <si>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</si>
  <si>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</si>
  <si>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</si>
  <si>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</si>
  <si>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</si>
  <si>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</si>
  <si>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</si>
  <si>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</si>
  <si>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</si>
  <si>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</si>
  <si>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</si>
  <si>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</si>
  <si>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</si>
  <si>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</si>
  <si>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</si>
  <si>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</si>
  <si>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</si>
  <si>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</si>
  <si>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</si>
  <si>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</si>
  <si>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</si>
  <si>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</si>
  <si>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</si>
  <si>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</si>
  <si>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</si>
  <si>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</si>
  <si>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</si>
  <si>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</si>
  <si>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</si>
  <si>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</si>
  <si>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</si>
  <si>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</si>
  <si>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</si>
  <si>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</si>
  <si>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</si>
  <si>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</si>
  <si>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</si>
  <si>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</si>
  <si>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</si>
  <si>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</si>
  <si>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</si>
  <si>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</si>
  <si>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</si>
  <si>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</si>
  <si>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</si>
  <si>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</si>
  <si>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</si>
  <si>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</si>
  <si>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</si>
  <si>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</si>
  <si>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</si>
  <si>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</si>
  <si>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</si>
  <si>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</si>
  <si>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</si>
  <si>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</si>
  <si>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</si>
  <si>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</si>
  <si>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</si>
  <si>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</si>
  <si>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</si>
  <si>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</si>
  <si>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</si>
  <si>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</si>
  <si>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</si>
  <si>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</si>
  <si>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</si>
  <si>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</si>
  <si>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</si>
  <si>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</si>
  <si>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</si>
  <si>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</si>
  <si>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</si>
  <si>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</si>
  <si>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</si>
  <si>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</si>
  <si>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</si>
  <si>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</si>
  <si>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</si>
  <si>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</si>
  <si>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</si>
  <si>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</si>
  <si>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</si>
  <si>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</si>
  <si>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</si>
  <si>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</si>
  <si>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</si>
  <si>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</si>
  <si>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</si>
  <si>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</si>
  <si>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</si>
  <si>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</si>
  <si>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</si>
  <si>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</si>
  <si>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</si>
  <si>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</si>
  <si>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</si>
  <si>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</si>
  <si>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</si>
  <si>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</si>
  <si>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</si>
  <si>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</si>
  <si>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</si>
  <si>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</si>
  <si>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</si>
  <si>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</si>
  <si>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</si>
  <si>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</si>
  <si>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</si>
  <si>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</si>
  <si>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</si>
  <si>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</si>
  <si>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</si>
  <si>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</si>
  <si>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</si>
  <si>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</si>
  <si>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</si>
  <si>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</si>
  <si>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</si>
  <si>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</si>
  <si>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</si>
  <si>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</si>
  <si>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</si>
  <si>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</si>
  <si>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</si>
  <si>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</si>
  <si>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</si>
  <si>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</si>
  <si>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</si>
  <si>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</si>
  <si>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</si>
  <si>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</si>
  <si>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</si>
  <si>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</si>
  <si>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</si>
  <si>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</si>
  <si>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</si>
  <si>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</si>
  <si>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</si>
  <si>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</si>
  <si>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</si>
  <si>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</si>
  <si>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</si>
  <si>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</si>
  <si>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</si>
  <si>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</si>
  <si>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</si>
  <si>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</si>
  <si>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</si>
  <si>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</si>
  <si>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</si>
  <si>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</si>
  <si>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</si>
  <si>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</si>
  <si>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</si>
  <si>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</si>
  <si>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</si>
  <si>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</si>
  <si>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</si>
  <si>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</si>
  <si>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</si>
  <si>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</si>
  <si>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</si>
  <si>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</si>
  <si>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</si>
  <si>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</si>
  <si>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</si>
  <si>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</si>
  <si>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</si>
  <si>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</si>
  <si>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</si>
  <si>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</si>
  <si>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</si>
  <si>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</si>
  <si>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</si>
  <si>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</si>
  <si>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</si>
  <si>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</si>
  <si>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</si>
  <si>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</si>
  <si>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</si>
  <si>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</si>
  <si>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</si>
  <si>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</si>
  <si>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</si>
  <si>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</si>
  <si>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</si>
  <si>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</si>
  <si>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</si>
  <si>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</si>
  <si>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</si>
  <si>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</si>
  <si>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</si>
  <si>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</si>
  <si>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</si>
  <si>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</si>
  <si>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</si>
  <si>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</si>
  <si>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</si>
  <si>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</si>
  <si>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</si>
  <si>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</si>
  <si>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</si>
  <si>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</si>
  <si>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</si>
  <si>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</si>
  <si>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</si>
  <si>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</si>
  <si>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</si>
  <si>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</si>
  <si>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</si>
  <si>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</si>
  <si>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</si>
  <si>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</si>
  <si>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</si>
  <si>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</si>
  <si>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</si>
  <si>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</si>
  <si>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</si>
  <si>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</si>
  <si>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</si>
  <si>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</si>
  <si>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</si>
  <si>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</si>
  <si>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</si>
  <si>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</si>
  <si>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</si>
  <si>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</si>
  <si>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</si>
  <si>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</si>
  <si>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</si>
  <si>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</si>
  <si>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</si>
  <si>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</si>
  <si>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</si>
  <si>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</si>
  <si>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</si>
  <si>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</si>
  <si>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</si>
  <si>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</si>
  <si>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</si>
  <si>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</si>
  <si>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</si>
  <si>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</si>
  <si>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</si>
  <si>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</si>
  <si>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</si>
  <si>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</si>
  <si>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</si>
  <si>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</si>
  <si>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</si>
  <si>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</si>
  <si>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</si>
  <si>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</si>
  <si>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</si>
  <si>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</si>
  <si>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</si>
  <si>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</si>
  <si>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</si>
  <si>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</si>
  <si>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</si>
  <si>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</si>
  <si>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</si>
  <si>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</si>
  <si>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</si>
  <si>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</si>
  <si>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</si>
  <si>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</si>
  <si>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</si>
  <si>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</si>
  <si>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</si>
  <si>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</si>
  <si>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</si>
  <si>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</si>
  <si>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</si>
  <si>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</si>
  <si>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</si>
  <si>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</si>
  <si>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</si>
  <si>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</si>
  <si>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</si>
  <si>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</si>
  <si>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</si>
  <si>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</si>
  <si>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</si>
  <si>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</si>
  <si>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</si>
  <si>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</si>
  <si>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</si>
  <si>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</si>
  <si>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</si>
  <si>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</si>
  <si>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</si>
  <si>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</si>
  <si>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</si>
  <si>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</si>
  <si>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</si>
  <si>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</si>
  <si>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</si>
  <si>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</si>
  <si>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</si>
  <si>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</si>
  <si>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</si>
  <si>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</si>
  <si>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</si>
  <si>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</si>
  <si>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</si>
  <si>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</si>
  <si>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</si>
  <si>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</si>
  <si>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</si>
  <si>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</si>
  <si>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</si>
  <si>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</si>
  <si>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</si>
  <si>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</si>
  <si>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</si>
  <si>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</si>
  <si>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</si>
  <si>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</si>
  <si>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</si>
  <si>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</si>
  <si>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</si>
  <si>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</si>
  <si>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</si>
  <si>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</si>
  <si>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</si>
  <si>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</si>
  <si>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</si>
  <si>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</si>
  <si>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</si>
  <si>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</si>
  <si>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</si>
  <si>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</si>
  <si>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</si>
  <si>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</si>
  <si>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</si>
  <si>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</si>
  <si>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</si>
  <si>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</si>
  <si>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</si>
  <si>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</si>
  <si>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</si>
  <si>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</si>
  <si>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</si>
  <si>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</si>
  <si>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</si>
  <si>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</si>
  <si>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</si>
  <si>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</si>
  <si>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</si>
  <si>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</si>
  <si>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</si>
  <si>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</si>
  <si>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</si>
  <si>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</si>
  <si>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</si>
  <si>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</si>
  <si>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</si>
  <si>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</si>
  <si>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</si>
  <si>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</si>
  <si>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</si>
  <si>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</si>
  <si>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</si>
  <si>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</si>
  <si>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</si>
  <si>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</si>
  <si>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</si>
  <si>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</si>
  <si>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</si>
  <si>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</si>
  <si>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</si>
  <si>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</si>
  <si>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</si>
  <si>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</si>
  <si>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</si>
  <si>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</si>
  <si>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</si>
  <si>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</si>
  <si>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</si>
  <si>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</si>
  <si>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</si>
  <si>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</si>
  <si>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</si>
  <si>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</si>
  <si>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</si>
  <si>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</si>
  <si>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</si>
  <si>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</si>
  <si>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</si>
  <si>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</si>
  <si>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</si>
  <si>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</si>
  <si>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</si>
  <si>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</si>
  <si>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</si>
  <si>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</si>
  <si>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</si>
  <si>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</si>
  <si>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</si>
  <si>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</si>
  <si>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</si>
  <si>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</si>
  <si>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</si>
  <si>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</si>
  <si>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</si>
  <si>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</si>
  <si>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</si>
  <si>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</si>
  <si>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</si>
  <si>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</si>
  <si>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</si>
  <si>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</si>
  <si>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</si>
  <si>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</si>
  <si>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</si>
  <si>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</si>
  <si>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</si>
  <si>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</si>
  <si>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</si>
  <si>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</si>
  <si>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</si>
  <si>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</si>
  <si>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</si>
  <si>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</si>
  <si>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</si>
  <si>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</si>
  <si>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</si>
  <si>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</si>
  <si>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</si>
  <si>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</si>
  <si>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</si>
  <si>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</si>
  <si>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</si>
  <si>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</si>
  <si>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</si>
  <si>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</si>
  <si>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</si>
  <si>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</si>
  <si>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</si>
  <si>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</si>
  <si>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</si>
  <si>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</si>
  <si>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</si>
  <si>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</si>
  <si>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</si>
  <si>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</si>
  <si>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</si>
  <si>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</si>
  <si>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</si>
  <si>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</si>
  <si>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</si>
  <si>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</si>
  <si>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</si>
  <si>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</si>
  <si>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</si>
  <si>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</si>
  <si>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</si>
  <si>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</si>
  <si>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</si>
  <si>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</si>
  <si>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</si>
  <si>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</si>
  <si>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</si>
  <si>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</si>
  <si>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</si>
  <si>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</si>
  <si>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</si>
  <si>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</si>
  <si>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</si>
  <si>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</si>
  <si>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</si>
  <si>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</si>
  <si>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</si>
  <si>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</si>
  <si>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</si>
  <si>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</si>
  <si>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</si>
  <si>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</si>
  <si>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</si>
  <si>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</si>
  <si>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</si>
  <si>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</si>
  <si>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</si>
  <si>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</si>
  <si>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</si>
  <si>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</si>
  <si>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</si>
  <si>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</si>
  <si>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</si>
  <si>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</si>
  <si>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</si>
  <si>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</si>
  <si>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</si>
  <si>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</si>
  <si>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</si>
  <si>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</si>
  <si>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</si>
  <si>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</si>
  <si>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</si>
  <si>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</si>
  <si>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</si>
  <si>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</si>
  <si>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</si>
  <si>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</si>
  <si>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</si>
  <si>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</si>
  <si>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</si>
  <si>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</si>
  <si>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</si>
  <si>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</si>
  <si>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</si>
  <si>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</si>
  <si>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</si>
  <si>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</si>
  <si>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</si>
  <si>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</si>
  <si>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</si>
  <si>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</si>
  <si>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</si>
  <si>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</si>
  <si>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</si>
  <si>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</si>
  <si>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</si>
  <si>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</si>
  <si>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</si>
  <si>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</si>
  <si>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</si>
  <si>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</si>
  <si>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</si>
  <si>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</si>
  <si>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</si>
  <si>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</si>
  <si>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</si>
  <si>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</si>
  <si>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</si>
  <si>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</si>
  <si>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</si>
  <si>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</si>
  <si>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</si>
  <si>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</si>
  <si>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</si>
  <si>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</si>
  <si>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</si>
  <si>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</si>
  <si>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</si>
  <si>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</si>
  <si>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</si>
  <si>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</si>
  <si>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</si>
  <si>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</si>
  <si>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</si>
  <si>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</si>
  <si>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</si>
  <si>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</si>
  <si>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</si>
  <si>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</si>
  <si>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</si>
  <si>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</si>
  <si>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</si>
  <si>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</si>
  <si>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</si>
  <si>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</si>
  <si>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</si>
  <si>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</si>
  <si>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</si>
  <si>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</si>
  <si>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</si>
  <si>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</si>
  <si>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</si>
  <si>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</si>
  <si>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</si>
  <si>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</si>
  <si>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</si>
  <si>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</si>
  <si>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</si>
  <si>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</si>
  <si>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</si>
  <si>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</si>
  <si>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</si>
  <si>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</si>
  <si>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</si>
  <si>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</si>
  <si>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</si>
  <si>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</si>
  <si>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</si>
  <si>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</si>
  <si>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</si>
  <si>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</si>
  <si>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</si>
  <si>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</si>
  <si>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</si>
  <si>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</si>
  <si>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</si>
  <si>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</si>
  <si>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</si>
  <si>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</si>
  <si>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</si>
  <si>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</si>
  <si>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</si>
  <si>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</si>
  <si>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</si>
  <si>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</si>
  <si>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</si>
  <si>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</si>
  <si>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</si>
  <si>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</si>
  <si>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</si>
  <si>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</si>
  <si>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</si>
  <si>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</si>
  <si>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</si>
  <si>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</si>
  <si>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</si>
  <si>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</si>
  <si>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</si>
  <si>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</si>
  <si>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</si>
  <si>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</si>
  <si>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</si>
  <si>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</si>
  <si>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</si>
  <si>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</si>
  <si>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</si>
  <si>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</si>
  <si>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</si>
  <si>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</si>
  <si>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</si>
  <si>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</si>
  <si>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</si>
  <si>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</si>
  <si>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</si>
  <si>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</si>
  <si>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</si>
  <si>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</si>
  <si>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</si>
  <si>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</si>
  <si>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</si>
  <si>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</si>
  <si>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</si>
  <si>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</si>
  <si>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</si>
  <si>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</si>
  <si>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</si>
  <si>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</si>
  <si>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</si>
  <si>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</si>
  <si>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</si>
  <si>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</si>
  <si>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</si>
  <si>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</si>
  <si>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</si>
  <si>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</si>
  <si>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</si>
  <si>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</si>
  <si>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</si>
  <si>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</si>
  <si>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</si>
  <si>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</si>
  <si>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</si>
  <si>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</si>
  <si>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</si>
  <si>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</si>
  <si>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</si>
  <si>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</si>
  <si>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</si>
  <si>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</si>
  <si>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</si>
  <si>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</si>
  <si>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</si>
  <si>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</si>
  <si>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</si>
  <si>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</si>
  <si>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</si>
  <si>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</si>
  <si>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</si>
  <si>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</si>
  <si>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</si>
  <si>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</si>
  <si>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</si>
  <si>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</si>
  <si>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</si>
  <si>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</si>
  <si>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</si>
  <si>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</si>
  <si>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</si>
  <si>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</si>
  <si>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</si>
  <si>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</si>
  <si>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</si>
  <si>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</si>
  <si>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</si>
  <si>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</si>
  <si>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</si>
  <si>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</si>
  <si>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</si>
  <si>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</si>
  <si>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</si>
  <si>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</si>
  <si>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</si>
  <si>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</si>
  <si>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</si>
  <si>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</si>
  <si>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</si>
  <si>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</si>
  <si>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</si>
  <si>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</si>
  <si>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</si>
  <si>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</si>
  <si>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</si>
  <si>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</si>
  <si>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</si>
  <si>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</si>
  <si>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</si>
  <si>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</si>
  <si>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</si>
  <si>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</si>
  <si>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</si>
  <si>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</si>
  <si>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</si>
  <si>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</si>
  <si>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</si>
  <si>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</si>
  <si>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</si>
  <si>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</si>
  <si>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</si>
  <si>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</si>
  <si>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</si>
  <si>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</si>
  <si>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</si>
  <si>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</si>
  <si>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</si>
  <si>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</si>
  <si>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</si>
  <si>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</si>
  <si>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</si>
  <si>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</si>
  <si>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</si>
  <si>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</si>
  <si>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</si>
  <si>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</si>
  <si>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</si>
  <si>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</si>
  <si>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</si>
  <si>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</si>
  <si>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</si>
  <si>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</si>
  <si>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</si>
  <si>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</si>
  <si>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</si>
  <si>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</si>
  <si>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</si>
  <si>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</si>
  <si>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</si>
  <si>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</si>
  <si>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</si>
  <si>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</si>
  <si>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</si>
  <si>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</si>
  <si>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</si>
  <si>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</si>
  <si>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</si>
  <si>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</si>
  <si>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</si>
  <si>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</si>
  <si>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</si>
  <si>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</si>
  <si>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</si>
  <si>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</si>
  <si>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</si>
  <si>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</si>
  <si>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</si>
  <si>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</si>
  <si>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</si>
  <si>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</si>
  <si>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</si>
  <si>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</si>
  <si>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</si>
  <si>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</si>
  <si>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</si>
  <si>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</si>
  <si>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</si>
  <si>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</si>
  <si>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</si>
  <si>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</si>
  <si>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</si>
  <si>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</si>
  <si>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</si>
  <si>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</si>
  <si>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</si>
  <si>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</si>
  <si>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</si>
  <si>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</si>
  <si>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</si>
  <si>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</si>
  <si>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</si>
  <si>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</si>
  <si>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</si>
  <si>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</si>
  <si>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</si>
  <si>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</si>
  <si>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</si>
  <si>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</si>
  <si>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</si>
  <si>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</si>
  <si>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</si>
  <si>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</si>
  <si>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</si>
  <si>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</si>
  <si>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</si>
  <si>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</si>
  <si>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</si>
  <si>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</si>
  <si>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</si>
  <si>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</si>
  <si>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</si>
  <si>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</si>
  <si>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</si>
  <si>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</si>
  <si>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</si>
  <si>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</si>
  <si>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</si>
  <si>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</si>
  <si>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</si>
  <si>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</si>
  <si>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</si>
  <si>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</si>
  <si>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</si>
  <si>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</si>
  <si>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</si>
  <si>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</si>
  <si>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</si>
  <si>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</si>
  <si>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</si>
  <si>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</si>
  <si>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</si>
  <si>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</si>
  <si>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</si>
  <si>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</si>
  <si>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</si>
  <si>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</si>
  <si>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</si>
  <si>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</si>
  <si>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</si>
  <si>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</si>
  <si>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</si>
  <si>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</si>
  <si>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</si>
  <si>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</si>
  <si>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</si>
  <si>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</si>
  <si>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</si>
  <si>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</si>
  <si>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</si>
  <si>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</si>
  <si>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</si>
  <si>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</si>
  <si>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</si>
  <si>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</si>
  <si>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</si>
  <si>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</si>
  <si>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</si>
  <si>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</si>
  <si>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</si>
  <si>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</si>
  <si>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</si>
  <si>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</si>
  <si>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</si>
  <si>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</si>
  <si>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</si>
  <si>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</si>
  <si>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</si>
  <si>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</si>
  <si>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</si>
  <si>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</si>
  <si>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</si>
  <si>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</si>
  <si>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</si>
  <si>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</si>
  <si>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</si>
  <si>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</si>
  <si>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</si>
  <si>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</si>
  <si>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</si>
  <si>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</si>
  <si>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</si>
  <si>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</si>
  <si>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</si>
  <si>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</si>
  <si>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</si>
  <si>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</si>
  <si>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</si>
  <si>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</si>
  <si>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</si>
  <si>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</si>
  <si>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</si>
  <si>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</si>
  <si>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</si>
  <si>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</si>
  <si>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</si>
  <si>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</si>
  <si>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</si>
  <si>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</si>
  <si>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</si>
  <si>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</si>
  <si>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</si>
  <si>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</si>
  <si>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</si>
  <si>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</si>
  <si>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</si>
  <si>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</si>
  <si>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</si>
  <si>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</si>
  <si>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</si>
  <si>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</si>
  <si>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</si>
  <si>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</si>
  <si>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</si>
  <si>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</si>
  <si>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</si>
  <si>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</si>
  <si>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</si>
  <si>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</si>
  <si>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</si>
  <si>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</si>
  <si>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</si>
  <si>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</si>
  <si>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</si>
  <si>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</si>
  <si>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</si>
  <si>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</si>
  <si>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</si>
  <si>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</si>
  <si>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</si>
  <si>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</si>
  <si>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</si>
  <si>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</si>
  <si>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</si>
  <si>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</si>
  <si>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</si>
  <si>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</si>
  <si>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</si>
  <si>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</si>
  <si>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</si>
  <si>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</si>
  <si>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</si>
  <si>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</si>
  <si>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</si>
  <si>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</si>
  <si>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</si>
  <si>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</si>
  <si>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</si>
  <si>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</si>
  <si>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</si>
  <si>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</si>
  <si>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</si>
  <si>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</si>
  <si>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</si>
  <si>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</si>
  <si>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</si>
  <si>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</si>
  <si>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</si>
  <si>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</si>
  <si>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</si>
  <si>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</si>
  <si>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</si>
  <si>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</si>
  <si>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</si>
  <si>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</si>
  <si>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</si>
  <si>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</si>
  <si>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</si>
  <si>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</si>
  <si>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</si>
  <si>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</si>
  <si>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</si>
  <si>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</si>
  <si>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</si>
  <si>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</si>
  <si>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</si>
  <si>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</si>
  <si>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</si>
  <si>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</si>
  <si>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</si>
  <si>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</si>
  <si>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</si>
  <si>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</si>
  <si>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</si>
  <si>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</si>
  <si>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</si>
  <si>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</si>
  <si>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</si>
  <si>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</si>
  <si>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</si>
  <si>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</si>
  <si>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</si>
  <si>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</si>
  <si>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</si>
  <si>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</si>
  <si>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</si>
  <si>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</si>
  <si>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</si>
  <si>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</si>
  <si>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</si>
  <si>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</si>
  <si>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</si>
  <si>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</si>
  <si>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</si>
  <si>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</si>
  <si>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</si>
  <si>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</si>
  <si>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</si>
  <si>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</si>
  <si>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</si>
  <si>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</si>
  <si>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</si>
  <si>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</si>
  <si>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</si>
  <si>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</si>
  <si>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</si>
  <si>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</si>
  <si>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</si>
  <si>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</si>
  <si>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</si>
  <si>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</si>
  <si>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</si>
  <si>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</si>
  <si>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</si>
  <si>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</si>
  <si>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</si>
  <si>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</si>
  <si>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</si>
  <si>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</si>
  <si>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</si>
  <si>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</si>
  <si>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</si>
  <si>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</si>
  <si>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</si>
  <si>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</si>
  <si>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</si>
  <si>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</si>
  <si>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</si>
  <si>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</si>
  <si>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</si>
  <si>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</si>
  <si>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</si>
  <si>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</si>
  <si>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</si>
  <si>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</si>
  <si>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</si>
  <si>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</si>
  <si>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</si>
  <si>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</si>
  <si>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</si>
  <si>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</si>
  <si>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</si>
  <si>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</si>
  <si>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</si>
  <si>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</si>
  <si>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</si>
  <si>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</si>
  <si>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</si>
  <si>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</si>
  <si>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</si>
  <si>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</si>
  <si>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</si>
  <si>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</si>
  <si>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</si>
  <si>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</si>
  <si>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</si>
  <si>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</si>
  <si>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</si>
  <si>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</si>
  <si>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</si>
  <si>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</si>
  <si>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</si>
  <si>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</si>
  <si>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</si>
  <si>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</si>
  <si>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</si>
  <si>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</si>
  <si>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</si>
  <si>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</si>
  <si>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</si>
  <si>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</si>
  <si>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</si>
  <si>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</si>
  <si>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</si>
  <si>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</si>
  <si>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</si>
  <si>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</si>
  <si>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</si>
  <si>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</si>
  <si>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</si>
  <si>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</si>
  <si>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</si>
  <si>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</si>
  <si>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</si>
  <si>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</si>
  <si>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</si>
  <si>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</si>
  <si>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</si>
  <si>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</si>
  <si>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</si>
  <si>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</si>
  <si>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</si>
  <si>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</si>
  <si>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</si>
  <si>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</si>
  <si>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</si>
  <si>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</si>
  <si>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</si>
  <si>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</si>
  <si>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</si>
  <si>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</si>
  <si>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</si>
  <si>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</si>
  <si>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</si>
  <si>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</si>
  <si>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</si>
  <si>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</si>
  <si>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</si>
  <si>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</si>
  <si>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</si>
  <si>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</si>
  <si>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</si>
  <si>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</si>
  <si>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</si>
  <si>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</si>
  <si>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</si>
  <si>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</si>
  <si>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</si>
  <si>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</si>
  <si>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</si>
  <si>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</si>
  <si>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</si>
  <si>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</si>
  <si>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</si>
  <si>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</si>
  <si>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</si>
  <si>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</si>
  <si>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</si>
  <si>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</si>
  <si>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</si>
  <si>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</si>
  <si>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</si>
  <si>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</si>
  <si>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</si>
  <si>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</si>
  <si>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</si>
  <si>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</si>
  <si>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</si>
  <si>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</si>
  <si>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</si>
  <si>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</si>
  <si>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</si>
  <si>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</si>
  <si>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</si>
  <si>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</si>
  <si>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</si>
  <si>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</si>
  <si>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</si>
  <si>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</si>
  <si>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</si>
  <si>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</si>
  <si>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</si>
  <si>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</si>
  <si>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</si>
  <si>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</si>
  <si>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</si>
  <si>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</si>
  <si>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</si>
  <si>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</si>
  <si>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</si>
  <si>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</si>
  <si>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</si>
  <si>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</si>
  <si>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</si>
  <si>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</si>
  <si>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</si>
  <si>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</si>
  <si>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</si>
  <si>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</si>
  <si>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</si>
  <si>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</si>
  <si>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</si>
  <si>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</si>
  <si>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</si>
  <si>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</si>
  <si>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</si>
  <si>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</si>
  <si>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</si>
  <si>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</si>
  <si>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</si>
  <si>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</si>
  <si>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</si>
  <si>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</si>
  <si>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</si>
  <si>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</si>
  <si>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</si>
  <si>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</si>
  <si>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</si>
  <si>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</si>
  <si>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</si>
  <si>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</si>
  <si>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</si>
  <si>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</si>
  <si>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</si>
  <si>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</si>
  <si>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</si>
  <si>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</si>
  <si>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</si>
  <si>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</si>
  <si>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</si>
  <si>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</si>
  <si>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</si>
  <si>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</si>
  <si>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</si>
  <si>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</si>
  <si>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</si>
  <si>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</si>
  <si>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</si>
  <si>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</si>
  <si>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</si>
  <si>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</si>
  <si>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</si>
  <si>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</si>
  <si>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</si>
  <si>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</si>
  <si>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</si>
  <si>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</si>
  <si>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</si>
  <si>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</si>
  <si>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</si>
  <si>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</si>
  <si>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</si>
  <si>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</si>
  <si>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</si>
  <si>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</si>
  <si>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</si>
  <si>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</si>
  <si>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</si>
  <si>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</si>
  <si>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</si>
  <si>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</si>
  <si>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</si>
  <si>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</si>
  <si>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</si>
  <si>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</si>
  <si>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</si>
  <si>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</si>
  <si>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</si>
  <si>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</si>
  <si>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</si>
  <si>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</si>
  <si>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</si>
  <si>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</si>
  <si>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</si>
  <si>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</si>
  <si>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</si>
  <si>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</si>
  <si>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</si>
  <si>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</si>
  <si>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</si>
  <si>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</si>
  <si>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</si>
  <si>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</si>
  <si>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</si>
  <si>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</si>
  <si>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</si>
  <si>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</si>
  <si>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</si>
  <si>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</si>
  <si>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</si>
  <si>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</si>
  <si>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</si>
  <si>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</si>
  <si>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</si>
  <si>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</si>
  <si>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</si>
  <si>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</si>
  <si>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</si>
  <si>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</si>
  <si>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</si>
  <si>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</si>
  <si>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</si>
  <si>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</si>
  <si>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</si>
  <si>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</si>
  <si>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</si>
  <si>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</si>
  <si>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</si>
  <si>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</si>
  <si>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</si>
  <si>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</si>
  <si>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</si>
  <si>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</si>
  <si>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</si>
  <si>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</si>
  <si>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</si>
  <si>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</si>
  <si>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</si>
  <si>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</si>
  <si>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</si>
  <si>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</si>
  <si>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</si>
  <si>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</si>
  <si>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</si>
  <si>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</si>
  <si>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</si>
  <si>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</si>
  <si>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</si>
  <si>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</si>
  <si>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</si>
  <si>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</si>
  <si>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</si>
  <si>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</si>
  <si>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</si>
  <si>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</si>
  <si>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</si>
  <si>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</si>
  <si>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</si>
  <si>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</si>
  <si>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</si>
  <si>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</si>
  <si>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</si>
  <si>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</si>
  <si>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</si>
  <si>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</si>
  <si>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</si>
  <si>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</si>
  <si>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</si>
  <si>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</si>
  <si>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</si>
  <si>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</si>
  <si>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</si>
  <si>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</si>
  <si>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</si>
  <si>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</si>
  <si>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</si>
  <si>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</si>
  <si>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</si>
  <si>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</si>
  <si>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</si>
  <si>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</si>
  <si>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</si>
  <si>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</si>
  <si>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</si>
  <si>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</si>
  <si>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</si>
  <si>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</si>
  <si>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</si>
  <si>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</si>
  <si>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</si>
  <si>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</si>
  <si>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</si>
  <si>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</si>
  <si>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</si>
  <si>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</si>
  <si>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</si>
  <si>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</si>
  <si>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</si>
  <si>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</si>
  <si>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</si>
  <si>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</si>
  <si>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</si>
  <si>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</si>
  <si>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</si>
  <si>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</si>
  <si>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</si>
  <si>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</si>
  <si>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</si>
  <si>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</si>
  <si>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</si>
  <si>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</si>
  <si>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</si>
  <si>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</si>
  <si>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</si>
  <si>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</si>
  <si>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</si>
  <si>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</si>
  <si>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</si>
  <si>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</si>
  <si>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</si>
  <si>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</si>
  <si>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</si>
  <si>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</si>
  <si>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</si>
  <si>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</si>
  <si>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</si>
  <si>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</si>
  <si>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</si>
  <si>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</si>
  <si>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</si>
  <si>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</si>
  <si>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</si>
  <si>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</si>
  <si>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</si>
  <si>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</si>
  <si>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</si>
  <si>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</si>
  <si>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</si>
  <si>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</si>
  <si>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</si>
  <si>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</si>
  <si>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</si>
  <si>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</si>
  <si>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</si>
  <si>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</si>
  <si>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</si>
  <si>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</si>
  <si>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</si>
  <si>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</si>
  <si>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</si>
  <si>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</si>
  <si>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</si>
  <si>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</si>
  <si>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</si>
  <si>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</si>
  <si>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</si>
  <si>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</si>
  <si>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</si>
  <si>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</si>
  <si>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</si>
  <si>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</si>
  <si>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</si>
  <si>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</si>
  <si>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</si>
  <si>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</si>
  <si>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</si>
  <si>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</si>
  <si>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</si>
  <si>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</si>
  <si>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</si>
  <si>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</si>
  <si>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</si>
  <si>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</si>
  <si>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</si>
  <si>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</si>
  <si>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</si>
  <si>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</si>
  <si>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</si>
  <si>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</si>
  <si>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</si>
  <si>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</si>
  <si>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</si>
  <si>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</si>
  <si>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</si>
  <si>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</si>
  <si>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</si>
  <si>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</si>
  <si>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</si>
  <si>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</si>
  <si>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</si>
  <si>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</si>
  <si>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</si>
  <si>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</si>
  <si>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</si>
  <si>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</si>
  <si>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</si>
  <si>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</si>
  <si>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</si>
  <si>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</si>
  <si>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</si>
  <si>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</si>
  <si>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</si>
  <si>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</si>
  <si>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</si>
  <si>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</si>
  <si>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</si>
  <si>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</si>
  <si>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</si>
  <si>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</si>
  <si>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</si>
  <si>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</si>
  <si>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</si>
  <si>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</si>
  <si>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</si>
  <si>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</si>
  <si>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</si>
  <si>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</si>
  <si>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</si>
  <si>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</si>
  <si>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</si>
  <si>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</si>
  <si>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</si>
  <si>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</si>
  <si>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</si>
  <si>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</si>
  <si>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</si>
  <si>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</si>
  <si>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</si>
  <si>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</si>
  <si>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</si>
  <si>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</si>
  <si>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</si>
  <si>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</si>
  <si>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</si>
  <si>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</si>
  <si>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</si>
  <si>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</si>
  <si>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</si>
  <si>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</si>
  <si>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</si>
  <si>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</si>
  <si>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</si>
  <si>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</si>
  <si>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</si>
  <si>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</si>
  <si>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</si>
  <si>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</si>
  <si>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</si>
  <si>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</si>
  <si>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</si>
  <si>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</si>
  <si>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</si>
  <si>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</si>
  <si>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</si>
  <si>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</si>
  <si>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</si>
  <si>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</si>
  <si>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</si>
  <si>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</si>
  <si>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</si>
  <si>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</si>
  <si>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</si>
  <si>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</si>
  <si>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</si>
  <si>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</si>
  <si>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</si>
  <si>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</si>
  <si>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</si>
  <si>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</si>
  <si>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</si>
  <si>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</si>
  <si>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</si>
  <si>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</si>
  <si>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</si>
  <si>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</si>
  <si>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</si>
  <si>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</si>
  <si>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</si>
  <si>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</si>
  <si>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</si>
  <si>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</si>
  <si>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</si>
  <si>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</si>
  <si>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</si>
  <si>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</si>
  <si>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</si>
  <si>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</si>
  <si>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</si>
  <si>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</si>
  <si>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</si>
  <si>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</si>
  <si>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</si>
  <si>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</si>
  <si>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</si>
  <si>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</si>
  <si>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</si>
  <si>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</si>
  <si>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</si>
  <si>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</si>
  <si>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</si>
  <si>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</si>
  <si>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</si>
  <si>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</si>
  <si>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</si>
  <si>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</si>
  <si>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</si>
  <si>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</si>
  <si>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</si>
  <si>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</si>
  <si>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</si>
  <si>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</si>
  <si>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</si>
  <si>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</si>
  <si>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</si>
  <si>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</si>
  <si>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</si>
  <si>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</si>
  <si>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</si>
  <si>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</si>
  <si>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</si>
  <si>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</si>
  <si>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</si>
  <si>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</si>
  <si>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</si>
  <si>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</si>
  <si>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</si>
  <si>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</si>
  <si>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</si>
  <si>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</si>
  <si>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</si>
  <si>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</si>
  <si>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</si>
  <si>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</si>
  <si>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</si>
  <si>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</si>
  <si>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</si>
  <si>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</si>
  <si>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</si>
  <si>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</si>
  <si>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</si>
  <si>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</si>
  <si>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</si>
  <si>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</si>
  <si>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</si>
  <si>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</si>
  <si>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</si>
  <si>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</si>
  <si>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</si>
  <si>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</si>
  <si>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</si>
  <si>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</si>
  <si>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</si>
  <si>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</si>
  <si>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</si>
  <si>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</si>
  <si>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</si>
  <si>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</si>
  <si>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</si>
  <si>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</si>
  <si>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</si>
  <si>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</si>
  <si>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</si>
  <si>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</si>
  <si>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</si>
  <si>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</si>
  <si>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</si>
  <si>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</si>
  <si>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</si>
  <si>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</si>
  <si>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</si>
  <si>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</si>
  <si>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</si>
  <si>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</si>
  <si>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</si>
  <si>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</si>
  <si>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</si>
  <si>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</si>
  <si>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</si>
  <si>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</si>
  <si>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</si>
  <si>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</si>
  <si>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</si>
  <si>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</si>
  <si>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</si>
  <si>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</si>
  <si>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</si>
  <si>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</si>
  <si>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</si>
  <si>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</si>
  <si>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</si>
  <si>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</si>
  <si>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</si>
  <si>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</si>
  <si>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</si>
  <si>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</si>
  <si>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</si>
  <si>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</si>
  <si>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</si>
  <si>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</si>
  <si>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</si>
  <si>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</si>
  <si>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</si>
  <si>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</si>
  <si>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</si>
  <si>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</si>
  <si>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</si>
  <si>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</si>
  <si>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</si>
  <si>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</si>
  <si>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</si>
  <si>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</si>
  <si>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</si>
  <si>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</si>
  <si>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</si>
  <si>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</si>
  <si>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</si>
  <si>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</si>
  <si>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</si>
  <si>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</si>
  <si>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</si>
  <si>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</si>
  <si>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</si>
  <si>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</si>
  <si>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</si>
  <si>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</si>
  <si>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</si>
  <si>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</si>
  <si>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</si>
  <si>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</si>
  <si>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</si>
  <si>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</si>
  <si>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</si>
  <si>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</si>
  <si>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</si>
  <si>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</si>
  <si>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</si>
  <si>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</si>
  <si>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</si>
  <si>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</si>
  <si>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</si>
  <si>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</si>
  <si>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</si>
  <si>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</si>
  <si>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</si>
  <si>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</si>
  <si>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</si>
  <si>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</si>
  <si>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</si>
  <si>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</si>
  <si>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</si>
  <si>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</si>
  <si>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</si>
  <si>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</si>
  <si>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</si>
  <si>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</si>
  <si>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</si>
  <si>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</si>
  <si>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</si>
  <si>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</si>
  <si>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</si>
  <si>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</si>
  <si>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</si>
  <si>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</si>
  <si>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</si>
  <si>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</si>
  <si>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</si>
  <si>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</si>
  <si>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</si>
  <si>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</si>
  <si>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</si>
  <si>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</si>
  <si>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</si>
  <si>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</si>
  <si>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</si>
  <si>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</si>
  <si>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</si>
  <si>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</si>
  <si>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</si>
  <si>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</si>
  <si>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</si>
  <si>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</si>
  <si>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</si>
  <si>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</si>
  <si>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</si>
  <si>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</si>
  <si>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</si>
  <si>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</si>
  <si>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</si>
  <si>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</si>
  <si>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</si>
  <si>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</si>
  <si>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</si>
  <si>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</si>
  <si>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</si>
  <si>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</si>
  <si>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</si>
  <si>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</si>
  <si>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</si>
  <si>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</si>
  <si>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</si>
  <si>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</si>
  <si>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</si>
  <si>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</si>
  <si>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</si>
  <si>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</si>
  <si>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</si>
  <si>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</si>
  <si>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</si>
  <si>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</si>
  <si>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</si>
  <si>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</si>
  <si>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</si>
  <si>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</si>
  <si>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</si>
  <si>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</si>
  <si>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</si>
  <si>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</si>
  <si>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</si>
  <si>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</si>
  <si>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</si>
  <si>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</si>
  <si>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</si>
  <si>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</si>
  <si>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</si>
  <si>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</si>
  <si>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</si>
  <si>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</si>
  <si>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</si>
  <si>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</si>
  <si>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</si>
  <si>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</si>
  <si>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</si>
  <si>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</si>
  <si>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</si>
  <si>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</si>
  <si>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</si>
  <si>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</si>
  <si>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</si>
  <si>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</si>
  <si>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</si>
  <si>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</si>
  <si>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</si>
  <si>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</si>
  <si>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</si>
  <si>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</si>
  <si>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</si>
  <si>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</si>
  <si>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</si>
  <si>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</si>
  <si>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</si>
  <si>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</si>
  <si>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</si>
  <si>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</si>
  <si>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</si>
  <si>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</si>
  <si>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</si>
  <si>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</si>
  <si>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</si>
  <si>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</si>
  <si>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</si>
  <si>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</si>
  <si>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</si>
  <si>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</si>
  <si>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</si>
  <si>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</si>
  <si>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</si>
  <si>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</si>
  <si>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</si>
  <si>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</si>
  <si>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</si>
  <si>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</si>
  <si>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</si>
  <si>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</si>
  <si>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</si>
  <si>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</si>
  <si>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</si>
  <si>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</si>
  <si>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</si>
  <si>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</si>
  <si>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</si>
  <si>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</si>
  <si>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</si>
  <si>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</si>
  <si>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</si>
  <si>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</si>
  <si>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</si>
  <si>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</si>
  <si>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</si>
  <si>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</si>
  <si>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</si>
  <si>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</si>
  <si>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</si>
  <si>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</si>
  <si>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</si>
  <si>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</si>
  <si>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</si>
  <si>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</si>
  <si>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</si>
  <si>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</si>
  <si>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</si>
  <si>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</si>
  <si>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</si>
  <si>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</si>
  <si>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</si>
  <si>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</si>
  <si>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</si>
  <si>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</si>
  <si>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</si>
  <si>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</si>
  <si>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</si>
  <si>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</si>
  <si>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</si>
  <si>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</si>
  <si>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</si>
  <si>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</si>
  <si>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</si>
  <si>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</si>
  <si>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</si>
  <si>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</si>
  <si>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</si>
  <si>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</si>
  <si>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</si>
  <si>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</si>
  <si>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</si>
  <si>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</si>
  <si>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</si>
  <si>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</si>
  <si>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</si>
  <si>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</si>
  <si>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</si>
  <si>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</si>
  <si>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</si>
  <si>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</si>
  <si>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</si>
  <si>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</si>
  <si>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</si>
  <si>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</si>
  <si>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</si>
  <si>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</si>
  <si>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</si>
  <si>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</si>
  <si>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</si>
  <si>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</si>
  <si>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</si>
  <si>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</si>
  <si>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</si>
  <si>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</si>
  <si>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</si>
  <si>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</si>
  <si>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</si>
  <si>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</si>
  <si>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</si>
  <si>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</si>
  <si>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</si>
  <si>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</si>
  <si>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</si>
  <si>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</si>
  <si>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</si>
  <si>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</si>
  <si>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</si>
  <si>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</si>
  <si>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</si>
  <si>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</si>
  <si>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</si>
  <si>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</si>
  <si>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</si>
  <si>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</si>
  <si>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</si>
  <si>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</si>
  <si>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</si>
  <si>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</si>
  <si>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</si>
  <si>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</si>
  <si>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</si>
  <si>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</si>
  <si>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</si>
  <si>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</si>
  <si>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</si>
  <si>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</si>
  <si>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</si>
  <si>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</si>
  <si>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</si>
  <si>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</si>
  <si>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</si>
  <si>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</si>
  <si>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</si>
  <si>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</si>
  <si>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</si>
  <si>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</si>
  <si>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</si>
  <si>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</si>
  <si>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</si>
  <si>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</si>
  <si>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</si>
  <si>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</si>
  <si>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</si>
  <si>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</si>
  <si>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</si>
  <si>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</si>
  <si>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</si>
  <si>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</si>
  <si>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</si>
  <si>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</si>
  <si>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</si>
  <si>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</si>
  <si>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</si>
  <si>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</si>
  <si>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</si>
  <si>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</si>
  <si>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</si>
  <si>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</si>
  <si>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</si>
  <si>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</si>
  <si>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</si>
  <si>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</si>
  <si>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</si>
  <si>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</si>
  <si>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</si>
  <si>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</si>
  <si>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</si>
  <si>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</si>
  <si>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</si>
  <si>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</si>
  <si>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</si>
  <si>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</si>
  <si>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</si>
  <si>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</si>
  <si>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</si>
  <si>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</si>
  <si>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</si>
  <si>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</si>
  <si>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</si>
  <si>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</si>
  <si>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</si>
  <si>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</si>
  <si>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</si>
  <si>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</si>
  <si>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</si>
  <si>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</si>
  <si>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</si>
  <si>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</si>
  <si>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</si>
  <si>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</si>
  <si>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</si>
  <si>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</si>
  <si>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</si>
  <si>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</si>
  <si>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</si>
  <si>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</si>
  <si>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</si>
  <si>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</si>
  <si>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</si>
  <si>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</si>
  <si>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</si>
  <si>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</si>
  <si>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</si>
  <si>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</si>
  <si>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</si>
  <si>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</si>
  <si>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</si>
  <si>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</si>
  <si>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</si>
  <si>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</si>
  <si>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</si>
  <si>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</si>
  <si>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</si>
  <si>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</si>
  <si>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</si>
  <si>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</si>
  <si>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</si>
  <si>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</si>
  <si>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</si>
  <si>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</si>
  <si>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</si>
  <si>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</si>
  <si>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</si>
  <si>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</si>
  <si>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</si>
  <si>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</si>
  <si>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</si>
  <si>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</si>
  <si>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</si>
  <si>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</si>
  <si>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</si>
  <si>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</si>
  <si>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</si>
  <si>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</si>
  <si>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</si>
  <si>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</si>
  <si>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</si>
  <si>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</si>
  <si>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</si>
  <si>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</si>
  <si>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</si>
  <si>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</si>
  <si>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</si>
  <si>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</si>
  <si>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</si>
  <si>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</si>
  <si>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</si>
  <si>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</si>
  <si>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</si>
  <si>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</si>
  <si>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</si>
  <si>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</si>
  <si>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</si>
  <si>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</si>
  <si>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</si>
  <si>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</si>
  <si>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</si>
  <si>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</si>
  <si>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</si>
  <si>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</si>
  <si>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</si>
  <si>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</si>
  <si>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</si>
  <si>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</si>
  <si>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</si>
  <si>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</si>
  <si>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</si>
  <si>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</si>
  <si>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</si>
  <si>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</si>
  <si>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</si>
  <si>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</si>
  <si>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</si>
  <si>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</si>
  <si>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</si>
  <si>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</si>
  <si>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</si>
  <si>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</si>
  <si>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</si>
  <si>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</si>
  <si>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</si>
  <si>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</si>
  <si>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</si>
  <si>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</si>
  <si>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</si>
  <si>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</si>
  <si>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</si>
  <si>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</si>
  <si>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</si>
  <si>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</si>
  <si>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</si>
  <si>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</si>
  <si>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</si>
  <si>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</si>
  <si>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</si>
  <si>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</si>
  <si>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</si>
  <si>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</si>
  <si>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</si>
  <si>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</si>
  <si>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</si>
  <si>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</si>
  <si>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</si>
  <si>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</si>
  <si>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</si>
  <si>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</si>
  <si>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</si>
  <si>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</si>
  <si>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</si>
  <si>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</si>
  <si>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</si>
  <si>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</si>
  <si>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</si>
  <si>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</si>
  <si>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</si>
  <si>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</si>
  <si>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</si>
  <si>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</si>
  <si>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</si>
  <si>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</si>
  <si>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</si>
  <si>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</si>
  <si>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</si>
  <si>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</si>
  <si>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</si>
  <si>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</si>
  <si>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</si>
  <si>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</si>
  <si>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</si>
  <si>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</si>
  <si>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</si>
  <si>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</si>
  <si>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</si>
  <si>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</si>
  <si>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</si>
  <si>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</si>
  <si>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</si>
  <si>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</si>
  <si>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</si>
  <si>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</si>
  <si>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</si>
  <si>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</si>
  <si>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</si>
  <si>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</si>
  <si>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</si>
  <si>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</si>
  <si>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</si>
  <si>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</si>
  <si>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</si>
  <si>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</si>
  <si>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</si>
  <si>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</si>
  <si>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</si>
  <si>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</si>
  <si>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</si>
  <si>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</si>
  <si>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</si>
  <si>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</si>
  <si>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</si>
  <si>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</si>
  <si>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</si>
  <si>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</si>
  <si>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</si>
  <si>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</si>
  <si>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</si>
  <si>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</si>
  <si>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</si>
  <si>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</si>
  <si>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</si>
  <si>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</si>
  <si>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</si>
  <si>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</si>
  <si>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</si>
  <si>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</si>
  <si>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</si>
  <si>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</si>
  <si>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</si>
  <si>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</si>
  <si>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</si>
  <si>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</si>
  <si>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</si>
  <si>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</si>
  <si>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</si>
  <si>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</si>
  <si>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</si>
  <si>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</si>
  <si>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</si>
  <si>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</si>
  <si>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</si>
  <si>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</si>
  <si>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</si>
  <si>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</si>
  <si>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</si>
  <si>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</si>
  <si>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</si>
  <si>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</si>
  <si>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</si>
  <si>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</si>
  <si>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</si>
  <si>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</si>
  <si>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</si>
  <si>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</si>
  <si>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</si>
  <si>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</si>
  <si>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</si>
  <si>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</si>
  <si>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</si>
  <si>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</si>
  <si>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</si>
  <si>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</si>
  <si>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</si>
  <si>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</si>
  <si>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</si>
  <si>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</si>
  <si>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</si>
  <si>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</si>
  <si>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</si>
  <si>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</si>
  <si>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</si>
  <si>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</si>
  <si>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</si>
  <si>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</si>
  <si>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</si>
  <si>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</si>
  <si>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</si>
  <si>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</si>
  <si>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</si>
  <si>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</si>
  <si>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</si>
  <si>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</si>
  <si>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</si>
  <si>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</si>
  <si>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</si>
  <si>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</si>
  <si>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</si>
  <si>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</si>
  <si>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</si>
  <si>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</si>
  <si>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</si>
  <si>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</si>
  <si>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</si>
  <si>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</si>
  <si>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</si>
  <si>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</si>
  <si>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</si>
  <si>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</si>
  <si>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</si>
  <si>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</si>
  <si>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</si>
  <si>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</si>
  <si>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</si>
  <si>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</si>
  <si>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</si>
  <si>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</si>
  <si>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</si>
  <si>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</si>
  <si>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</si>
  <si>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</si>
  <si>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</si>
  <si>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</si>
  <si>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</si>
  <si>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</si>
  <si>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</si>
  <si>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</si>
  <si>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</si>
  <si>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</si>
  <si>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</si>
  <si>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</si>
  <si>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</si>
  <si>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</si>
  <si>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</si>
  <si>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</si>
  <si>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</si>
  <si>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</si>
  <si>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</si>
  <si>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</si>
  <si>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</si>
  <si>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</si>
  <si>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</si>
  <si>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</si>
  <si>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</si>
  <si>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</si>
  <si>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</si>
  <si>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</si>
  <si>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</si>
  <si>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</si>
  <si>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</si>
  <si>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</si>
  <si>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</si>
  <si>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</si>
  <si>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</si>
  <si>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</si>
  <si>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</si>
  <si>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</si>
  <si>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</si>
  <si>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</si>
  <si>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</si>
  <si>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</si>
  <si>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</si>
  <si>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</si>
  <si>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</si>
  <si>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</si>
  <si>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</si>
  <si>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</si>
  <si>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</si>
  <si>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</si>
  <si>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</si>
  <si>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</si>
  <si>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</si>
  <si>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</si>
  <si>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</si>
  <si>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</si>
  <si>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</si>
  <si>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</si>
  <si>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</si>
  <si>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</si>
  <si>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</si>
  <si>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</si>
  <si>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</si>
  <si>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</si>
  <si>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</si>
  <si>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</si>
  <si>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</si>
  <si>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</si>
  <si>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</si>
  <si>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</si>
  <si>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</si>
  <si>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</si>
  <si>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</si>
  <si>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</si>
  <si>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</si>
  <si>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</si>
  <si>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</si>
  <si>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</si>
  <si>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</si>
  <si>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</si>
  <si>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</si>
  <si>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</si>
  <si>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</si>
  <si>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</si>
  <si>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</si>
  <si>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</si>
  <si>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</si>
  <si>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</si>
  <si>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</si>
  <si>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</si>
  <si>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</si>
  <si>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</si>
  <si>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</si>
  <si>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</si>
  <si>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</si>
  <si>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</si>
  <si>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</si>
  <si>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</si>
  <si>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</si>
  <si>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</si>
  <si>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</si>
  <si>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</si>
  <si>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</si>
  <si>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</si>
  <si>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</si>
  <si>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</si>
  <si>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</si>
  <si>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</si>
  <si>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</si>
  <si>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</si>
  <si>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</si>
  <si>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</si>
  <si>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</si>
  <si>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</si>
  <si>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</si>
  <si>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</si>
  <si>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</si>
  <si>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</si>
  <si>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</si>
  <si>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</si>
  <si>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</si>
  <si>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</si>
  <si>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</si>
  <si>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</si>
  <si>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</si>
  <si>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</si>
  <si>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</si>
  <si>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</si>
  <si>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</si>
  <si>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</si>
  <si>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</si>
  <si>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</si>
  <si>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</si>
  <si>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</si>
  <si>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</si>
  <si>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</si>
  <si>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</si>
  <si>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</si>
  <si>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</si>
  <si>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</si>
  <si>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</si>
  <si>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</si>
  <si>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</si>
  <si>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</si>
  <si>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</si>
  <si>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</si>
  <si>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</si>
  <si>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</si>
  <si>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</si>
  <si>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</si>
  <si>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</si>
  <si>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</si>
  <si>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</si>
  <si>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</si>
  <si>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</si>
  <si>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</si>
  <si>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</si>
  <si>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</si>
  <si>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</si>
  <si>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</si>
  <si>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</si>
  <si>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</si>
  <si>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</si>
  <si>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</si>
  <si>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</si>
  <si>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</si>
  <si>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</si>
  <si>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</si>
  <si>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</si>
  <si>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</si>
  <si>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</si>
  <si>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</si>
  <si>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</si>
  <si>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</si>
  <si>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</si>
  <si>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</si>
  <si>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</si>
  <si>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</si>
  <si>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</si>
  <si>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</si>
  <si>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</si>
  <si>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</si>
  <si>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</si>
  <si>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</si>
  <si>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</si>
  <si>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</si>
  <si>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</si>
  <si>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</si>
  <si>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</si>
  <si>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</si>
  <si>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</si>
  <si>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</si>
  <si>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</si>
  <si>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</si>
  <si>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</si>
  <si>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</si>
  <si>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</si>
  <si>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</si>
  <si>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</si>
  <si>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</si>
  <si>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</si>
  <si>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</si>
  <si>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</si>
  <si>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</si>
  <si>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</si>
  <si>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</si>
  <si>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</si>
  <si>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</si>
  <si>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</si>
  <si>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</si>
  <si>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</si>
  <si>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</si>
  <si>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</si>
  <si>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</si>
  <si>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</si>
  <si>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</si>
  <si>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</si>
  <si>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</si>
  <si>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</si>
  <si>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</si>
  <si>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</si>
  <si>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</si>
  <si>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</si>
  <si>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</si>
  <si>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</si>
  <si>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</si>
  <si>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</si>
  <si>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</si>
  <si>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</si>
  <si>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</si>
  <si>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</si>
  <si>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</si>
  <si>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</si>
  <si>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</si>
  <si>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</si>
  <si>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</si>
  <si>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</si>
  <si>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</si>
  <si>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</si>
  <si>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</si>
  <si>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</si>
  <si>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</si>
  <si>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</si>
  <si>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</si>
  <si>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</si>
  <si>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</si>
  <si>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</si>
  <si>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</si>
  <si>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</si>
  <si>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</si>
  <si>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</si>
  <si>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</si>
  <si>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</si>
  <si>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</si>
  <si>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</si>
  <si>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</si>
  <si>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</si>
  <si>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</si>
  <si>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</si>
  <si>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</si>
  <si>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</si>
  <si>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</si>
  <si>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</si>
  <si>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</si>
  <si>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</si>
  <si>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</si>
  <si>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</si>
  <si>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</si>
  <si>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</si>
  <si>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</si>
  <si>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</si>
  <si>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</si>
  <si>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</si>
  <si>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</si>
  <si>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</si>
  <si>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</si>
  <si>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</si>
  <si>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</si>
  <si>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</si>
  <si>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</si>
  <si>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</si>
  <si>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</si>
  <si>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</si>
  <si>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</si>
  <si>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</si>
  <si>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</si>
  <si>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</si>
  <si>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</si>
  <si>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</si>
  <si>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</si>
  <si>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</si>
  <si>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</si>
  <si>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</si>
  <si>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</si>
  <si>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</si>
  <si>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</si>
  <si>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</si>
  <si>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</si>
  <si>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</si>
  <si>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</si>
  <si>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</si>
  <si>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</si>
  <si>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</si>
  <si>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</si>
  <si>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</si>
  <si>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</si>
  <si>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</si>
  <si>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</si>
  <si>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</si>
  <si>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</si>
  <si>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</si>
  <si>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</si>
  <si>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</si>
  <si>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</si>
  <si>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</si>
  <si>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</si>
  <si>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</si>
  <si>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</si>
  <si>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</si>
  <si>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</si>
  <si>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</si>
  <si>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</si>
  <si>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</si>
  <si>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</si>
  <si>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</si>
  <si>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</si>
  <si>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</si>
  <si>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</si>
  <si>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</si>
  <si>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</si>
  <si>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</si>
  <si>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</si>
  <si>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</si>
  <si>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</si>
  <si>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</si>
  <si>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</si>
  <si>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</si>
  <si>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</si>
  <si>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</si>
  <si>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</si>
  <si>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</si>
  <si>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</si>
  <si>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</si>
  <si>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</si>
  <si>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</si>
  <si>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</si>
  <si>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</si>
  <si>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</si>
  <si>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</si>
  <si>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</si>
  <si>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</si>
  <si>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</si>
  <si>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</si>
  <si>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</si>
  <si>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</si>
  <si>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</si>
  <si>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</si>
  <si>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</si>
  <si>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</si>
  <si>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</si>
  <si>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</si>
  <si>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</si>
  <si>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</si>
  <si>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</si>
  <si>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</si>
  <si>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</si>
  <si>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</si>
  <si>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</si>
  <si>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</si>
  <si>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</si>
  <si>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</si>
  <si>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</si>
  <si>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</si>
  <si>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</si>
  <si>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</si>
  <si>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</si>
  <si>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</si>
  <si>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</si>
  <si>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</si>
  <si>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</si>
  <si>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</si>
  <si>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</si>
  <si>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</si>
  <si>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</si>
  <si>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</si>
  <si>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</si>
  <si>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</si>
  <si>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</si>
  <si>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</si>
  <si>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</si>
  <si>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</si>
  <si>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</si>
  <si>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</si>
  <si>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</si>
  <si>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</si>
  <si>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</si>
  <si>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</si>
  <si>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</si>
  <si>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</si>
  <si>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</si>
  <si>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</si>
  <si>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</si>
  <si>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</si>
  <si>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</si>
  <si>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</si>
  <si>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</si>
  <si>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</si>
  <si>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</si>
  <si>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</si>
  <si>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</si>
  <si>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</si>
  <si>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</si>
  <si>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</si>
  <si>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</si>
  <si>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</si>
  <si>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</si>
  <si>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</si>
  <si>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</si>
  <si>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</si>
  <si>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</si>
  <si>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</si>
  <si>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</si>
  <si>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</si>
  <si>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</si>
  <si>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</si>
  <si>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</si>
  <si>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</si>
  <si>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</si>
  <si>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</si>
  <si>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</si>
  <si>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</si>
  <si>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</si>
  <si>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</si>
  <si>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</si>
  <si>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</si>
  <si>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</si>
  <si>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</si>
  <si>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</si>
  <si>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</si>
  <si>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</si>
  <si>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</si>
  <si>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</si>
  <si>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</si>
  <si>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</si>
  <si>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</si>
  <si>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</si>
  <si>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</si>
  <si>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</si>
  <si>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</si>
  <si>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</si>
  <si>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</si>
  <si>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</si>
  <si>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</si>
  <si>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</si>
  <si>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</si>
  <si>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</si>
  <si>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</si>
  <si>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</si>
  <si>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</si>
  <si>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</si>
  <si>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</si>
  <si>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</si>
  <si>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</si>
  <si>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</si>
  <si>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</si>
  <si>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</si>
  <si>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</si>
  <si>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</si>
  <si>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</si>
  <si>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</si>
  <si>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</si>
  <si>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</si>
  <si>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</si>
  <si>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</si>
  <si>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</si>
  <si>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</si>
  <si>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</si>
  <si>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</si>
  <si>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</si>
  <si>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</si>
  <si>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</si>
  <si>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</si>
  <si>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</si>
  <si>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</si>
  <si>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</si>
  <si>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</si>
  <si>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</si>
  <si>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</si>
  <si>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</si>
  <si>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</si>
  <si>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</si>
  <si>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</si>
  <si>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</si>
  <si>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</si>
  <si>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</si>
  <si>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</si>
  <si>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</si>
  <si>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</si>
  <si>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</si>
  <si>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</si>
  <si>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</si>
  <si>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</si>
  <si>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</si>
  <si>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</si>
  <si>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</si>
  <si>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</si>
  <si>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</si>
  <si>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</si>
  <si>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</si>
  <si>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</si>
  <si>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</si>
  <si>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</si>
  <si>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</si>
  <si>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</si>
  <si>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</si>
  <si>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</si>
  <si>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</si>
  <si>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</si>
  <si>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</si>
  <si>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</si>
  <si>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</si>
  <si>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</si>
  <si>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</si>
  <si>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</si>
  <si>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</si>
  <si>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</si>
  <si>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</si>
  <si>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</si>
  <si>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</si>
  <si>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</si>
  <si>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</si>
  <si>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</si>
  <si>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</si>
  <si>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</si>
  <si>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</si>
  <si>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</si>
  <si>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</si>
  <si>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</si>
  <si>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</si>
  <si>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</si>
  <si>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</si>
  <si>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</si>
  <si>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</si>
  <si>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</si>
  <si>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</si>
  <si>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</si>
  <si>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</si>
  <si>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</si>
  <si>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</si>
  <si>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</si>
  <si>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</si>
  <si>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</si>
  <si>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</si>
  <si>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</si>
  <si>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</si>
  <si>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</si>
  <si>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</si>
  <si>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</si>
  <si>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</si>
  <si>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</si>
  <si>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</si>
  <si>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</si>
  <si>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</si>
  <si>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</si>
  <si>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</si>
  <si>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</si>
  <si>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</si>
  <si>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</si>
  <si>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</si>
  <si>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</si>
  <si>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</si>
  <si>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</si>
  <si>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</si>
  <si>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</si>
  <si>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</si>
  <si>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</si>
  <si>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</si>
  <si>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</si>
  <si>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</si>
  <si>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</si>
  <si>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</si>
  <si>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</si>
  <si>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</si>
  <si>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</si>
  <si>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</si>
  <si>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</si>
  <si>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</si>
  <si>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</si>
  <si>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</si>
  <si>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</si>
  <si>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</si>
  <si>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</si>
  <si>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</si>
  <si>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</si>
  <si>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</si>
  <si>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</si>
  <si>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</si>
  <si>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</si>
  <si>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</si>
  <si>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</si>
  <si>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</si>
  <si>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</si>
  <si>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</si>
  <si>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</si>
  <si>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</si>
  <si>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</si>
  <si>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</si>
  <si>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</si>
  <si>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</si>
  <si>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</si>
  <si>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</si>
  <si>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</si>
  <si>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</si>
  <si>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</si>
  <si>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</si>
  <si>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</si>
  <si>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</si>
  <si>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</si>
  <si>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</si>
  <si>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</si>
  <si>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</si>
  <si>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</si>
  <si>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</si>
  <si>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</si>
  <si>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</si>
  <si>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</si>
  <si>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</si>
  <si>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</si>
  <si>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</si>
  <si>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</si>
  <si>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</si>
  <si>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</si>
  <si>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</si>
  <si>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</si>
  <si>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</si>
  <si>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</si>
  <si>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</si>
  <si>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</si>
  <si>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</si>
  <si>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</si>
  <si>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</si>
  <si>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</si>
  <si>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</si>
  <si>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</si>
  <si>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</si>
  <si>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</si>
  <si>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</si>
  <si>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</si>
  <si>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</si>
  <si>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</si>
  <si>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</si>
  <si>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</si>
  <si>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</si>
  <si>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</si>
  <si>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</si>
  <si>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</si>
  <si>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</si>
  <si>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</si>
  <si>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</si>
  <si>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</si>
  <si>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</si>
  <si>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</si>
  <si>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</si>
  <si>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</si>
  <si>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</si>
  <si>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</si>
  <si>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</si>
  <si>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</si>
  <si>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</si>
  <si>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</si>
  <si>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</si>
  <si>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</si>
  <si>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</si>
  <si>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</si>
  <si>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</si>
  <si>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</si>
  <si>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</si>
  <si>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</si>
  <si>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</si>
  <si>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</si>
  <si>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</si>
  <si>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</si>
  <si>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</si>
  <si>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</si>
  <si>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</si>
  <si>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</si>
  <si>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</si>
  <si>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</si>
  <si>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</si>
  <si>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</si>
  <si>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</si>
  <si>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</si>
  <si>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</si>
  <si>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</si>
  <si>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</si>
  <si>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</si>
  <si>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</si>
  <si>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</si>
  <si>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</si>
  <si>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</si>
  <si>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</si>
  <si>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</si>
  <si>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</si>
  <si>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</si>
  <si>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</si>
  <si>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</si>
  <si>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</si>
  <si>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</si>
  <si>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</si>
  <si>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</si>
  <si>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</si>
  <si>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</si>
  <si>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</si>
  <si>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</si>
  <si>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</si>
  <si>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</si>
  <si>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</si>
  <si>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</si>
  <si>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</si>
  <si>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</si>
  <si>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</si>
  <si>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</si>
  <si>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</si>
  <si>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</si>
  <si>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</si>
  <si>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</si>
  <si>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</si>
  <si>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</si>
  <si>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</si>
  <si>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</si>
  <si>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</si>
  <si>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</si>
  <si>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</si>
  <si>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</si>
  <si>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</si>
  <si>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</si>
  <si>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</si>
  <si>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</si>
  <si>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</si>
  <si>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</si>
  <si>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</si>
  <si>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</si>
  <si>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</si>
  <si>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</si>
  <si>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</si>
  <si>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</si>
  <si>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</si>
  <si>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</si>
  <si>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</si>
  <si>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</si>
  <si>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</si>
  <si>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</si>
  <si>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</si>
  <si>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</si>
  <si>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</si>
  <si>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</si>
  <si>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</si>
  <si>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</si>
  <si>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</si>
  <si>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</si>
  <si>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</si>
  <si>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</si>
  <si>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</si>
  <si>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</si>
  <si>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</si>
  <si>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</si>
  <si>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</si>
  <si>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</si>
  <si>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</si>
  <si>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</si>
  <si>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</si>
  <si>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</si>
  <si>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</si>
  <si>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</si>
  <si>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</si>
  <si>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</si>
  <si>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</si>
  <si>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</si>
  <si>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</si>
  <si>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</si>
  <si>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</si>
  <si>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</si>
  <si>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</si>
  <si>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</si>
  <si>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</si>
  <si>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</si>
  <si>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</si>
  <si>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</si>
  <si>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</si>
  <si>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</si>
  <si>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</si>
  <si>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</si>
  <si>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</si>
  <si>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</si>
  <si>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</si>
  <si>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</si>
  <si>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</si>
  <si>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</si>
  <si>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</si>
  <si>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</si>
  <si>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</si>
  <si>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</si>
  <si>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</si>
  <si>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</si>
  <si>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</si>
  <si>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</si>
  <si>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</si>
  <si>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</si>
  <si>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</si>
  <si>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</si>
  <si>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</si>
  <si>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</si>
  <si>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</si>
  <si>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</si>
  <si>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</si>
  <si>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</si>
  <si>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</si>
  <si>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</si>
  <si>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</si>
  <si>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</si>
  <si>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</si>
  <si>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</si>
  <si>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</si>
  <si>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</si>
  <si>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</si>
  <si>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</si>
  <si>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</si>
  <si>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</si>
  <si>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</si>
  <si>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</si>
  <si>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</si>
  <si>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</si>
  <si>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</si>
  <si>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</si>
  <si>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</si>
  <si>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</si>
  <si>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</si>
  <si>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</si>
  <si>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</si>
  <si>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</si>
  <si>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</si>
  <si>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</si>
  <si>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</si>
  <si>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</si>
  <si>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</si>
  <si>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</si>
  <si>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</si>
  <si>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</si>
  <si>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</si>
  <si>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</si>
  <si>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</si>
  <si>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</si>
  <si>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</si>
  <si>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</si>
  <si>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</si>
  <si>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</si>
  <si>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</si>
  <si>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</si>
  <si>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</si>
  <si>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</si>
  <si>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</si>
  <si>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</si>
  <si>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</si>
  <si>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</si>
  <si>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</si>
  <si>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</si>
  <si>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</si>
  <si>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</si>
  <si>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</si>
  <si>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</si>
  <si>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</si>
  <si>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</si>
  <si>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</si>
  <si>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</si>
  <si>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</si>
  <si>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</si>
  <si>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</si>
  <si>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</si>
  <si>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</si>
  <si>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</si>
  <si>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</si>
  <si>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</si>
  <si>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</si>
  <si>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</si>
  <si>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</si>
  <si>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</si>
  <si>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</si>
  <si>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</si>
  <si>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</si>
  <si>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</si>
  <si>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</si>
  <si>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</si>
  <si>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</si>
  <si>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</si>
  <si>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</si>
  <si>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</si>
  <si>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</si>
  <si>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</si>
  <si>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</si>
  <si>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</si>
  <si>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</si>
  <si>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</si>
  <si>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</si>
  <si>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</si>
  <si>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</si>
  <si>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</si>
  <si>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</si>
  <si>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</si>
  <si>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</si>
  <si>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</si>
  <si>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</si>
  <si>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</si>
  <si>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</si>
  <si>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</si>
  <si>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</si>
  <si>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</si>
  <si>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</si>
  <si>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</si>
  <si>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</si>
  <si>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</si>
  <si>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</si>
  <si>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</si>
  <si>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</si>
  <si>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</si>
  <si>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</si>
  <si>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</si>
  <si>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</si>
  <si>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</si>
  <si>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</si>
  <si>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</si>
  <si>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</si>
  <si>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</si>
  <si>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</si>
  <si>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</si>
  <si>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</si>
  <si>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</si>
  <si>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</si>
  <si>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</si>
  <si>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</si>
  <si>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</si>
  <si>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</si>
  <si>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</si>
  <si>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</si>
  <si>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</si>
  <si>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</si>
  <si>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</si>
  <si>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</si>
  <si>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</si>
  <si>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</si>
  <si>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</si>
  <si>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</si>
  <si>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</si>
  <si>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</si>
  <si>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</si>
  <si>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</si>
  <si>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</si>
  <si>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</si>
  <si>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</si>
  <si>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</si>
  <si>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</si>
  <si>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</si>
  <si>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</si>
  <si>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</si>
  <si>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</si>
  <si>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</si>
  <si>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</si>
  <si>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</si>
  <si>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</si>
  <si>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</si>
  <si>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</si>
  <si>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</si>
  <si>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</si>
  <si>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</si>
  <si>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</si>
  <si>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</si>
  <si>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</si>
  <si>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</si>
  <si>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</si>
  <si>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</si>
  <si>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</si>
  <si>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</si>
  <si>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</si>
  <si>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</si>
  <si>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</si>
  <si>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</si>
  <si>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</si>
  <si>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</si>
  <si>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</si>
  <si>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</si>
  <si>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</si>
  <si>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</si>
  <si>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</si>
  <si>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</si>
  <si>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</si>
  <si>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</si>
  <si>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</si>
  <si>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</si>
  <si>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</si>
  <si>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</si>
  <si>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</si>
  <si>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</si>
  <si>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</si>
  <si>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</si>
  <si>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</si>
  <si>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</si>
  <si>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</si>
  <si>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</si>
  <si>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</si>
  <si>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</si>
  <si>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</si>
  <si>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</si>
  <si>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</si>
  <si>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</si>
  <si>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</si>
  <si>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</si>
  <si>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</si>
  <si>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</si>
  <si>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</si>
  <si>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</si>
  <si>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</si>
  <si>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</si>
  <si>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</si>
  <si>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</si>
  <si>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</si>
  <si>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</si>
  <si>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</si>
  <si>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</si>
  <si>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</si>
  <si>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</si>
  <si>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</si>
  <si>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</si>
  <si>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</si>
  <si>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</si>
  <si>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</si>
  <si>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</si>
  <si>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</si>
  <si>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</si>
  <si>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</si>
  <si>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</si>
  <si>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</si>
  <si>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</si>
  <si>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</si>
  <si>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</si>
  <si>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</si>
  <si>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</si>
  <si>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</si>
  <si>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</si>
  <si>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</si>
  <si>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</si>
  <si>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</si>
  <si>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</si>
  <si>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</si>
  <si>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</si>
  <si>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</si>
  <si>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</si>
  <si>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</si>
  <si>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</si>
  <si>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</si>
  <si>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</si>
  <si>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</si>
  <si>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</si>
  <si>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</si>
  <si>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</si>
  <si>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</si>
  <si>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</si>
  <si>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</si>
  <si>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</si>
  <si>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</si>
  <si>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</si>
  <si>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</si>
  <si>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</si>
  <si>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</si>
  <si>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</si>
  <si>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</si>
  <si>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</si>
  <si>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</si>
  <si>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</si>
  <si>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</si>
  <si>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</si>
  <si>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</si>
  <si>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</si>
  <si>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</si>
  <si>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</si>
  <si>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</si>
  <si>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</si>
  <si>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</si>
  <si>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</si>
  <si>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</si>
  <si>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</si>
  <si>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</si>
  <si>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</si>
  <si>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</si>
  <si>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</si>
  <si>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</si>
  <si>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</si>
  <si>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</si>
  <si>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</si>
  <si>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</si>
  <si>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</si>
  <si>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</si>
  <si>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</si>
  <si>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</si>
  <si>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</si>
  <si>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</si>
  <si>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</si>
  <si>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</si>
  <si>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</si>
  <si>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</si>
  <si>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</si>
  <si>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</si>
  <si>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</si>
  <si>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</si>
  <si>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</si>
  <si>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</si>
  <si>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</si>
  <si>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</si>
  <si>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</si>
  <si>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</si>
  <si>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</si>
  <si>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</si>
  <si>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</si>
  <si>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</si>
  <si>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</si>
  <si>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</si>
  <si>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</si>
  <si>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</si>
  <si>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</si>
  <si>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</si>
  <si>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</si>
  <si>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</si>
  <si>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</si>
  <si>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</si>
  <si>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</si>
  <si>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</si>
  <si>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</si>
  <si>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</si>
  <si>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</si>
  <si>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</si>
  <si>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</si>
  <si>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</si>
  <si>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</si>
  <si>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</si>
  <si>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</si>
  <si>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</si>
  <si>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</si>
  <si>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</si>
  <si>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</si>
  <si>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</si>
  <si>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</si>
  <si>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</si>
  <si>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</si>
  <si>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</si>
  <si>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</si>
  <si>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</si>
  <si>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</si>
  <si>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</si>
  <si>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</si>
  <si>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</si>
  <si>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</si>
  <si>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</si>
  <si>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</si>
  <si>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</si>
  <si>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</si>
  <si>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</si>
  <si>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</si>
  <si>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</si>
  <si>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</si>
  <si>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</si>
  <si>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</si>
  <si>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</si>
  <si>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</si>
  <si>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</si>
  <si>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</si>
  <si>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</si>
  <si>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</si>
  <si>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</si>
  <si>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</si>
  <si>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</si>
  <si>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</si>
  <si>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</si>
  <si>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</si>
  <si>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</si>
  <si>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</si>
  <si>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</si>
  <si>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</si>
  <si>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</si>
  <si>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</si>
  <si>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</si>
  <si>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</si>
  <si>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</si>
  <si>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</si>
  <si>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</si>
  <si>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</si>
  <si>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</si>
  <si>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</si>
  <si>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</si>
  <si>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</si>
  <si>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</si>
  <si>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</si>
  <si>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</si>
  <si>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</si>
  <si>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</si>
  <si>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</si>
  <si>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</si>
  <si>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</si>
  <si>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</si>
  <si>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</si>
  <si>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</si>
  <si>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</si>
  <si>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</si>
  <si>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</si>
  <si>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</si>
  <si>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</si>
  <si>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</si>
  <si>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</si>
  <si>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</si>
  <si>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</si>
  <si>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</si>
  <si>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</si>
  <si>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</si>
  <si>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</si>
  <si>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</si>
  <si>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</si>
  <si>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</si>
  <si>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</si>
  <si>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</si>
  <si>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</si>
  <si>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</si>
  <si>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</si>
  <si>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</si>
  <si>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</si>
  <si>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</si>
  <si>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</si>
  <si>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</si>
  <si>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</si>
  <si>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</si>
  <si>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</si>
  <si>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</si>
  <si>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</si>
  <si>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</si>
  <si>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</si>
  <si>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</si>
  <si>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</si>
  <si>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</si>
  <si>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</si>
  <si>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</si>
  <si>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</si>
  <si>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</si>
  <si>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</si>
  <si>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</si>
  <si>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</si>
  <si>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</si>
  <si>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</si>
  <si>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</si>
  <si>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</si>
  <si>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</si>
  <si>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</si>
  <si>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</si>
  <si>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</si>
  <si>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</si>
  <si>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</si>
  <si>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</si>
  <si>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</si>
  <si>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</si>
  <si>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</si>
  <si>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</si>
  <si>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</si>
  <si>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</si>
  <si>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</si>
  <si>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</si>
  <si>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</si>
  <si>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</si>
  <si>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</si>
  <si>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</si>
  <si>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</si>
  <si>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</si>
  <si>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</si>
  <si>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</si>
  <si>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</si>
  <si>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</si>
  <si>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</si>
  <si>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</si>
  <si>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</si>
  <si>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</si>
  <si>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</si>
  <si>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</si>
  <si>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</si>
  <si>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</si>
  <si>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</si>
  <si>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</si>
  <si>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</si>
  <si>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</si>
  <si>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</si>
  <si>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</si>
  <si>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</si>
  <si>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</si>
  <si>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</si>
  <si>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</si>
  <si>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</si>
  <si>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</si>
  <si>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</si>
  <si>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</si>
  <si>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</si>
  <si>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</si>
  <si>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</si>
  <si>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</si>
  <si>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</si>
  <si>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</si>
  <si>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</si>
  <si>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</si>
  <si>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</si>
  <si>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</si>
  <si>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</si>
  <si>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</si>
  <si>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</si>
  <si>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</si>
  <si>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</si>
  <si>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</si>
  <si>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</si>
  <si>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</si>
  <si>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</si>
  <si>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</si>
  <si>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</si>
  <si>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</si>
  <si>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</si>
  <si>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</si>
  <si>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</si>
  <si>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</si>
  <si>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</si>
  <si>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</si>
  <si>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</si>
  <si>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</si>
  <si>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</si>
  <si>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</si>
  <si>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</si>
  <si>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</si>
  <si>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</si>
  <si>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</si>
  <si>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</si>
  <si>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</si>
  <si>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</si>
  <si>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</si>
  <si>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</si>
  <si>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</si>
  <si>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</si>
  <si>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</si>
  <si>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</si>
  <si>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</si>
  <si>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</si>
  <si>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</si>
  <si>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</si>
  <si>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</si>
  <si>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</si>
  <si>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</si>
  <si>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</si>
  <si>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</si>
  <si>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</si>
  <si>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</si>
  <si>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</si>
  <si>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</si>
  <si>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</si>
  <si>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</si>
  <si>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</si>
  <si>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</si>
  <si>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</si>
  <si>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</si>
  <si>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</si>
  <si>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</si>
  <si>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</si>
  <si>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</si>
  <si>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</si>
  <si>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</si>
  <si>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</si>
  <si>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</si>
  <si>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</si>
  <si>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</si>
  <si>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</si>
  <si>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</si>
  <si>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</si>
  <si>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</si>
  <si>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</si>
  <si>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</si>
  <si>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</si>
  <si>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</si>
  <si>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</si>
  <si>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</si>
  <si>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</si>
  <si>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</si>
  <si>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</si>
  <si>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</si>
  <si>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</si>
  <si>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</si>
  <si>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</si>
  <si>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</si>
  <si>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</si>
  <si>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</si>
  <si>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</si>
  <si>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</si>
  <si>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</si>
  <si>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</si>
  <si>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</si>
  <si>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</si>
  <si>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</si>
  <si>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</si>
  <si>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</si>
  <si>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</si>
  <si>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</si>
  <si>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</si>
  <si>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</si>
  <si>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</si>
  <si>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</si>
  <si>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</si>
  <si>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</si>
  <si>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</si>
  <si>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</si>
  <si>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</si>
  <si>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</si>
  <si>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</si>
  <si>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</si>
  <si>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</si>
  <si>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</si>
  <si>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</si>
  <si>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</si>
  <si>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</si>
  <si>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</si>
  <si>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</si>
  <si>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</si>
  <si>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</si>
  <si>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</si>
  <si>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</si>
  <si>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</si>
  <si>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</si>
  <si>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</si>
  <si>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</si>
  <si>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</si>
  <si>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</si>
  <si>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</si>
  <si>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</si>
  <si>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</si>
  <si>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</si>
  <si>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</si>
  <si>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</si>
  <si>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</si>
  <si>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</si>
  <si>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</si>
  <si>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</si>
  <si>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</si>
  <si>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</si>
  <si>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</si>
  <si>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</si>
  <si>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</si>
  <si>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</si>
  <si>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</si>
  <si>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</si>
  <si>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</si>
  <si>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</si>
  <si>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</si>
  <si>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</si>
  <si>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</si>
  <si>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</si>
  <si>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</si>
  <si>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</si>
  <si>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</si>
  <si>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</si>
  <si>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</si>
  <si>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</si>
  <si>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</si>
  <si>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</si>
  <si>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</si>
  <si>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</si>
  <si>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</si>
  <si>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</si>
  <si>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</si>
  <si>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</si>
  <si>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</si>
  <si>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</si>
  <si>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</si>
  <si>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</si>
  <si>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</si>
  <si>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</si>
  <si>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</si>
  <si>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</si>
  <si>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</si>
  <si>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</si>
  <si>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</si>
  <si>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</si>
  <si>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</si>
  <si>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</si>
  <si>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</si>
  <si>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</si>
  <si>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</si>
  <si>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</si>
  <si>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</si>
  <si>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</si>
  <si>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</si>
  <si>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</si>
  <si>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</si>
  <si>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</si>
  <si>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</si>
  <si>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</si>
  <si>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</si>
  <si>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</si>
  <si>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</si>
  <si>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</si>
  <si>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</si>
  <si>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</si>
  <si>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</si>
  <si>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</si>
  <si>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</si>
  <si>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</si>
  <si>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</si>
  <si>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</si>
  <si>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</si>
  <si>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</si>
  <si>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</si>
  <si>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</si>
  <si>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</si>
  <si>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</si>
  <si>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</si>
  <si>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</si>
  <si>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</si>
  <si>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</si>
  <si>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</si>
  <si>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</si>
  <si>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</si>
  <si>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</si>
  <si>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</si>
  <si>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</si>
  <si>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</si>
  <si>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</si>
  <si>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</si>
  <si>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</si>
  <si>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</si>
  <si>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</si>
  <si>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</si>
  <si>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</si>
  <si>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</si>
  <si>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</si>
  <si>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</si>
  <si>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</si>
  <si>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</si>
  <si>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</si>
  <si>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</si>
  <si>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</si>
  <si>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</si>
  <si>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</si>
  <si>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</si>
  <si>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</si>
  <si>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</si>
  <si>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</si>
  <si>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</si>
  <si>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</si>
  <si>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</si>
  <si>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</si>
  <si>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</si>
  <si>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</si>
  <si>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</si>
  <si>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</si>
  <si>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</si>
  <si>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</si>
  <si>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</si>
  <si>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</si>
  <si>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</si>
  <si>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</si>
  <si>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</si>
  <si>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</si>
  <si>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</si>
  <si>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</si>
  <si>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</si>
  <si>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</si>
  <si>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</si>
  <si>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</si>
  <si>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</si>
  <si>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</si>
  <si>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</si>
  <si>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</si>
  <si>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</si>
  <si>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</si>
  <si>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</si>
  <si>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</si>
  <si>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</si>
  <si>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</si>
  <si>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</si>
  <si>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</si>
  <si>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</si>
  <si>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</si>
  <si>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</si>
  <si>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</si>
  <si>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</si>
  <si>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</si>
  <si>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</si>
  <si>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</si>
  <si>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</si>
  <si>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</si>
  <si>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</si>
  <si>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</si>
  <si>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</si>
  <si>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</si>
  <si>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</si>
  <si>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</si>
  <si>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</si>
  <si>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</si>
  <si>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</si>
  <si>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</si>
  <si>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</si>
  <si>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</si>
  <si>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</si>
  <si>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</si>
  <si>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</si>
  <si>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</si>
  <si>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</si>
  <si>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</si>
  <si>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</si>
  <si>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</si>
  <si>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</si>
  <si>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</si>
  <si>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</si>
  <si>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</si>
  <si>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</si>
  <si>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</si>
  <si>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</si>
  <si>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</si>
  <si>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</si>
  <si>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</si>
  <si>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</si>
  <si>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</si>
  <si>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</si>
  <si>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</si>
  <si>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</si>
  <si>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</si>
  <si>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</si>
  <si>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</si>
  <si>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</si>
  <si>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</si>
  <si>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</si>
  <si>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</si>
  <si>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</si>
  <si>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</si>
  <si>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</si>
  <si>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</si>
  <si>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</si>
  <si>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</si>
  <si>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</si>
  <si>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</si>
  <si>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</si>
  <si>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</si>
  <si>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</si>
  <si>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</si>
  <si>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</si>
  <si>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</si>
  <si>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</si>
  <si>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</si>
  <si>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</si>
  <si>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</si>
  <si>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</si>
  <si>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</si>
  <si>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</si>
  <si>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</si>
  <si>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</si>
  <si>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</si>
  <si>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</si>
  <si>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</si>
  <si>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</si>
  <si>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</si>
  <si>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</si>
  <si>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</si>
  <si>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</si>
  <si>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</si>
  <si>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</si>
  <si>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</si>
  <si>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</si>
  <si>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</si>
  <si>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</si>
  <si>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</si>
  <si>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</si>
  <si>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</si>
  <si>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</si>
  <si>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</si>
  <si>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</si>
  <si>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</si>
  <si>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</si>
  <si>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</si>
  <si>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</si>
  <si>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</si>
  <si>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</si>
  <si>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</si>
  <si>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</si>
  <si>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</si>
  <si>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</si>
  <si>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</si>
  <si>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</si>
  <si>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</si>
  <si>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</si>
  <si>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</si>
  <si>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</si>
  <si>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</si>
  <si>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</si>
  <si>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</si>
  <si>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</si>
  <si>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</si>
  <si>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</si>
  <si>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</si>
  <si>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</si>
  <si>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</si>
  <si>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</si>
  <si>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</si>
  <si>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</si>
  <si>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</si>
  <si>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</si>
  <si>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</si>
  <si>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</si>
  <si>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</si>
  <si>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</si>
  <si>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</si>
  <si>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</si>
  <si>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</si>
  <si>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</si>
  <si>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</si>
  <si>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</si>
  <si>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</si>
  <si>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</si>
  <si>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</si>
  <si>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</si>
  <si>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</si>
  <si>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</si>
  <si>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</si>
  <si>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</si>
  <si>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</si>
  <si>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</si>
  <si>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</si>
  <si>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</si>
  <si>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</si>
  <si>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</si>
  <si>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</si>
  <si>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</si>
  <si>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</si>
  <si>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</si>
  <si>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</si>
  <si>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</si>
  <si>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</si>
  <si>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</si>
  <si>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</si>
  <si>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</si>
  <si>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</si>
  <si>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</si>
  <si>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</si>
  <si>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</si>
  <si>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</si>
  <si>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</si>
  <si>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</si>
  <si>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</si>
  <si>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</si>
  <si>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</si>
  <si>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</si>
  <si>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</si>
  <si>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</si>
  <si>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</si>
  <si>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</si>
  <si>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</si>
  <si>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</si>
  <si>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</si>
  <si>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</si>
  <si>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</si>
  <si>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</si>
  <si>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</si>
  <si>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</si>
  <si>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</si>
  <si>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</si>
  <si>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</si>
  <si>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</si>
  <si>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</si>
  <si>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</si>
  <si>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</si>
  <si>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</si>
  <si>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</si>
  <si>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</si>
  <si>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</si>
  <si>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</si>
  <si>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</si>
  <si>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</si>
  <si>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</si>
  <si>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</si>
  <si>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</si>
  <si>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</si>
  <si>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</si>
  <si>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</si>
  <si>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</si>
  <si>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</si>
  <si>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</si>
  <si>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</si>
  <si>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</si>
  <si>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</si>
  <si>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</si>
  <si>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</si>
  <si>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</si>
  <si>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</si>
  <si>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</si>
  <si>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</si>
  <si>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</si>
  <si>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</si>
  <si>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</si>
  <si>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</si>
  <si>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</si>
  <si>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</si>
  <si>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</si>
  <si>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</si>
  <si>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</si>
  <si>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</si>
  <si>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</si>
  <si>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</si>
  <si>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</si>
  <si>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</si>
  <si>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</si>
  <si>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</si>
  <si>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</si>
  <si>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</si>
  <si>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</si>
  <si>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</si>
  <si>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</si>
  <si>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</si>
  <si>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</si>
  <si>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</si>
  <si>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</si>
  <si>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</si>
  <si>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</si>
  <si>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</si>
  <si>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</si>
  <si>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</si>
  <si>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</si>
  <si>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</si>
  <si>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</si>
  <si>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</si>
  <si>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</si>
  <si>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</si>
  <si>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</si>
  <si>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</si>
  <si>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</si>
  <si>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</si>
  <si>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</si>
  <si>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</si>
  <si>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</si>
  <si>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</si>
  <si>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</si>
  <si>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</si>
  <si>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</si>
  <si>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</si>
  <si>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</si>
  <si>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</si>
  <si>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</si>
  <si>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</si>
  <si>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</si>
  <si>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</si>
  <si>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</si>
  <si>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</si>
  <si>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</si>
  <si>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</si>
  <si>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</si>
  <si>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</si>
  <si>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</si>
  <si>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</si>
  <si>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</si>
  <si>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</si>
  <si>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</si>
  <si>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</si>
  <si>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</si>
  <si>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</si>
  <si>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</si>
  <si>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</si>
  <si>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</si>
  <si>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</si>
  <si>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</si>
  <si>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</si>
  <si>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</si>
  <si>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</si>
  <si>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</si>
  <si>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</si>
  <si>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</si>
  <si>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</si>
  <si>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</si>
  <si>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</si>
  <si>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</si>
  <si>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</si>
  <si>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</si>
  <si>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</si>
  <si>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</si>
  <si>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</si>
  <si>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</si>
  <si>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</si>
  <si>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</si>
  <si>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</si>
  <si>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</si>
  <si>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</si>
  <si>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</si>
  <si>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</si>
  <si>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</si>
  <si>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</si>
  <si>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</si>
  <si>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</si>
  <si>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</si>
  <si>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</si>
  <si>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</si>
  <si>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</si>
  <si>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</si>
  <si>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</si>
  <si>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</si>
  <si>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</si>
  <si>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</si>
  <si>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</si>
  <si>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</si>
  <si>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</si>
  <si>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</si>
  <si>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</si>
  <si>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</si>
  <si>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</si>
  <si>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</si>
  <si>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</si>
  <si>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</si>
  <si>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</si>
  <si>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</si>
  <si>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</si>
  <si>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</si>
  <si>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</si>
  <si>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</si>
  <si>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</si>
  <si>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</si>
  <si>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</si>
  <si>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</si>
  <si>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</si>
  <si>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</si>
  <si>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</si>
  <si>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</si>
  <si>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</si>
  <si>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</si>
  <si>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</si>
  <si>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</si>
  <si>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</si>
  <si>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</si>
  <si>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</si>
  <si>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</si>
  <si>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</si>
  <si>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</si>
  <si>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</si>
  <si>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</si>
  <si>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</si>
  <si>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</si>
  <si>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</si>
  <si>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</si>
  <si>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</si>
  <si>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</si>
  <si>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</si>
  <si>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</si>
  <si>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</si>
  <si>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</si>
  <si>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</si>
  <si>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</si>
  <si>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</si>
  <si>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</si>
  <si>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</si>
  <si>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</si>
  <si>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</si>
  <si>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</si>
  <si>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</si>
  <si>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</si>
  <si>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</si>
  <si>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</si>
  <si>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</si>
  <si>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</si>
  <si>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</si>
  <si>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</si>
  <si>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</si>
  <si>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</si>
  <si>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</si>
  <si>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</si>
  <si>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</si>
  <si>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</si>
  <si>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</si>
  <si>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</si>
  <si>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</si>
  <si>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</si>
  <si>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</si>
  <si>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</si>
  <si>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</si>
  <si>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</si>
  <si>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</si>
  <si>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</si>
  <si>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</si>
  <si>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</si>
  <si>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</si>
  <si>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</si>
  <si>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</si>
  <si>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</si>
  <si>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</si>
  <si>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</si>
  <si>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</si>
  <si>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</si>
  <si>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</si>
  <si>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</si>
  <si>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</si>
  <si>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</si>
  <si>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</si>
  <si>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</si>
  <si>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</si>
  <si>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</si>
  <si>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</si>
  <si>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</si>
  <si>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</si>
  <si>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</si>
  <si>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</si>
  <si>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</si>
  <si>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</si>
  <si>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</si>
  <si>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</si>
  <si>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</si>
  <si>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</si>
  <si>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</si>
  <si>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</si>
  <si>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</si>
  <si>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</si>
  <si>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</si>
  <si>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</si>
  <si>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</si>
  <si>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</si>
  <si>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</si>
  <si>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</si>
  <si>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</si>
  <si>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</si>
  <si>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</si>
  <si>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</si>
  <si>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</si>
  <si>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</si>
  <si>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</si>
  <si>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</si>
  <si>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</si>
  <si>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</si>
  <si>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</si>
  <si>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</si>
  <si>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</si>
  <si>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</si>
  <si>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</si>
  <si>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</si>
  <si>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</si>
  <si>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</si>
  <si>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</si>
  <si>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</si>
  <si>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</si>
  <si>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</si>
  <si>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</si>
  <si>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</si>
  <si>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</si>
  <si>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</si>
  <si>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</si>
  <si>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</si>
  <si>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</si>
  <si>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</si>
  <si>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</si>
  <si>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</si>
  <si>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</si>
  <si>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</si>
  <si>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</si>
  <si>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</si>
  <si>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</si>
  <si>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</si>
  <si>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</si>
  <si>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</si>
  <si>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</si>
  <si>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</si>
  <si>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</si>
  <si>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</si>
  <si>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</si>
  <si>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</si>
  <si>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</si>
  <si>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</si>
  <si>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</si>
  <si>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</si>
  <si>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</si>
  <si>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</si>
  <si>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</si>
  <si>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</si>
  <si>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</si>
  <si>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</si>
  <si>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</si>
  <si>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</si>
  <si>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</si>
  <si>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</si>
  <si>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</si>
  <si>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</si>
  <si>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</si>
  <si>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</si>
  <si>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</si>
  <si>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</si>
  <si>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</si>
  <si>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</si>
  <si>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</si>
  <si>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</si>
  <si>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</si>
  <si>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</si>
  <si>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</si>
  <si>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</si>
  <si>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</si>
  <si>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</si>
  <si>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</si>
  <si>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</si>
  <si>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</si>
  <si>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</si>
  <si>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</si>
  <si>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</si>
  <si>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</si>
  <si>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</si>
  <si>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</si>
  <si>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</si>
  <si>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</si>
  <si>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</si>
  <si>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</si>
  <si>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</si>
  <si>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</si>
  <si>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</si>
  <si>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</si>
  <si>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</si>
  <si>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</si>
  <si>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</si>
  <si>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</si>
  <si>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</si>
  <si>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</si>
  <si>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</si>
  <si>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</si>
  <si>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</si>
  <si>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</si>
  <si>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</si>
  <si>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</si>
  <si>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</si>
  <si>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</si>
  <si>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</si>
  <si>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</si>
  <si>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</si>
  <si>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</si>
  <si>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</si>
  <si>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</si>
  <si>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</si>
  <si>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</si>
  <si>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</si>
  <si>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</si>
  <si>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</si>
  <si>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</si>
  <si>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</si>
  <si>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</si>
  <si>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</si>
  <si>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</si>
  <si>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</si>
  <si>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</si>
  <si>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</si>
  <si>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</si>
  <si>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</si>
  <si>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</si>
  <si>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</si>
  <si>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</si>
  <si>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</si>
  <si>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</si>
  <si>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</si>
  <si>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</si>
  <si>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</si>
  <si>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</si>
  <si>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</si>
  <si>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</si>
  <si>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</si>
  <si>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</si>
  <si>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</si>
  <si>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</si>
  <si>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</si>
  <si>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</si>
  <si>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</si>
  <si>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</si>
  <si>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</si>
  <si>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</si>
  <si>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</si>
  <si>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</si>
  <si>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</si>
  <si>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</si>
  <si>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</si>
  <si>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</si>
  <si>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</si>
  <si>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</si>
  <si>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</si>
  <si>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</si>
  <si>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</si>
  <si>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</si>
  <si>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</si>
  <si>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</si>
  <si>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</si>
  <si>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</si>
  <si>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</si>
  <si>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</si>
  <si>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</si>
  <si>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</si>
  <si>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</si>
  <si>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</si>
  <si>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</si>
  <si>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</si>
  <si>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</si>
  <si>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</si>
  <si>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</si>
  <si>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</si>
  <si>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</si>
  <si>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</si>
  <si>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</si>
  <si>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</si>
  <si>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</si>
  <si>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</si>
  <si>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</si>
  <si>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</si>
  <si>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</si>
  <si>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</si>
  <si>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</si>
  <si>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</si>
  <si>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</si>
  <si>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</si>
  <si>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</si>
  <si>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</si>
  <si>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</si>
  <si>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</si>
  <si>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</si>
  <si>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</si>
  <si>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</si>
  <si>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</si>
  <si>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</si>
  <si>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</si>
  <si>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</si>
  <si>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</si>
  <si>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</si>
  <si>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</si>
  <si>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</si>
  <si>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</si>
  <si>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</si>
  <si>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</si>
  <si>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</si>
  <si>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</si>
  <si>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</si>
  <si>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</si>
  <si>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</si>
  <si>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</si>
  <si>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</si>
  <si>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</si>
  <si>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</si>
  <si>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</si>
  <si>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</si>
  <si>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</si>
  <si>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</si>
  <si>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</si>
  <si>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</si>
  <si>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</si>
  <si>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</si>
  <si>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</si>
  <si>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</si>
  <si>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</si>
  <si>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</si>
  <si>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</si>
  <si>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</si>
  <si>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</si>
  <si>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</si>
  <si>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</si>
  <si>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</si>
  <si>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</si>
  <si>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</si>
  <si>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</si>
  <si>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</si>
  <si>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</si>
  <si>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</si>
  <si>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</si>
  <si>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</si>
  <si>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</si>
  <si>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</si>
  <si>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</si>
  <si>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</si>
  <si>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</si>
  <si>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</si>
  <si>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</si>
  <si>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</si>
  <si>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</si>
  <si>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</si>
  <si>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</si>
  <si>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</si>
  <si>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</si>
  <si>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</si>
  <si>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</si>
  <si>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</si>
  <si>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</si>
  <si>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</si>
  <si>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</si>
  <si>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</si>
  <si>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</si>
  <si>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</si>
  <si>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</si>
  <si>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</si>
  <si>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</si>
  <si>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</si>
  <si>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</si>
  <si>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</si>
  <si>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</si>
  <si>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</si>
  <si>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</si>
  <si>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</si>
  <si>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</si>
  <si>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</si>
  <si>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</si>
  <si>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</si>
  <si>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</si>
  <si>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</si>
  <si>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</si>
  <si>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</si>
  <si>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</si>
  <si>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</si>
  <si>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</si>
  <si>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</si>
  <si>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</si>
  <si>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</si>
  <si>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</si>
  <si>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</si>
  <si>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</si>
  <si>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</si>
  <si>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</si>
  <si>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</si>
  <si>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</si>
  <si>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</si>
  <si>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</si>
  <si>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</si>
  <si>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</si>
  <si>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</si>
  <si>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</si>
  <si>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</si>
  <si>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</si>
  <si>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</si>
  <si>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</si>
  <si>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</si>
  <si>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</si>
  <si>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</si>
  <si>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</si>
  <si>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</si>
  <si>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</si>
  <si>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</si>
  <si>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</si>
  <si>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</si>
  <si>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</si>
  <si>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</si>
  <si>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</si>
  <si>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</si>
  <si>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</si>
  <si>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</si>
  <si>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</si>
  <si>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</si>
  <si>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</si>
  <si>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</si>
  <si>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</si>
  <si>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</si>
  <si>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</si>
  <si>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</si>
  <si>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</si>
  <si>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</si>
  <si>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</si>
  <si>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</si>
  <si>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</si>
  <si>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</si>
  <si>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</si>
  <si>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</si>
  <si>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</si>
  <si>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</si>
  <si>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</si>
  <si>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</si>
  <si>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</si>
  <si>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</si>
  <si>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</si>
  <si>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</si>
  <si>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</si>
  <si>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</si>
  <si>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</si>
  <si>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</si>
  <si>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</si>
  <si>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</si>
  <si>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</si>
  <si>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</si>
  <si>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</si>
  <si>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</si>
  <si>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</si>
  <si>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</si>
  <si>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</si>
  <si>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</si>
  <si>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</si>
  <si>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</si>
  <si>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</si>
  <si>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</si>
  <si>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</si>
  <si>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</si>
  <si>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</si>
  <si>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</si>
  <si>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</si>
  <si>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</si>
  <si>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</si>
  <si>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</si>
  <si>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</si>
  <si>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</si>
  <si>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</si>
  <si>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</si>
  <si>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</si>
  <si>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</si>
  <si>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</si>
  <si>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</si>
  <si>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</si>
  <si>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</si>
  <si>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</si>
  <si>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</si>
  <si>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</si>
  <si>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</si>
  <si>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</si>
  <si>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</si>
  <si>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</si>
  <si>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</si>
  <si>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</si>
  <si>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</si>
  <si>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</si>
  <si>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</si>
  <si>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</si>
  <si>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</si>
  <si>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</si>
  <si>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</si>
  <si>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</si>
  <si>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</si>
  <si>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</si>
  <si>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</si>
  <si>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</si>
  <si>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</si>
  <si>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</si>
  <si>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</si>
  <si>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</si>
  <si>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</si>
  <si>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</si>
  <si>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</si>
  <si>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</si>
  <si>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</si>
  <si>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</si>
  <si>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</si>
  <si>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</si>
  <si>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</si>
  <si>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</si>
  <si>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</si>
  <si>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</si>
  <si>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</si>
  <si>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</si>
  <si>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</si>
  <si>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</si>
  <si>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</si>
  <si>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</si>
  <si>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</si>
  <si>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</si>
  <si>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</si>
  <si>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</si>
  <si>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</si>
  <si>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</si>
  <si>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</si>
  <si>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</si>
  <si>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</si>
  <si>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</si>
  <si>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</si>
  <si>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</si>
  <si>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</si>
  <si>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</si>
  <si>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</si>
  <si>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</si>
  <si>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</si>
  <si>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</si>
  <si>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</si>
  <si>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</si>
  <si>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</si>
  <si>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</si>
  <si>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</si>
  <si>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</si>
  <si>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</si>
  <si>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</si>
  <si>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</si>
  <si>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</si>
  <si>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</si>
  <si>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</si>
  <si>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</si>
  <si>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</si>
  <si>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</si>
  <si>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</si>
  <si>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</si>
  <si>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</si>
  <si>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</si>
  <si>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</si>
  <si>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</si>
  <si>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</si>
  <si>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</si>
  <si>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</si>
  <si>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</si>
  <si>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</si>
  <si>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</si>
  <si>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</si>
  <si>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</si>
  <si>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</si>
  <si>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</si>
  <si>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</si>
  <si>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</si>
  <si>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</si>
  <si>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</si>
  <si>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</si>
  <si>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</si>
  <si>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</si>
  <si>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</si>
  <si>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</si>
  <si>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</si>
  <si>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</si>
  <si>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</si>
  <si>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</si>
  <si>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</si>
  <si>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</si>
  <si>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</si>
  <si>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</si>
  <si>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</si>
  <si>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</si>
  <si>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</si>
  <si>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</si>
  <si>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</si>
  <si>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</si>
  <si>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</si>
  <si>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</si>
  <si>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</si>
  <si>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</si>
  <si>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</si>
  <si>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</si>
  <si>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</si>
  <si>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</si>
  <si>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</si>
  <si>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</si>
  <si>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</si>
  <si>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</si>
  <si>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</si>
  <si>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</si>
  <si>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</si>
  <si>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</si>
  <si>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</si>
  <si>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</si>
  <si>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</si>
  <si>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</si>
  <si>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</si>
  <si>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</si>
  <si>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</si>
  <si>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</si>
  <si>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</si>
  <si>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</si>
  <si>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</si>
  <si>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</si>
  <si>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</si>
  <si>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</si>
  <si>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</si>
  <si>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</si>
  <si>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</si>
  <si>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</si>
  <si>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</si>
  <si>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</si>
  <si>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</si>
  <si>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</si>
  <si>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</si>
  <si>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</si>
  <si>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</si>
  <si>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</si>
  <si>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</si>
  <si>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</si>
  <si>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</si>
  <si>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</si>
  <si>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</si>
  <si>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</si>
  <si>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</si>
  <si>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</si>
  <si>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</si>
  <si>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</si>
  <si>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</si>
  <si>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</si>
  <si>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</si>
  <si>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</si>
  <si>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</si>
  <si>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</si>
  <si>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</si>
  <si>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</si>
  <si>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</si>
  <si>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</si>
  <si>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</si>
  <si>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</si>
  <si>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</si>
  <si>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</si>
  <si>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</si>
  <si>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</si>
  <si>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</si>
  <si>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</si>
  <si>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</si>
  <si>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</si>
  <si>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</si>
  <si>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</si>
  <si>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</si>
  <si>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</si>
  <si>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</si>
  <si>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</si>
  <si>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</si>
  <si>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</si>
  <si>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</si>
  <si>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</si>
  <si>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</si>
  <si>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</si>
  <si>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</si>
  <si>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</si>
  <si>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</si>
  <si>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</si>
  <si>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</si>
  <si>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</si>
  <si>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</si>
  <si>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</si>
  <si>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</si>
  <si>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</si>
  <si>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</si>
  <si>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</si>
  <si>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</si>
  <si>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</si>
  <si>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</si>
  <si>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</si>
  <si>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</si>
  <si>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</si>
  <si>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</si>
  <si>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</si>
  <si>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</si>
  <si>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</si>
  <si>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</si>
  <si>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</si>
  <si>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</si>
  <si>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</si>
  <si>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</si>
  <si>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</si>
  <si>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</si>
  <si>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</si>
  <si>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</si>
  <si>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</si>
  <si>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</si>
  <si>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</si>
  <si>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</si>
  <si>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</si>
  <si>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</si>
  <si>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</si>
  <si>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</si>
  <si>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</si>
  <si>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</si>
  <si>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</si>
  <si>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</si>
  <si>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</si>
  <si>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</si>
  <si>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</si>
  <si>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</si>
  <si>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</si>
  <si>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</si>
  <si>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</si>
  <si>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</si>
  <si>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</si>
  <si>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</si>
  <si>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</si>
  <si>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</si>
  <si>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</si>
  <si>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</si>
  <si>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</si>
  <si>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</si>
  <si>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</si>
  <si>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</si>
  <si>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</si>
  <si>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</si>
  <si>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</si>
  <si>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</si>
  <si>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</si>
  <si>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</si>
  <si>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</si>
  <si>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</si>
  <si>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</si>
  <si>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</si>
  <si>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</si>
  <si>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</si>
  <si>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</si>
  <si>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</si>
  <si>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</si>
  <si>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</si>
  <si>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</si>
  <si>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</si>
  <si>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</si>
  <si>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</si>
  <si>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</si>
  <si>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</si>
  <si>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</si>
  <si>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</si>
  <si>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</si>
  <si>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</si>
  <si>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</si>
  <si>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</si>
  <si>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</si>
  <si>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</si>
  <si>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</si>
  <si>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</si>
  <si>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</si>
  <si>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</si>
  <si>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</si>
  <si>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</si>
  <si>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</si>
  <si>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</si>
  <si>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</si>
  <si>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</si>
  <si>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</si>
  <si>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</si>
  <si>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</si>
  <si>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</si>
  <si>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</si>
  <si>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</si>
  <si>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</si>
  <si>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</si>
  <si>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</si>
  <si>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</si>
  <si>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</si>
  <si>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</si>
  <si>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</si>
  <si>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</si>
  <si>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</si>
  <si>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</si>
  <si>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</si>
  <si>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</si>
  <si>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</si>
  <si>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</si>
  <si>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</si>
  <si>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</si>
  <si>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</si>
  <si>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</si>
  <si>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</si>
  <si>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</si>
  <si>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</si>
  <si>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</si>
  <si>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</si>
  <si>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</si>
  <si>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</si>
  <si>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</si>
  <si>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</si>
  <si>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</si>
  <si>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</si>
  <si>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</si>
  <si>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</si>
  <si>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</si>
  <si>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</si>
  <si>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</si>
  <si>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</si>
  <si>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</si>
  <si>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</si>
  <si>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</si>
  <si>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</si>
  <si>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</si>
  <si>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</si>
  <si>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</si>
  <si>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</si>
  <si>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</si>
  <si>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</si>
  <si>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</si>
  <si>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</si>
  <si>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</si>
  <si>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</si>
  <si>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</si>
  <si>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</si>
  <si>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</si>
  <si>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</si>
  <si>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</si>
  <si>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</si>
  <si>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</si>
  <si>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</si>
  <si>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</si>
  <si>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</si>
  <si>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</si>
  <si>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</si>
  <si>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</si>
  <si>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</si>
  <si>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</si>
  <si>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</si>
  <si>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</si>
  <si>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</si>
  <si>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</si>
  <si>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</si>
  <si>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</si>
  <si>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</si>
  <si>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</si>
  <si>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</si>
  <si>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</si>
  <si>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</si>
  <si>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</si>
  <si>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</si>
  <si>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</si>
  <si>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</si>
  <si>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</si>
  <si>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</si>
  <si>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</si>
  <si>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</si>
  <si>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</si>
  <si>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</si>
  <si>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</si>
  <si>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</si>
  <si>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</si>
  <si>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</si>
  <si>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</si>
  <si>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</si>
  <si>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</si>
  <si>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</si>
  <si>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</si>
  <si>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</si>
  <si>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</si>
  <si>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</si>
  <si>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</si>
  <si>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</si>
  <si>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</si>
  <si>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</si>
  <si>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</si>
  <si>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</si>
  <si>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</si>
  <si>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</si>
  <si>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</si>
  <si>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</si>
  <si>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</si>
  <si>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</si>
  <si>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</si>
  <si>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</si>
  <si>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</si>
  <si>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</si>
  <si>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</si>
  <si>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</si>
  <si>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</si>
  <si>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</si>
  <si>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</si>
  <si>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</si>
  <si>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</si>
  <si>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</si>
  <si>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</si>
  <si>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</si>
  <si>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</si>
  <si>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</si>
  <si>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</si>
  <si>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</si>
  <si>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</si>
  <si>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</si>
  <si>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</si>
  <si>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</si>
  <si>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</si>
  <si>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</si>
  <si>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</si>
  <si>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</si>
  <si>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</si>
  <si>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</si>
  <si>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</si>
  <si>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</si>
  <si>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</si>
  <si>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</si>
  <si>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</si>
  <si>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</si>
  <si>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</si>
  <si>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</si>
  <si>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</si>
  <si>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</si>
  <si>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</si>
  <si>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</si>
  <si>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</si>
  <si>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</si>
  <si>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</si>
  <si>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</si>
  <si>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</si>
  <si>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</si>
  <si>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</si>
  <si>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</si>
  <si>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</si>
  <si>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</si>
  <si>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</si>
  <si>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</si>
  <si>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</si>
  <si>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</si>
  <si>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</si>
  <si>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</si>
  <si>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</si>
  <si>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</si>
  <si>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</si>
  <si>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</si>
  <si>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</si>
  <si>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</si>
  <si>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</si>
  <si>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</si>
  <si>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</si>
  <si>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</si>
  <si>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</si>
  <si>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</si>
  <si>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</si>
  <si>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</si>
  <si>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</si>
  <si>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</si>
  <si>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</si>
  <si>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</si>
  <si>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</si>
  <si>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</si>
  <si>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</si>
  <si>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</si>
  <si>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</si>
  <si>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</si>
  <si>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</si>
  <si>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</si>
  <si>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</si>
  <si>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</si>
  <si>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</si>
  <si>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</si>
  <si>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</si>
  <si>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</si>
  <si>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</si>
  <si>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</si>
  <si>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</si>
  <si>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</si>
  <si>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</si>
  <si>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</si>
  <si>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</si>
  <si>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</si>
  <si>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</si>
  <si>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</si>
  <si>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</si>
  <si>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</si>
  <si>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</si>
  <si>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</si>
  <si>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</si>
  <si>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</si>
  <si>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</si>
  <si>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</si>
  <si>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</si>
  <si>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</si>
  <si>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</si>
  <si>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</si>
  <si>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</si>
  <si>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</si>
  <si>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</si>
  <si>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</si>
  <si>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</si>
  <si>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</si>
  <si>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</si>
  <si>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</si>
  <si>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</si>
  <si>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</si>
  <si>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</si>
  <si>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</si>
  <si>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</si>
  <si>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</si>
  <si>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</si>
  <si>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</si>
  <si>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</si>
  <si>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</si>
  <si>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</si>
  <si>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</si>
  <si>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</si>
  <si>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</si>
  <si>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</si>
  <si>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</si>
  <si>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</si>
  <si>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</si>
  <si>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</si>
  <si>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</si>
  <si>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</si>
  <si>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</si>
  <si>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</si>
  <si>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</si>
  <si>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</si>
  <si>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</si>
  <si>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</si>
  <si>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</si>
  <si>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</si>
  <si>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</si>
  <si>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</si>
  <si>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</si>
  <si>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</si>
  <si>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</si>
  <si>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</si>
  <si>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</si>
  <si>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</si>
  <si>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</si>
  <si>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</si>
  <si>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</si>
  <si>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</si>
  <si>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</si>
  <si>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</si>
  <si>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</si>
  <si>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</si>
  <si>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</si>
  <si>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</si>
  <si>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</si>
  <si>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</si>
  <si>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</si>
  <si>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</si>
  <si>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</si>
  <si>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</si>
  <si>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</si>
  <si>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</si>
  <si>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</si>
  <si>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</si>
  <si>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</si>
  <si>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</si>
  <si>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</si>
  <si>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</si>
  <si>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</si>
  <si>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</si>
  <si>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</si>
  <si>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</si>
  <si>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</si>
  <si>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</si>
  <si>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</si>
  <si>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</si>
  <si>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</si>
  <si>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</si>
  <si>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</si>
  <si>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</si>
  <si>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</si>
  <si>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</si>
  <si>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</si>
  <si>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</si>
  <si>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</si>
  <si>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</si>
  <si>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</si>
  <si>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</si>
  <si>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</si>
  <si>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</si>
  <si>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</si>
  <si>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</si>
  <si>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</si>
  <si>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</si>
  <si>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</si>
  <si>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</si>
  <si>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</si>
  <si>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</si>
  <si>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</si>
  <si>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</si>
  <si>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</si>
  <si>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</si>
  <si>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</si>
  <si>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</si>
  <si>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</si>
  <si>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</si>
  <si>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</si>
  <si>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</si>
  <si>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</si>
  <si>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</si>
  <si>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</si>
  <si>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</si>
  <si>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</si>
  <si>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</si>
  <si>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</si>
  <si>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</si>
  <si>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</si>
  <si>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</si>
  <si>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</si>
  <si>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</si>
  <si>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</si>
  <si>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</si>
  <si>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</si>
  <si>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</si>
  <si>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</si>
  <si>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</si>
  <si>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</si>
  <si>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</si>
  <si>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</si>
  <si>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</si>
  <si>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</si>
  <si>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</si>
  <si>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</si>
  <si>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</si>
  <si>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</si>
  <si>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</si>
  <si>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</si>
  <si>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</si>
  <si>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</si>
  <si>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</si>
  <si>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</si>
  <si>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</si>
  <si>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</si>
  <si>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</si>
  <si>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</si>
  <si>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</si>
  <si>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</si>
  <si>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</si>
  <si>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</si>
  <si>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</si>
  <si>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</si>
  <si>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</si>
  <si>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</si>
  <si>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</si>
  <si>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</si>
  <si>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</si>
  <si>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</si>
  <si>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</si>
  <si>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</si>
  <si>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</si>
  <si>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</si>
  <si>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</si>
  <si>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</si>
  <si>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</si>
  <si>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</si>
  <si>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</si>
  <si>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</si>
  <si>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</si>
  <si>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</si>
  <si>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</si>
  <si>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</si>
  <si>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</si>
  <si>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</si>
  <si>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</si>
  <si>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</si>
  <si>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</si>
  <si>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</si>
  <si>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</si>
  <si>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</si>
  <si>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</si>
  <si>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</si>
  <si>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</si>
  <si>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</si>
  <si>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</si>
  <si>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</si>
  <si>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</si>
  <si>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</si>
  <si>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</si>
  <si>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</si>
  <si>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</si>
  <si>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</si>
  <si>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</si>
  <si>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</si>
  <si>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</si>
  <si>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</si>
  <si>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</si>
  <si>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</si>
  <si>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</si>
  <si>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</si>
  <si>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</si>
  <si>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</si>
  <si>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</si>
  <si>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</si>
  <si>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</si>
  <si>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</si>
  <si>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</si>
  <si>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</si>
  <si>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</si>
  <si>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</si>
  <si>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</si>
  <si>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</si>
  <si>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</si>
  <si>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</si>
  <si>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</si>
  <si>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</si>
  <si>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</si>
  <si>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</si>
  <si>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</si>
  <si>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</si>
  <si>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</si>
  <si>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</si>
  <si>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</si>
  <si>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</si>
  <si>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</si>
  <si>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</si>
  <si>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</si>
  <si>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</si>
  <si>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</si>
  <si>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</si>
  <si>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</si>
  <si>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</si>
  <si>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</si>
  <si>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</si>
  <si>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</si>
  <si>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</si>
  <si>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</si>
  <si>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</si>
  <si>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</si>
  <si>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</si>
  <si>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</si>
  <si>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</si>
  <si>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</si>
  <si>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</si>
  <si>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</si>
  <si>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</si>
  <si>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</si>
  <si>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</si>
  <si>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</si>
  <si>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</si>
  <si>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</si>
  <si>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</si>
  <si>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</si>
  <si>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</si>
  <si>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</si>
  <si>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</si>
  <si>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</si>
  <si>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</si>
  <si>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</si>
  <si>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</si>
  <si>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</si>
  <si>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</si>
  <si>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</si>
  <si>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</si>
  <si>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</si>
  <si>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</si>
  <si>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</si>
  <si>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</si>
  <si>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</si>
  <si>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</si>
  <si>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</si>
  <si>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</si>
  <si>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</si>
  <si>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</si>
  <si>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</si>
  <si>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</si>
  <si>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</si>
  <si>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</si>
  <si>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</si>
  <si>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</si>
  <si>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</si>
  <si>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</si>
  <si>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</si>
  <si>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</si>
  <si>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</si>
  <si>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</si>
  <si>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</si>
  <si>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</si>
  <si>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</si>
  <si>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</si>
  <si>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</si>
  <si>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</si>
  <si>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</si>
  <si>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</si>
  <si>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</si>
  <si>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</si>
  <si>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</si>
  <si>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</si>
  <si>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</si>
  <si>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</si>
  <si>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</si>
  <si>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</si>
  <si>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</si>
  <si>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</si>
  <si>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</si>
  <si>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</si>
  <si>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</si>
  <si>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</si>
  <si>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</si>
  <si>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</si>
  <si>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</si>
  <si>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</si>
  <si>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</si>
  <si>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</si>
  <si>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</si>
  <si>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</si>
  <si>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</si>
  <si>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</si>
  <si>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</si>
  <si>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</si>
  <si>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</si>
  <si>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</si>
  <si>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</si>
  <si>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</si>
  <si>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</si>
  <si>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</si>
  <si>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</si>
  <si>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</si>
  <si>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</si>
  <si>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</si>
  <si>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</si>
  <si>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</si>
  <si>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</si>
  <si>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</si>
  <si>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</si>
  <si>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</si>
  <si>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</si>
  <si>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</si>
  <si>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</si>
  <si>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</si>
  <si>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</si>
  <si>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</si>
  <si>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</si>
  <si>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</si>
  <si>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</si>
  <si>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</si>
  <si>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</si>
  <si>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</si>
  <si>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</si>
  <si>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</si>
  <si>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</si>
  <si>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</si>
  <si>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</si>
  <si>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</si>
  <si>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</si>
  <si>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</si>
  <si>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</si>
  <si>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</si>
  <si>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</si>
  <si>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</si>
  <si>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</si>
  <si>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</si>
  <si>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</si>
  <si>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</si>
  <si>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</si>
  <si>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</si>
  <si>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</si>
  <si>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</si>
  <si>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</si>
  <si>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</si>
  <si>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</si>
  <si>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</si>
  <si>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</si>
  <si>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</si>
  <si>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</si>
  <si>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</si>
  <si>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</si>
  <si>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</si>
  <si>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</si>
  <si>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</si>
  <si>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</si>
  <si>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</si>
  <si>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</si>
  <si>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</si>
  <si>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</si>
  <si>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</si>
  <si>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</si>
  <si>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</si>
  <si>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</si>
  <si>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</si>
  <si>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</si>
  <si>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</si>
  <si>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</si>
  <si>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</si>
  <si>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</si>
  <si>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</si>
  <si>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</si>
  <si>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</si>
  <si>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</si>
  <si>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</si>
  <si>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</si>
  <si>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</si>
  <si>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</si>
  <si>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</si>
  <si>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</si>
  <si>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</si>
  <si>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</si>
  <si>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</si>
  <si>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</si>
  <si>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</si>
  <si>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</si>
  <si>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</si>
  <si>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</si>
  <si>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</si>
  <si>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</si>
  <si>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</si>
  <si>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</si>
  <si>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</si>
  <si>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</si>
  <si>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</si>
  <si>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</si>
  <si>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</si>
  <si>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</si>
  <si>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</si>
  <si>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</si>
  <si>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</si>
  <si>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</si>
  <si>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</si>
  <si>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</si>
  <si>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</si>
  <si>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</si>
  <si>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</si>
  <si>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</si>
  <si>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</si>
  <si>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</si>
  <si>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</si>
  <si>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</si>
  <si>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</si>
  <si>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</si>
  <si>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</si>
  <si>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</si>
  <si>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</si>
  <si>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</si>
  <si>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</si>
  <si>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</si>
  <si>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</si>
  <si>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</si>
  <si>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</si>
  <si>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</si>
  <si>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</si>
  <si>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</si>
  <si>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</si>
  <si>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</si>
  <si>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</si>
  <si>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</si>
  <si>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</si>
  <si>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</si>
  <si>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</si>
  <si>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</si>
  <si>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</si>
  <si>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</si>
  <si>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</si>
  <si>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</si>
  <si>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</si>
  <si>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</si>
  <si>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</si>
  <si>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</si>
  <si>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</si>
  <si>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</si>
  <si>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</si>
  <si>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</si>
  <si>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</si>
  <si>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</si>
  <si>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</si>
  <si>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</si>
  <si>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</si>
  <si>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</si>
  <si>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</si>
  <si>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</si>
  <si>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</si>
  <si>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</si>
  <si>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</si>
  <si>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</si>
  <si>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</si>
  <si>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</si>
  <si>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</si>
  <si>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</si>
  <si>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</si>
  <si>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</si>
  <si>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</si>
  <si>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</si>
  <si>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</si>
  <si>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</si>
  <si>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</si>
  <si>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</si>
  <si>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</si>
  <si>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</si>
  <si>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</si>
  <si>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</si>
  <si>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</si>
  <si>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</si>
  <si>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</si>
  <si>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</si>
  <si>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</si>
  <si>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</si>
  <si>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</si>
  <si>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</si>
  <si>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</si>
  <si>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</si>
  <si>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</si>
  <si>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</si>
  <si>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</si>
  <si>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</si>
  <si>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</si>
  <si>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</si>
  <si>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</si>
  <si>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</si>
  <si>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</si>
  <si>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</si>
  <si>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</si>
  <si>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</si>
  <si>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</si>
  <si>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</si>
  <si>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</si>
  <si>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</si>
  <si>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</si>
  <si>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</si>
  <si>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</si>
  <si>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</si>
  <si>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</si>
  <si>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</si>
  <si>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</si>
  <si>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</si>
  <si>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</si>
  <si>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</si>
  <si>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</si>
  <si>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</si>
  <si>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</si>
  <si>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</si>
  <si>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</si>
  <si>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</si>
  <si>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</si>
  <si>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</si>
  <si>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</si>
  <si>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</si>
  <si>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</si>
  <si>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</si>
  <si>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</si>
  <si>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</si>
  <si>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</si>
  <si>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</si>
  <si>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</si>
  <si>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</si>
  <si>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</si>
  <si>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</si>
  <si>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</si>
  <si>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</si>
  <si>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</si>
  <si>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</si>
  <si>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</si>
  <si>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</si>
  <si>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</si>
  <si>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</si>
  <si>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</si>
  <si>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</si>
  <si>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</si>
  <si>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</si>
  <si>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</si>
  <si>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</si>
  <si>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</si>
  <si>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</si>
  <si>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</si>
  <si>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</si>
  <si>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</si>
  <si>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</si>
  <si>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</si>
  <si>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</si>
  <si>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</si>
  <si>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</si>
  <si>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</si>
  <si>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</si>
  <si>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</si>
  <si>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</si>
  <si>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</si>
  <si>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</si>
  <si>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</si>
  <si>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</si>
  <si>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</si>
  <si>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</si>
  <si>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</si>
  <si>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</si>
  <si>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</si>
  <si>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</si>
  <si>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</si>
  <si>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</si>
  <si>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</si>
  <si>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</si>
  <si>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</si>
  <si>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</si>
  <si>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</si>
  <si>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</si>
  <si>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</si>
  <si>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</si>
  <si>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</si>
  <si>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</si>
  <si>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</si>
  <si>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</si>
  <si>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</si>
  <si>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</si>
  <si>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</si>
  <si>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</si>
  <si>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</si>
  <si>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</si>
  <si>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</si>
  <si>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</si>
  <si>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</si>
  <si>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</si>
  <si>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</si>
  <si>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</si>
  <si>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</si>
  <si>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</si>
  <si>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</si>
  <si>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</si>
  <si>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</si>
  <si>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</si>
  <si>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</si>
  <si>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</si>
  <si>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</si>
  <si>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</si>
  <si>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</si>
  <si>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</si>
  <si>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</si>
  <si>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</si>
  <si>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</si>
  <si>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</si>
  <si>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</si>
  <si>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</si>
  <si>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</si>
  <si>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</si>
  <si>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</si>
  <si>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</si>
  <si>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</si>
  <si>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</si>
  <si>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</si>
  <si>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</si>
  <si>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</si>
  <si>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</si>
  <si>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</si>
  <si>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</si>
  <si>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</si>
  <si>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</si>
  <si>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</si>
  <si>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</si>
  <si>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</si>
  <si>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</si>
  <si>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</si>
  <si>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</si>
  <si>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</si>
  <si>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</si>
  <si>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</si>
  <si>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</si>
  <si>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</si>
  <si>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</si>
  <si>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</si>
  <si>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</si>
  <si>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</si>
  <si>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</si>
  <si>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</si>
  <si>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</si>
  <si>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</si>
  <si>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</si>
  <si>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</si>
  <si>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</si>
  <si>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</si>
  <si>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</si>
  <si>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</si>
  <si>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</si>
  <si>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</si>
  <si>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</si>
  <si>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</si>
  <si>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</si>
  <si>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</si>
  <si>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</si>
  <si>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</si>
  <si>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</si>
  <si>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</si>
  <si>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</si>
  <si>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</si>
  <si>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</si>
  <si>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</si>
  <si>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</si>
  <si>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</si>
  <si>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</si>
  <si>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</si>
  <si>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</si>
  <si>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</si>
  <si>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</si>
  <si>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</si>
  <si>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</si>
  <si>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</si>
  <si>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</si>
  <si>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</si>
  <si>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</si>
  <si>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</si>
  <si>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</si>
  <si>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</si>
  <si>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</si>
  <si>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</si>
  <si>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</si>
  <si>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</si>
  <si>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</si>
  <si>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</si>
  <si>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</si>
  <si>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</si>
  <si>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</si>
  <si>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</si>
  <si>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</si>
  <si>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</si>
  <si>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</si>
  <si>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</si>
  <si>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</si>
  <si>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</si>
  <si>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</si>
  <si>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</si>
  <si>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</si>
  <si>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</si>
  <si>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</si>
  <si>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</si>
  <si>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</si>
  <si>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</si>
  <si>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</si>
  <si>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</si>
  <si>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</si>
  <si>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</si>
  <si>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</si>
  <si>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</si>
  <si>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</si>
  <si>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</si>
  <si>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</si>
  <si>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</si>
  <si>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</si>
  <si>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</si>
  <si>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</si>
  <si>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</si>
  <si>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</si>
  <si>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</si>
  <si>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</si>
  <si>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</si>
  <si>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</si>
  <si>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</si>
  <si>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</si>
  <si>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</si>
  <si>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</si>
  <si>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</si>
  <si>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</si>
  <si>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</si>
  <si>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</si>
  <si>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</si>
  <si>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</si>
  <si>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</si>
  <si>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</si>
  <si>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</si>
  <si>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</si>
  <si>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</si>
  <si>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</si>
  <si>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</si>
  <si>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</si>
  <si>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</si>
  <si>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</si>
  <si>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</si>
  <si>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</si>
  <si>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</si>
  <si>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</si>
  <si>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</si>
  <si>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</si>
  <si>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</si>
  <si>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</si>
  <si>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</si>
  <si>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</si>
  <si>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</si>
  <si>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</si>
  <si>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</si>
  <si>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</si>
  <si>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</si>
  <si>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</si>
  <si>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</si>
  <si>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</si>
  <si>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</si>
  <si>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</si>
  <si>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</si>
  <si>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</si>
  <si>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</si>
  <si>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</si>
  <si>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</si>
  <si>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</si>
  <si>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</si>
  <si>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</si>
  <si>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</si>
  <si>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</si>
  <si>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</si>
  <si>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</si>
  <si>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</si>
  <si>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</si>
  <si>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</si>
  <si>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</si>
  <si>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</si>
  <si>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</si>
  <si>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</si>
  <si>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</si>
  <si>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</si>
  <si>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</si>
  <si>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</si>
  <si>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</si>
  <si>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</si>
  <si>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</si>
  <si>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</si>
  <si>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</si>
  <si>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</si>
  <si>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</si>
  <si>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</si>
  <si>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</si>
  <si>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</si>
  <si>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</si>
  <si>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</si>
  <si>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</si>
  <si>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</si>
  <si>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</si>
  <si>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</si>
  <si>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</si>
  <si>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</si>
  <si>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</si>
  <si>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</si>
  <si>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</si>
  <si>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</si>
  <si>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</si>
  <si>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</si>
  <si>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</si>
  <si>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</si>
  <si>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</si>
  <si>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</si>
  <si>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</si>
  <si>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</si>
  <si>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</si>
  <si>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</si>
  <si>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</si>
  <si>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</si>
  <si>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</si>
  <si>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</si>
  <si>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</si>
  <si>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</si>
  <si>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</si>
  <si>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</si>
  <si>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</si>
  <si>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</si>
  <si>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</si>
  <si>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</si>
  <si>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</si>
  <si>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</si>
  <si>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</si>
  <si>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</si>
  <si>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</si>
  <si>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</si>
  <si>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</si>
  <si>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</si>
  <si>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</si>
  <si>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</si>
  <si>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</si>
  <si>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</si>
  <si>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</si>
  <si>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</si>
  <si>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</si>
  <si>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</si>
  <si>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</si>
  <si>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</si>
  <si>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</si>
  <si>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</si>
  <si>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</si>
  <si>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</si>
  <si>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</si>
  <si>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</si>
  <si>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</si>
  <si>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</si>
  <si>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</si>
  <si>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</si>
  <si>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</si>
  <si>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</si>
  <si>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</si>
  <si>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</si>
  <si>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</si>
  <si>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</si>
  <si>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</si>
  <si>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</si>
  <si>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</si>
  <si>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</si>
  <si>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</si>
  <si>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</si>
  <si>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</si>
  <si>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</si>
  <si>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</si>
  <si>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</si>
  <si>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</si>
  <si>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</si>
  <si>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</si>
  <si>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</si>
  <si>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</si>
  <si>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</si>
  <si>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</si>
  <si>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</si>
  <si>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</si>
  <si>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</si>
  <si>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</si>
  <si>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</si>
  <si>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</si>
  <si>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</si>
  <si>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</si>
  <si>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</si>
  <si>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</si>
  <si>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</si>
  <si>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</si>
  <si>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</si>
  <si>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</si>
  <si>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</si>
  <si>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</si>
  <si>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</si>
  <si>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</si>
  <si>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</si>
  <si>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</si>
  <si>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</si>
  <si>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</si>
  <si>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</si>
  <si>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</si>
  <si>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</si>
  <si>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</si>
  <si>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</si>
  <si>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</si>
  <si>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</si>
  <si>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</si>
  <si>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</si>
  <si>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</si>
  <si>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</si>
  <si>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</si>
  <si>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</si>
  <si>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</si>
  <si>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</si>
  <si>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</si>
  <si>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</si>
  <si>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</si>
  <si>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</si>
  <si>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</si>
  <si>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</si>
  <si>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</si>
  <si>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</si>
  <si>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</si>
  <si>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</si>
  <si>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</si>
  <si>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</si>
  <si>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</si>
  <si>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</si>
  <si>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</si>
  <si>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</si>
  <si>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</si>
  <si>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</si>
  <si>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</si>
  <si>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</si>
  <si>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</si>
  <si>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</si>
  <si>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</si>
  <si>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</si>
  <si>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</si>
  <si>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</si>
  <si>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</si>
  <si>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</si>
  <si>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</si>
  <si>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</si>
  <si>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</si>
  <si>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</si>
  <si>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</si>
  <si>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</si>
  <si>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</si>
  <si>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</si>
  <si>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</si>
  <si>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</si>
  <si>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</si>
  <si>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</si>
  <si>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</si>
  <si>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</si>
  <si>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</si>
  <si>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</si>
  <si>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</si>
  <si>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</si>
  <si>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</si>
  <si>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</si>
  <si>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</si>
  <si>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</si>
  <si>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</si>
  <si>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</si>
  <si>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</si>
  <si>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</si>
  <si>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</si>
  <si>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</si>
  <si>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</si>
  <si>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</si>
  <si>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</si>
  <si>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</si>
  <si>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</si>
  <si>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</si>
  <si>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</si>
  <si>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</si>
  <si>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</si>
  <si>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</si>
  <si>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</si>
  <si>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</si>
  <si>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</si>
  <si>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</si>
  <si>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</si>
  <si>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</si>
  <si>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</si>
  <si>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</si>
  <si>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</si>
  <si>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</si>
  <si>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</si>
  <si>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</si>
  <si>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</si>
  <si>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</si>
  <si>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</si>
  <si>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</si>
  <si>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</si>
  <si>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</si>
  <si>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</si>
  <si>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</si>
  <si>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</si>
  <si>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</si>
  <si>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</si>
  <si>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</si>
  <si>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</si>
  <si>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</si>
  <si>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</si>
  <si>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</si>
  <si>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</si>
  <si>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</si>
  <si>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</si>
  <si>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</si>
  <si>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</si>
  <si>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</si>
  <si>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</si>
  <si>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</si>
  <si>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</si>
  <si>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</si>
  <si>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</si>
  <si>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</si>
  <si>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</si>
  <si>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</si>
  <si>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</si>
  <si>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</si>
  <si>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</si>
  <si>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</si>
  <si>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</si>
  <si>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</si>
  <si>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</si>
  <si>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</si>
  <si>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</si>
  <si>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</si>
  <si>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</si>
  <si>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</si>
  <si>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</si>
  <si>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</si>
  <si>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</si>
  <si>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</si>
  <si>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</si>
  <si>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</si>
  <si>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</si>
  <si>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</si>
  <si>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</si>
  <si>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</si>
  <si>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</si>
  <si>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</si>
  <si>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</si>
  <si>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</si>
  <si>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</si>
  <si>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</si>
  <si>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</si>
  <si>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</si>
  <si>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</si>
  <si>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</si>
  <si>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</si>
  <si>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</si>
  <si>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</si>
  <si>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</si>
  <si>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</si>
  <si>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</si>
  <si>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</si>
  <si>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</si>
  <si>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</si>
  <si>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</si>
  <si>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</si>
  <si>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</si>
  <si>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</si>
  <si>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</si>
  <si>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</si>
  <si>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</si>
  <si>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</si>
  <si>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</si>
  <si>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</si>
  <si>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</si>
  <si>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</si>
  <si>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</si>
  <si>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</si>
  <si>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</si>
  <si>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</si>
  <si>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</si>
  <si>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</si>
  <si>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</si>
  <si>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</si>
  <si>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</si>
  <si>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</si>
  <si>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</si>
  <si>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</si>
  <si>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</si>
  <si>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</si>
  <si>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</si>
  <si>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</si>
  <si>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</si>
  <si>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</si>
  <si>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</si>
  <si>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</si>
  <si>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</si>
  <si>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</si>
  <si>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</si>
  <si>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</si>
  <si>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</si>
  <si>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</si>
  <si>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</si>
  <si>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</si>
  <si>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</si>
  <si>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</si>
  <si>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</si>
  <si>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</si>
  <si>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</si>
  <si>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</si>
  <si>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</si>
  <si>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</si>
  <si>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</si>
  <si>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</si>
  <si>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</si>
  <si>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</si>
  <si>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</si>
  <si>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</si>
  <si>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</si>
  <si>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</si>
  <si>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</si>
  <si>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</si>
  <si>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</si>
  <si>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</si>
  <si>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</si>
  <si>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</si>
  <si>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</si>
  <si>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</si>
  <si>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</si>
  <si>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</si>
  <si>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</si>
  <si>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</si>
  <si>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</si>
  <si>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</si>
  <si>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</si>
  <si>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</si>
  <si>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</si>
  <si>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</si>
  <si>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</si>
  <si>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</si>
  <si>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</si>
  <si>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</si>
  <si>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</si>
  <si>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</si>
  <si>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</si>
  <si>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</si>
  <si>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</si>
  <si>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</si>
  <si>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</si>
  <si>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</si>
  <si>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</si>
  <si>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</si>
  <si>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</si>
  <si>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</si>
  <si>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</si>
  <si>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</si>
  <si>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</si>
  <si>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</si>
  <si>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</si>
  <si>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</si>
  <si>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</si>
  <si>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</si>
  <si>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</si>
  <si>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</si>
  <si>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</si>
  <si>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</si>
  <si>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</si>
  <si>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</si>
  <si>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</si>
  <si>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</si>
  <si>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</si>
  <si>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</si>
  <si>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</si>
  <si>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</si>
  <si>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</si>
  <si>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</si>
  <si>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</si>
  <si>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</si>
  <si>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</si>
  <si>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</si>
  <si>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</si>
  <si>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</si>
  <si>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</si>
  <si>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</si>
  <si>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</si>
  <si>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</si>
  <si>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</si>
  <si>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</si>
  <si>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</si>
  <si>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</si>
  <si>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</si>
  <si>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</si>
  <si>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</si>
  <si>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</si>
  <si>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</si>
  <si>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</si>
  <si>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</si>
  <si>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</si>
  <si>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</si>
  <si>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</si>
  <si>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</si>
  <si>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</si>
  <si>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</si>
  <si>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</si>
  <si>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</si>
  <si>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</si>
  <si>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</si>
  <si>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</si>
  <si>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</si>
  <si>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</si>
  <si>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</si>
  <si>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</si>
  <si>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</si>
  <si>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</si>
  <si>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</si>
  <si>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</si>
  <si>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</si>
  <si>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</si>
  <si>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</si>
  <si>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</si>
  <si>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</si>
  <si>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</si>
  <si>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</si>
  <si>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</si>
  <si>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</si>
  <si>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</si>
  <si>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</si>
  <si>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</si>
  <si>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</si>
  <si>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</si>
  <si>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</si>
  <si>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</si>
  <si>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</si>
  <si>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</si>
  <si>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</si>
  <si>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</si>
  <si>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</si>
  <si>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</si>
  <si>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</si>
  <si>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</si>
  <si>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</si>
  <si>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</si>
  <si>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</si>
  <si>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</si>
  <si>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</si>
  <si>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</si>
  <si>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</si>
  <si>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</si>
  <si>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</si>
  <si>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</si>
  <si>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</si>
  <si>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</si>
  <si>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</si>
  <si>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</si>
  <si>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</si>
  <si>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</si>
  <si>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</si>
  <si>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</si>
  <si>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</si>
  <si>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</si>
  <si>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</si>
  <si>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</si>
  <si>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</si>
  <si>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</si>
  <si>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</si>
  <si>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</si>
  <si>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</si>
  <si>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</si>
  <si>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</si>
  <si>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</si>
  <si>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</si>
  <si>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</si>
  <si>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</si>
  <si>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</si>
  <si>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</si>
  <si>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</si>
  <si>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</si>
  <si>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</si>
  <si>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</si>
  <si>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</si>
  <si>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</si>
  <si>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</si>
  <si>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</si>
  <si>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</si>
  <si>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</si>
  <si>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</si>
  <si>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</si>
  <si>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</si>
  <si>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</si>
  <si>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</si>
  <si>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</si>
  <si>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</si>
  <si>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</si>
  <si>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</si>
  <si>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</si>
  <si>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</si>
  <si>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</si>
  <si>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</si>
  <si>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</si>
  <si>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</si>
  <si>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</si>
  <si>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</si>
  <si>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</si>
  <si>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</si>
  <si>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</si>
  <si>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</si>
  <si>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</si>
  <si>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</si>
  <si>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</si>
  <si>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</si>
  <si>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</si>
  <si>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</si>
  <si>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</si>
  <si>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</si>
  <si>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</si>
  <si>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</si>
  <si>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</si>
  <si>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</si>
  <si>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</si>
  <si>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</si>
  <si>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</si>
  <si>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</si>
  <si>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</si>
  <si>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</si>
  <si>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</si>
  <si>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</si>
  <si>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</si>
  <si>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</si>
  <si>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</si>
  <si>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</si>
  <si>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</si>
  <si>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</si>
  <si>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</si>
  <si>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</si>
  <si>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</si>
  <si>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</si>
  <si>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</si>
  <si>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</si>
  <si>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</si>
  <si>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</si>
  <si>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</si>
  <si>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</si>
  <si>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</si>
  <si>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</si>
  <si>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</si>
  <si>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</si>
  <si>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</si>
  <si>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</si>
  <si>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</si>
  <si>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</si>
  <si>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</si>
  <si>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</si>
  <si>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</si>
  <si>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</si>
  <si>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</si>
  <si>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</si>
  <si>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</si>
  <si>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</si>
  <si>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</si>
  <si>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</si>
  <si>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</si>
  <si>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</si>
  <si>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</si>
  <si>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</si>
  <si>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</si>
  <si>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</si>
  <si>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</si>
  <si>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</si>
  <si>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</si>
  <si>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</si>
  <si>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</si>
  <si>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</si>
  <si>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</si>
  <si>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</si>
  <si>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</si>
  <si>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</si>
  <si>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</si>
  <si>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</si>
  <si>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</si>
  <si>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</si>
  <si>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</si>
  <si>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</si>
  <si>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</si>
  <si>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</si>
  <si>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</si>
  <si>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</si>
  <si>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</si>
  <si>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</si>
  <si>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</si>
  <si>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</si>
  <si>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</si>
  <si>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</si>
  <si>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</si>
  <si>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</si>
  <si>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</si>
  <si>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</si>
  <si>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</si>
  <si>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</si>
  <si>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</si>
  <si>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</si>
  <si>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</si>
  <si>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</si>
  <si>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</si>
  <si>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</si>
  <si>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</si>
  <si>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</si>
  <si>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</si>
  <si>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</si>
  <si>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</si>
  <si>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</si>
  <si>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</si>
  <si>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</si>
  <si>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</si>
  <si>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</si>
  <si>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</si>
  <si>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</si>
  <si>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</si>
  <si>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</si>
  <si>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</si>
  <si>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</si>
  <si>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</si>
  <si>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</si>
  <si>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</si>
  <si>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</si>
  <si>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</si>
  <si>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</si>
  <si>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</si>
  <si>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</si>
  <si>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</si>
  <si>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</si>
  <si>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</si>
  <si>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</si>
  <si>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</si>
  <si>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</si>
  <si>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</si>
  <si>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</si>
  <si>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</si>
  <si>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</si>
  <si>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</si>
  <si>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</si>
  <si>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</si>
  <si>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</si>
  <si>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</si>
  <si>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</si>
  <si>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</si>
  <si>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</si>
  <si>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</si>
  <si>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</si>
  <si>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</si>
  <si>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</si>
  <si>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</si>
  <si>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</si>
  <si>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</si>
  <si>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</si>
  <si>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</si>
  <si>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</si>
  <si>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</si>
  <si>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</si>
  <si>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</si>
  <si>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</si>
  <si>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</si>
  <si>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</si>
  <si>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</si>
  <si>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</si>
  <si>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</si>
  <si>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</si>
  <si>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</si>
  <si>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</si>
  <si>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</si>
  <si>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</si>
  <si>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</si>
  <si>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</si>
  <si>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</si>
  <si>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</si>
  <si>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</si>
  <si>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</si>
  <si>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</si>
  <si>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</si>
  <si>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</si>
  <si>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</si>
  <si>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</si>
  <si>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</si>
  <si>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</si>
  <si>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</si>
  <si>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</si>
  <si>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</si>
  <si>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</si>
  <si>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</si>
  <si>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</si>
  <si>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</si>
  <si>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</si>
  <si>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</si>
  <si>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</si>
  <si>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</si>
  <si>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</si>
  <si>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</si>
  <si>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</si>
  <si>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</si>
  <si>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</si>
  <si>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</si>
  <si>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</si>
  <si>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</si>
  <si>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</si>
  <si>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</si>
  <si>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</si>
  <si>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</si>
  <si>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</si>
  <si>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</si>
  <si>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</si>
  <si>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</si>
  <si>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</si>
  <si>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</si>
  <si>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</si>
  <si>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</si>
  <si>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</si>
  <si>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</si>
  <si>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</si>
  <si>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</si>
  <si>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</si>
  <si>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</si>
  <si>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</si>
  <si>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</si>
  <si>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</si>
  <si>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</si>
  <si>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</si>
  <si>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</si>
  <si>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</si>
  <si>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</si>
  <si>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</si>
  <si>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</si>
  <si>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</si>
  <si>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</si>
  <si>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</si>
  <si>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</si>
  <si>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</si>
  <si>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</si>
  <si>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</si>
  <si>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</si>
  <si>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</si>
  <si>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</si>
  <si>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</si>
  <si>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</si>
  <si>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</si>
  <si>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</si>
  <si>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</si>
  <si>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</si>
  <si>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</si>
  <si>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</si>
  <si>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</si>
  <si>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</si>
  <si>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</si>
  <si>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</si>
  <si>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</si>
  <si>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</si>
  <si>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</si>
  <si>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</si>
  <si>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</si>
  <si>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</si>
  <si>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</si>
  <si>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</si>
  <si>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</si>
  <si>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</si>
  <si>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</si>
  <si>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</si>
  <si>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</si>
  <si>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</si>
  <si>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</si>
  <si>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</si>
  <si>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</si>
  <si>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</si>
  <si>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</si>
  <si>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</si>
  <si>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</si>
  <si>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</si>
  <si>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</si>
  <si>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</si>
  <si>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</si>
  <si>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</si>
  <si>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</si>
  <si>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</si>
  <si>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</si>
  <si>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</si>
  <si>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</si>
  <si>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</si>
  <si>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</si>
  <si>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</si>
  <si>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</si>
  <si>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</si>
  <si>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</si>
  <si>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</si>
  <si>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</si>
  <si>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</si>
  <si>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</si>
  <si>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</si>
  <si>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</si>
  <si>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</si>
  <si>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</si>
  <si>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</si>
  <si>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</si>
  <si>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</si>
  <si>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</si>
  <si>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</si>
  <si>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</si>
  <si>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</si>
  <si>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</si>
  <si>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</si>
  <si>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</si>
  <si>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</si>
  <si>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</si>
  <si>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</si>
  <si>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</si>
  <si>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</si>
  <si>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</si>
  <si>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</si>
  <si>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</si>
  <si>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</si>
  <si>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</si>
  <si>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</si>
  <si>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</si>
  <si>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</si>
  <si>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</si>
  <si>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</si>
  <si>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</si>
  <si>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</si>
  <si>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</si>
  <si>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</si>
  <si>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</si>
  <si>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</si>
  <si>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</si>
  <si>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</si>
  <si>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</si>
  <si>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</si>
  <si>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</si>
  <si>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</si>
  <si>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</si>
  <si>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</si>
  <si>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</si>
  <si>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</si>
  <si>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</si>
  <si>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</si>
  <si>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</si>
  <si>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</si>
  <si>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</si>
  <si>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</si>
  <si>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</si>
  <si>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</si>
  <si>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</si>
  <si>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</si>
  <si>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</si>
  <si>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</si>
  <si>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</si>
  <si>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</si>
  <si>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</si>
  <si>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</si>
  <si>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</si>
  <si>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</si>
  <si>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</si>
  <si>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</si>
  <si>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</si>
  <si>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</si>
  <si>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</si>
  <si>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</si>
  <si>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</si>
  <si>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</si>
  <si>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</si>
  <si>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</si>
  <si>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</si>
  <si>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</si>
  <si>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</si>
  <si>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</si>
  <si>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</si>
  <si>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</si>
  <si>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</si>
  <si>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</si>
  <si>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</si>
  <si>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</si>
  <si>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</si>
  <si>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</si>
  <si>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</si>
  <si>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</si>
  <si>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</si>
  <si>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</si>
  <si>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</si>
  <si>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</si>
  <si>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</si>
  <si>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</si>
  <si>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</si>
  <si>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</si>
  <si>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</si>
  <si>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</si>
  <si>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</si>
  <si>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</si>
  <si>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</si>
  <si>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</si>
  <si>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</si>
  <si>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</si>
  <si>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</si>
  <si>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</si>
  <si>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</si>
  <si>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</si>
  <si>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</si>
  <si>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</si>
  <si>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</si>
  <si>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</si>
  <si>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</si>
  <si>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</si>
  <si>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</si>
  <si>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</si>
  <si>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</si>
  <si>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</si>
  <si>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</si>
  <si>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</si>
  <si>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</si>
  <si>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</si>
  <si>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</si>
  <si>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</si>
  <si>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</si>
  <si>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</si>
  <si>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</si>
  <si>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</si>
  <si>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</si>
  <si>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</si>
  <si>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</si>
  <si>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</si>
  <si>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</si>
  <si>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</si>
  <si>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</si>
  <si>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</si>
  <si>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</si>
  <si>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</si>
  <si>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</si>
  <si>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</si>
  <si>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</si>
  <si>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</si>
  <si>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</si>
  <si>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</si>
  <si>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</si>
  <si>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</si>
  <si>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</si>
  <si>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</si>
  <si>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</si>
  <si>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</si>
  <si>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</si>
  <si>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</si>
  <si>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</si>
  <si>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</si>
  <si>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</si>
  <si>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</si>
  <si>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</si>
  <si>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</si>
  <si>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</si>
  <si>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</si>
  <si>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</si>
  <si>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</si>
  <si>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</si>
  <si>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</si>
  <si>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</si>
  <si>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</si>
  <si>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</si>
  <si>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</si>
  <si>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</si>
  <si>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</si>
  <si>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</si>
  <si>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</si>
  <si>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</si>
  <si>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</si>
  <si>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</si>
  <si>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</si>
  <si>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</si>
  <si>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</si>
  <si>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</si>
  <si>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</si>
  <si>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</si>
  <si>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</si>
  <si>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</si>
  <si>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</si>
  <si>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</si>
  <si>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</si>
  <si>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</si>
  <si>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</si>
  <si>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</si>
  <si>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</si>
  <si>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</si>
  <si>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</si>
  <si>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</si>
  <si>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</si>
  <si>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</si>
  <si>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</si>
  <si>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</si>
  <si>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</si>
  <si>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</si>
  <si>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</si>
  <si>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</si>
  <si>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</si>
  <si>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</si>
  <si>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</si>
  <si>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</si>
  <si>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</si>
  <si>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</si>
  <si>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</si>
  <si>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</si>
  <si>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</si>
  <si>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</si>
  <si>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</si>
  <si>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</si>
  <si>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</si>
  <si>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</si>
  <si>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</si>
  <si>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</si>
  <si>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</si>
  <si>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</si>
  <si>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</si>
  <si>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</si>
  <si>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</si>
  <si>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</si>
  <si>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</si>
  <si>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</si>
  <si>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</si>
  <si>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</si>
  <si>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</si>
  <si>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</si>
  <si>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</si>
  <si>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</si>
  <si>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</si>
  <si>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</si>
  <si>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</si>
  <si>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</si>
  <si>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</si>
  <si>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</si>
  <si>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</si>
  <si>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</si>
  <si>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</si>
  <si>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</si>
  <si>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</si>
  <si>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</si>
  <si>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</si>
  <si>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</si>
  <si>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</si>
  <si>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</si>
  <si>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</si>
  <si>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</si>
  <si>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</si>
  <si>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</si>
  <si>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</si>
  <si>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</si>
  <si>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</si>
  <si>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</si>
  <si>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</si>
  <si>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</si>
  <si>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</si>
  <si>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</si>
  <si>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</si>
  <si>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</si>
  <si>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</si>
  <si>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</si>
  <si>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</si>
  <si>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</si>
  <si>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</si>
  <si>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</si>
  <si>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</si>
  <si>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</si>
  <si>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</si>
  <si>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</si>
  <si>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</si>
  <si>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</si>
  <si>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</si>
  <si>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</si>
  <si>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</si>
  <si>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</si>
  <si>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</si>
  <si>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</si>
  <si>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</si>
  <si>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</si>
  <si>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</si>
  <si>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</si>
  <si>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</si>
  <si>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</si>
  <si>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</si>
  <si>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</si>
  <si>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</si>
  <si>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</si>
  <si>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</si>
  <si>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</si>
  <si>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</si>
  <si>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</si>
  <si>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</si>
  <si>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</si>
  <si>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</si>
  <si>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</si>
  <si>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</si>
  <si>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</si>
  <si>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</si>
  <si>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</si>
  <si>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</si>
  <si>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</si>
  <si>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</si>
  <si>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</si>
  <si>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</si>
  <si>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</si>
  <si>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</si>
  <si>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</si>
  <si>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</si>
  <si>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</si>
  <si>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</si>
  <si>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</si>
  <si>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</si>
  <si>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</si>
  <si>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</si>
  <si>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</si>
  <si>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</si>
  <si>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</si>
  <si>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</si>
  <si>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</si>
  <si>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</si>
  <si>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</si>
  <si>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</si>
  <si>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</si>
  <si>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</si>
  <si>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</si>
  <si>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</si>
  <si>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</si>
  <si>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</si>
  <si>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</si>
  <si>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</si>
  <si>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</si>
  <si>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</si>
  <si>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</si>
  <si>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</si>
  <si>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</si>
  <si>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</si>
  <si>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</si>
  <si>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</si>
  <si>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</si>
  <si>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</si>
  <si>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</si>
  <si>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</si>
  <si>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</si>
  <si>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</si>
  <si>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</si>
  <si>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</si>
  <si>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</si>
  <si>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</si>
  <si>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</si>
  <si>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</si>
  <si>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</si>
  <si>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</si>
  <si>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</si>
  <si>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</si>
  <si>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</si>
  <si>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</si>
  <si>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</si>
  <si>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</si>
  <si>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</si>
  <si>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</si>
  <si>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</si>
  <si>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</si>
  <si>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</si>
  <si>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</si>
  <si>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</si>
  <si>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</si>
  <si>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</si>
  <si>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</si>
  <si>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</si>
  <si>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</si>
  <si>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</si>
  <si>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</si>
  <si>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</si>
  <si>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</si>
  <si>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</si>
  <si>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</si>
  <si>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</si>
  <si>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</si>
  <si>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</si>
  <si>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</si>
  <si>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</si>
  <si>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</si>
  <si>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</si>
  <si>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</si>
  <si>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</si>
  <si>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</si>
  <si>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</si>
  <si>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</si>
  <si>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</si>
  <si>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</si>
  <si>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</si>
  <si>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</si>
  <si>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</si>
  <si>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</si>
  <si>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</si>
  <si>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</si>
  <si>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</si>
  <si>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</si>
  <si>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</si>
  <si>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</si>
  <si>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</si>
  <si>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</si>
  <si>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</si>
  <si>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</si>
  <si>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</si>
  <si>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</si>
  <si>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</si>
  <si>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</si>
  <si>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</si>
  <si>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</si>
  <si>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</si>
  <si>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</si>
  <si>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</si>
  <si>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</si>
  <si>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</si>
  <si>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</si>
  <si>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</si>
  <si>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</si>
  <si>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</si>
  <si>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</si>
  <si>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</si>
  <si>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</si>
  <si>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</si>
  <si>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</si>
  <si>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</si>
  <si>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</si>
  <si>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</si>
  <si>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</si>
  <si>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</si>
  <si>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</si>
  <si>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</si>
  <si>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</si>
  <si>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</si>
  <si>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</si>
  <si>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</si>
  <si>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</si>
  <si>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</si>
  <si>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</si>
  <si>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</si>
  <si>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</si>
  <si>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</si>
  <si>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</si>
  <si>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</si>
  <si>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</si>
  <si>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</si>
  <si>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</si>
  <si>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</si>
  <si>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</si>
  <si>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</si>
  <si>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</si>
  <si>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</si>
  <si>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</si>
  <si>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</si>
  <si>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</si>
  <si>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</si>
  <si>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</si>
  <si>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</si>
  <si>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</si>
  <si>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</si>
  <si>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</si>
  <si>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</si>
  <si>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</si>
  <si>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</si>
  <si>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</si>
  <si>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</si>
  <si>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</si>
  <si>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</si>
  <si>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</si>
  <si>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</si>
  <si>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</si>
  <si>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</si>
  <si>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</si>
  <si>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</si>
  <si>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</si>
  <si>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</si>
  <si>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</si>
  <si>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</si>
  <si>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</si>
  <si>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</si>
  <si>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</si>
  <si>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</si>
  <si>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</si>
  <si>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</si>
  <si>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</si>
  <si>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</si>
  <si>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</si>
  <si>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</si>
  <si>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</si>
  <si>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</si>
  <si>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</si>
  <si>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</si>
  <si>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</si>
  <si>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</si>
  <si>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</si>
  <si>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</si>
  <si>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</si>
  <si>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</si>
  <si>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</si>
  <si>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</si>
  <si>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</si>
  <si>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</si>
  <si>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</si>
  <si>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</si>
  <si>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</si>
  <si>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</si>
  <si>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</si>
  <si>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</si>
  <si>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</si>
  <si>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</si>
  <si>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</si>
  <si>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</si>
  <si>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</si>
  <si>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</si>
  <si>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</si>
  <si>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</si>
  <si>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</si>
  <si>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</si>
  <si>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</si>
  <si>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</si>
  <si>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</si>
  <si>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</si>
  <si>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</si>
  <si>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</si>
  <si>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</si>
  <si>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</si>
  <si>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</si>
  <si>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</si>
  <si>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</si>
  <si>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</si>
  <si>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</si>
  <si>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</si>
  <si>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</si>
  <si>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</si>
  <si>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</si>
  <si>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</si>
  <si>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</si>
  <si>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</si>
  <si>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</si>
  <si>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</si>
  <si>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</si>
  <si>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</si>
  <si>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</si>
  <si>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</si>
  <si>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</si>
  <si>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</si>
  <si>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</si>
  <si>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</si>
  <si>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</si>
  <si>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</si>
  <si>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</si>
  <si>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</si>
  <si>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</si>
  <si>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</si>
  <si>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</si>
  <si>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</si>
  <si>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</si>
  <si>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</si>
  <si>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</si>
  <si>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</si>
  <si>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</si>
  <si>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</si>
  <si>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</si>
  <si>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</si>
  <si>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</si>
  <si>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</si>
  <si>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</si>
  <si>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</si>
  <si>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</si>
  <si>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</si>
  <si>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</si>
  <si>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</si>
  <si>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</si>
  <si>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</si>
  <si>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</si>
  <si>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</si>
  <si>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</si>
  <si>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</si>
  <si>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</si>
  <si>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</si>
  <si>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</si>
  <si>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</si>
  <si>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</si>
  <si>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</si>
  <si>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</si>
  <si>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</si>
  <si>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</si>
  <si>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</si>
  <si>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</si>
  <si>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</si>
  <si>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</si>
  <si>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</si>
  <si>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</si>
  <si>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</si>
  <si>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</si>
  <si>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</si>
  <si>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</si>
  <si>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</si>
  <si>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</si>
  <si>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</si>
  <si>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</si>
  <si>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</si>
  <si>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</si>
  <si>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</si>
  <si>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</si>
  <si>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</si>
  <si>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</si>
  <si>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</si>
  <si>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</si>
  <si>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</si>
  <si>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</si>
  <si>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</si>
  <si>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</si>
  <si>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</si>
  <si>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</si>
  <si>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</si>
  <si>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</si>
  <si>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</si>
  <si>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</si>
  <si>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</si>
  <si>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</si>
  <si>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</si>
  <si>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</si>
  <si>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</si>
  <si>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</si>
  <si>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</si>
  <si>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</si>
  <si>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</si>
  <si>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</si>
  <si>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</si>
  <si>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</si>
  <si>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</si>
  <si>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</si>
  <si>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</si>
  <si>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</si>
  <si>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</si>
  <si>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</si>
  <si>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</si>
  <si>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</si>
  <si>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</si>
  <si>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</si>
  <si>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</si>
  <si>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</si>
  <si>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</si>
  <si>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</si>
  <si>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</si>
  <si>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</si>
  <si>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</si>
  <si>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</si>
  <si>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</si>
  <si>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</si>
  <si>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</si>
  <si>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</si>
  <si>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</si>
  <si>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</si>
  <si>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</si>
  <si>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</si>
  <si>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</si>
  <si>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</si>
  <si>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</si>
  <si>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</si>
  <si>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</si>
  <si>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</si>
  <si>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</si>
  <si>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</si>
  <si>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</si>
  <si>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</si>
  <si>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</si>
  <si>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</si>
  <si>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</si>
  <si>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</si>
  <si>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</si>
  <si>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</si>
  <si>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</si>
  <si>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</si>
  <si>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</si>
  <si>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</si>
  <si>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</si>
  <si>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</si>
  <si>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</si>
  <si>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</si>
  <si>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</si>
  <si>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</si>
  <si>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</si>
  <si>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</si>
  <si>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</si>
  <si>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</si>
  <si>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</si>
  <si>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</si>
  <si>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</si>
  <si>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</si>
  <si>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</si>
  <si>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</si>
  <si>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</si>
  <si>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</si>
  <si>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</si>
  <si>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</si>
  <si>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</si>
  <si>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</si>
  <si>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</si>
  <si>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</si>
  <si>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</si>
  <si>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</si>
  <si>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</si>
  <si>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</si>
  <si>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</si>
  <si>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</si>
  <si>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</si>
  <si>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</si>
  <si>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</si>
  <si>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</si>
  <si>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</si>
  <si>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</si>
  <si>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</si>
  <si>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</si>
  <si>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</si>
  <si>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</si>
  <si>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</si>
  <si>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</si>
  <si>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</si>
  <si>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</si>
  <si>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</si>
  <si>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</si>
  <si>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</si>
  <si>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</si>
  <si>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</si>
  <si>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</si>
  <si>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</si>
  <si>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</si>
  <si>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</si>
  <si>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</si>
  <si>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</si>
  <si>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</si>
  <si>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</si>
  <si>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</si>
  <si>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</si>
  <si>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</si>
  <si>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</si>
  <si>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</si>
  <si>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</si>
  <si>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</si>
  <si>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</si>
  <si>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</si>
  <si>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</si>
  <si>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</si>
  <si>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</si>
  <si>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</si>
  <si>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</si>
  <si>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</si>
  <si>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</si>
  <si>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</si>
  <si>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</si>
  <si>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</si>
  <si>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</si>
  <si>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</si>
  <si>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</si>
  <si>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</si>
  <si>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</si>
  <si>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</si>
  <si>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</si>
  <si>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</si>
  <si>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</si>
  <si>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</si>
  <si>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</si>
  <si>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</si>
  <si>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</si>
  <si>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</si>
  <si>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</si>
  <si>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</si>
  <si>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</si>
  <si>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</si>
  <si>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</si>
  <si>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</si>
  <si>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</si>
  <si>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</si>
  <si>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</si>
  <si>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</si>
  <si>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</si>
  <si>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</si>
  <si>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</si>
  <si>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</si>
  <si>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</si>
  <si>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</si>
  <si>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</si>
  <si>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</si>
  <si>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</si>
  <si>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</si>
  <si>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</si>
  <si>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</si>
  <si>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</si>
  <si>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</si>
  <si>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</si>
  <si>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</si>
  <si>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</si>
  <si>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</si>
  <si>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</si>
  <si>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</si>
  <si>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</si>
  <si>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</si>
  <si>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</si>
  <si>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</si>
  <si>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</si>
  <si>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</si>
  <si>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</si>
  <si>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</si>
  <si>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</si>
  <si>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</si>
  <si>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</si>
  <si>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</si>
  <si>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</si>
  <si>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</si>
  <si>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</si>
  <si>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</si>
  <si>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</si>
  <si>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</si>
  <si>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</si>
  <si>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</si>
  <si>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</si>
  <si>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</si>
  <si>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</si>
  <si>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</si>
  <si>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</si>
  <si>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</si>
  <si>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</si>
  <si>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</si>
  <si>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</si>
  <si>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</si>
  <si>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</si>
  <si>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</si>
  <si>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</si>
  <si>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</si>
  <si>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</si>
  <si>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</si>
  <si>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</si>
  <si>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</si>
  <si>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</si>
  <si>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</si>
  <si>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</si>
  <si>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</si>
  <si>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</si>
  <si>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</si>
  <si>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</si>
  <si>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</si>
  <si>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</si>
  <si>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</si>
  <si>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</si>
  <si>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</si>
  <si>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</si>
  <si>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</si>
  <si>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</si>
  <si>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</si>
  <si>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</si>
  <si>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</si>
  <si>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</si>
  <si>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</si>
  <si>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</si>
  <si>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</si>
  <si>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</si>
  <si>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</si>
  <si>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</si>
  <si>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</si>
  <si>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</si>
  <si>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</si>
  <si>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</si>
  <si>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</si>
  <si>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</si>
  <si>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</si>
  <si>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</si>
  <si>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</si>
  <si>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</si>
  <si>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</si>
  <si>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</si>
  <si>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</si>
  <si>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</si>
  <si>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</si>
  <si>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</si>
  <si>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</si>
  <si>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</si>
  <si>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</si>
  <si>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</si>
  <si>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</si>
  <si>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</si>
  <si>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</si>
  <si>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</si>
  <si>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</si>
  <si>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</si>
  <si>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</si>
  <si>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</si>
  <si>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</si>
  <si>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</si>
  <si>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</si>
  <si>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</si>
  <si>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</si>
  <si>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</si>
  <si>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</si>
  <si>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</si>
  <si>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</si>
  <si>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</si>
  <si>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</si>
  <si>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</si>
  <si>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</si>
  <si>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</si>
  <si>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</si>
  <si>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</si>
  <si>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</si>
  <si>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</si>
  <si>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</si>
  <si>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</si>
  <si>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</si>
  <si>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</si>
  <si>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</si>
  <si>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</si>
  <si>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</si>
  <si>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</si>
  <si>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</si>
  <si>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</si>
  <si>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</si>
  <si>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</si>
  <si>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</si>
  <si>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</si>
  <si>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</si>
  <si>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</si>
  <si>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</si>
  <si>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</si>
  <si>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</si>
  <si>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</si>
  <si>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</si>
  <si>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</si>
  <si>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</si>
  <si>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</si>
  <si>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</si>
  <si>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</si>
  <si>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</si>
  <si>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</si>
  <si>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</si>
  <si>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</si>
  <si>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</si>
  <si>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</si>
  <si>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</si>
  <si>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</si>
  <si>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</si>
  <si>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</si>
  <si>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</si>
  <si>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</si>
  <si>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</si>
  <si>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</si>
  <si>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</si>
  <si>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</si>
  <si>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</si>
  <si>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</si>
  <si>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</si>
  <si>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</si>
  <si>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</si>
  <si>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</si>
  <si>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</si>
  <si>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</si>
  <si>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</si>
  <si>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</si>
  <si>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</si>
  <si>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</si>
  <si>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</si>
  <si>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</si>
  <si>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</si>
  <si>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</si>
  <si>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</si>
  <si>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</si>
  <si>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</si>
  <si>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</si>
  <si>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</si>
  <si>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</si>
  <si>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</si>
  <si>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</si>
  <si>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</si>
  <si>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</si>
  <si>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</si>
  <si>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</si>
  <si>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</si>
  <si>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</si>
  <si>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</si>
  <si>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</si>
  <si>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</si>
  <si>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</si>
  <si>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</si>
  <si>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</si>
  <si>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</si>
  <si>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</si>
  <si>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</si>
  <si>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</si>
  <si>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</si>
  <si>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</si>
  <si>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</si>
  <si>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</si>
  <si>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</si>
  <si>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</si>
  <si>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</si>
  <si>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</si>
  <si>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</si>
  <si>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</si>
  <si>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</si>
  <si>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</si>
  <si>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</si>
  <si>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</si>
  <si>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</si>
  <si>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</si>
  <si>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</si>
  <si>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</si>
  <si>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</si>
  <si>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</si>
  <si>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</si>
  <si>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</si>
  <si>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</si>
  <si>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</si>
  <si>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</si>
  <si>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</si>
  <si>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</si>
  <si>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</si>
  <si>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</si>
  <si>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</si>
  <si>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</si>
  <si>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</si>
  <si>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</si>
  <si>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</si>
  <si>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</si>
  <si>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</si>
  <si>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</si>
  <si>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</si>
  <si>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</si>
  <si>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</si>
  <si>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</si>
  <si>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</si>
  <si>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</si>
  <si>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</si>
  <si>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</si>
  <si>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</si>
  <si>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</si>
  <si>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</si>
  <si>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</si>
  <si>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</si>
  <si>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</si>
  <si>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</si>
  <si>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</si>
  <si>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</si>
  <si>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</si>
  <si>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</si>
  <si>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</si>
  <si>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</si>
  <si>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</si>
  <si>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</si>
  <si>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</si>
  <si>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</si>
  <si>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</si>
  <si>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</si>
  <si>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</si>
  <si>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</si>
  <si>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</si>
  <si>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</si>
  <si>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</si>
  <si>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</si>
  <si>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</si>
  <si>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</si>
  <si>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</si>
  <si>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</si>
  <si>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</si>
  <si>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</si>
  <si>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</si>
  <si>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</si>
  <si>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</si>
  <si>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</si>
  <si>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</si>
  <si>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</si>
  <si>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</si>
  <si>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</si>
  <si>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</si>
  <si>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</si>
  <si>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</si>
  <si>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</si>
  <si>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</si>
  <si>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</si>
  <si>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</si>
  <si>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</si>
  <si>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</si>
  <si>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</si>
  <si>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</si>
  <si>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</si>
  <si>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</si>
  <si>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</si>
  <si>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</si>
  <si>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</si>
  <si>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</si>
  <si>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</si>
  <si>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</si>
  <si>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</si>
  <si>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</si>
  <si>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</si>
  <si>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</si>
  <si>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</si>
  <si>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</si>
  <si>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</si>
  <si>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</si>
  <si>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</si>
  <si>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</si>
  <si>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</si>
  <si>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</si>
  <si>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</si>
  <si>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</si>
  <si>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</si>
  <si>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</si>
  <si>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</si>
  <si>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</si>
  <si>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</si>
  <si>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</si>
  <si>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</si>
  <si>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</si>
  <si>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</si>
  <si>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</si>
  <si>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</si>
  <si>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</si>
  <si>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</si>
  <si>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</si>
  <si>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</si>
  <si>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</si>
  <si>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</si>
  <si>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</si>
  <si>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</si>
  <si>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</si>
  <si>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</si>
  <si>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</si>
  <si>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</si>
  <si>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</si>
  <si>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</si>
  <si>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</si>
  <si>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</si>
  <si>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</si>
  <si>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</si>
  <si>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</si>
  <si>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</si>
  <si>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</si>
  <si>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</si>
  <si>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</si>
  <si>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</si>
  <si>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</si>
  <si>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</si>
  <si>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</si>
  <si>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</si>
  <si>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</si>
  <si>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</si>
  <si>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</si>
  <si>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</si>
  <si>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</si>
  <si>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</si>
  <si>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</si>
  <si>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</si>
  <si>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</si>
  <si>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</si>
  <si>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</si>
  <si>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</si>
  <si>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</si>
  <si>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</si>
  <si>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</si>
  <si>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</si>
  <si>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</si>
  <si>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</si>
  <si>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</si>
  <si>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</si>
  <si>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</si>
  <si>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</si>
  <si>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</si>
  <si>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</si>
  <si>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</si>
  <si>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</si>
  <si>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</si>
  <si>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</si>
  <si>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</si>
  <si>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</si>
  <si>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</si>
  <si>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</si>
  <si>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</si>
  <si>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</si>
  <si>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</si>
  <si>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</si>
  <si>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</si>
  <si>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</si>
  <si>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</si>
  <si>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</si>
  <si>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</si>
  <si>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</si>
  <si>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</si>
  <si>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</si>
  <si>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</si>
  <si>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</si>
  <si>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</si>
  <si>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</si>
  <si>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</si>
  <si>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</si>
  <si>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</si>
  <si>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</si>
  <si>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</si>
  <si>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</si>
  <si>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</si>
  <si>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</si>
  <si>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</si>
  <si>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</si>
  <si>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</si>
  <si>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</si>
  <si>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</si>
  <si>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</si>
  <si>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</si>
  <si>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</si>
  <si>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</si>
  <si>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</si>
  <si>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</si>
  <si>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</si>
  <si>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</si>
  <si>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</si>
  <si>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</si>
  <si>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</si>
  <si>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</si>
  <si>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</si>
  <si>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</si>
  <si>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</si>
  <si>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</si>
  <si>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</si>
  <si>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</si>
  <si>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</si>
  <si>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</si>
  <si>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</si>
  <si>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</si>
  <si>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</si>
  <si>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</si>
  <si>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</si>
  <si>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</si>
  <si>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</si>
  <si>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</si>
  <si>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</si>
  <si>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</si>
  <si>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</si>
  <si>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</si>
  <si>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</si>
  <si>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</si>
  <si>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</si>
  <si>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</si>
  <si>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</si>
  <si>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</si>
  <si>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</si>
  <si>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</si>
  <si>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</si>
  <si>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</si>
  <si>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</si>
  <si>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</si>
  <si>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</si>
  <si>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</si>
  <si>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</si>
  <si>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</si>
  <si>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</si>
  <si>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</si>
  <si>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</si>
  <si>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</si>
  <si>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</si>
  <si>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</si>
  <si>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</si>
  <si>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</si>
  <si>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</si>
  <si>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</si>
  <si>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</si>
  <si>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</si>
  <si>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</si>
  <si>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</si>
  <si>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</si>
  <si>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</si>
  <si>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</si>
  <si>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</si>
  <si>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</si>
  <si>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</si>
  <si>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</si>
  <si>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</si>
  <si>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</si>
  <si>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</si>
  <si>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</si>
  <si>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</si>
  <si>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</si>
  <si>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</si>
  <si>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</si>
  <si>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</si>
  <si>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</si>
  <si>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</si>
  <si>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</si>
  <si>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</si>
  <si>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</si>
  <si>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</si>
  <si>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</si>
  <si>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</si>
  <si>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</si>
  <si>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</si>
  <si>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</si>
  <si>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</si>
  <si>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</si>
  <si>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</si>
  <si>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</si>
  <si>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</si>
  <si>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</si>
  <si>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</si>
  <si>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</si>
  <si>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</si>
  <si>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</si>
  <si>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</si>
  <si>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</si>
  <si>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</si>
  <si>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</si>
  <si>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</si>
  <si>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</si>
  <si>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</si>
  <si>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</si>
  <si>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</si>
  <si>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</si>
  <si>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</si>
  <si>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</si>
  <si>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</si>
  <si>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</si>
  <si>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</si>
  <si>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</si>
  <si>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</si>
  <si>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</si>
  <si>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</si>
  <si>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</si>
  <si>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</si>
  <si>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</si>
  <si>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</si>
  <si>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</si>
  <si>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</si>
  <si>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</si>
  <si>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</si>
  <si>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</si>
  <si>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</si>
  <si>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</si>
  <si>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</si>
  <si>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</si>
  <si>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</si>
  <si>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</si>
  <si>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</si>
  <si>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</si>
  <si>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</si>
  <si>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</si>
  <si>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</si>
  <si>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</si>
  <si>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</si>
  <si>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</si>
  <si>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</si>
  <si>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</si>
  <si>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</si>
  <si>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</si>
  <si>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</si>
  <si>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</si>
  <si>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</si>
  <si>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</si>
  <si>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</si>
  <si>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</si>
  <si>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</si>
  <si>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</si>
  <si>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</si>
  <si>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</si>
  <si>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</si>
  <si>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</si>
  <si>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</si>
  <si>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</si>
  <si>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</si>
  <si>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</si>
  <si>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</si>
  <si>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</si>
  <si>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</si>
  <si>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</si>
  <si>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</si>
  <si>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</si>
  <si>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</si>
  <si>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</si>
  <si>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</si>
  <si>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</si>
  <si>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</si>
  <si>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</si>
  <si>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</si>
  <si>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</si>
  <si>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</si>
  <si>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</si>
  <si>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</si>
  <si>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</si>
  <si>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</si>
  <si>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</si>
  <si>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</si>
  <si>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</si>
  <si>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</si>
  <si>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</si>
  <si>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</si>
  <si>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</si>
  <si>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</si>
  <si>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</si>
  <si>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</si>
  <si>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</si>
  <si>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</si>
  <si>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</si>
  <si>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</si>
  <si>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</si>
  <si>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</si>
  <si>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</si>
  <si>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</si>
  <si>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</si>
  <si>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</si>
  <si>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</si>
  <si>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</si>
  <si>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</si>
  <si>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</si>
  <si>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</si>
  <si>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</si>
  <si>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</si>
  <si>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</si>
  <si>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</si>
  <si>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</si>
  <si>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</si>
  <si>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</si>
  <si>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</si>
  <si>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</si>
  <si>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</si>
  <si>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</si>
  <si>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</si>
  <si>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</si>
  <si>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</si>
  <si>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</si>
  <si>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</si>
  <si>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</si>
  <si>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</si>
  <si>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</si>
  <si>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</si>
  <si>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</si>
  <si>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</si>
  <si>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</si>
  <si>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</si>
  <si>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</si>
  <si>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</si>
  <si>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</si>
  <si>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</si>
  <si>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</si>
  <si>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</si>
  <si>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</si>
  <si>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</si>
  <si>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</si>
  <si>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</si>
  <si>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</si>
  <si>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</si>
  <si>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</si>
  <si>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</si>
  <si>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</si>
  <si>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</si>
  <si>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</si>
  <si>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</si>
  <si>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</si>
  <si>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</si>
  <si>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</si>
  <si>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</si>
  <si>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</si>
  <si>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</si>
  <si>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</si>
  <si>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</si>
  <si>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</si>
  <si>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</si>
  <si>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</si>
  <si>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</si>
  <si>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</si>
  <si>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</si>
  <si>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</si>
  <si>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</si>
  <si>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</si>
  <si>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</si>
  <si>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</si>
  <si>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</si>
  <si>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</si>
  <si>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</si>
  <si>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</si>
  <si>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</si>
  <si>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</si>
  <si>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</si>
  <si>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</si>
  <si>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</si>
  <si>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</si>
  <si>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</si>
  <si>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</si>
  <si>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</si>
  <si>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</si>
  <si>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</si>
  <si>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</si>
  <si>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</si>
  <si>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</si>
  <si>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</si>
  <si>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</si>
  <si>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</si>
  <si>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</si>
  <si>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</si>
  <si>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</si>
  <si>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</si>
  <si>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</si>
  <si>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</si>
  <si>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</si>
  <si>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</si>
  <si>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</si>
  <si>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</si>
  <si>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</si>
  <si>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</si>
  <si>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</si>
  <si>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</si>
  <si>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</si>
  <si>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</si>
  <si>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</si>
  <si>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</si>
  <si>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</si>
  <si>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</si>
  <si>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</si>
  <si>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</si>
  <si>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</si>
  <si>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</si>
  <si>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</si>
  <si>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</si>
  <si>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</si>
  <si>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</si>
  <si>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</si>
  <si>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</si>
  <si>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</si>
  <si>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</si>
  <si>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</si>
  <si>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</si>
  <si>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</si>
  <si>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</si>
  <si>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</si>
  <si>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</si>
  <si>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</si>
  <si>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</si>
  <si>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</si>
  <si>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</si>
  <si>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</si>
  <si>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</si>
  <si>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</si>
  <si>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</si>
  <si>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</si>
  <si>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</si>
  <si>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</si>
  <si>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</si>
  <si>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</si>
  <si>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</si>
  <si>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</si>
  <si>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</si>
  <si>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</si>
  <si>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</si>
  <si>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</si>
  <si>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</si>
  <si>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</si>
  <si>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</si>
  <si>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</si>
  <si>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</si>
  <si>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</si>
  <si>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</si>
  <si>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</si>
  <si>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</si>
  <si>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</si>
  <si>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</si>
  <si>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</si>
  <si>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</si>
  <si>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</si>
  <si>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</si>
  <si>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</si>
  <si>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</si>
  <si>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</si>
  <si>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</si>
  <si>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</si>
  <si>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</si>
  <si>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</si>
  <si>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</si>
  <si>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</si>
  <si>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</si>
  <si>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</si>
  <si>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</si>
  <si>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</si>
  <si>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</si>
  <si>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</si>
  <si>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</si>
  <si>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</si>
  <si>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</si>
  <si>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</si>
  <si>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</si>
  <si>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</si>
  <si>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</si>
  <si>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</si>
  <si>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</si>
  <si>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</si>
  <si>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</si>
  <si>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</si>
  <si>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</si>
  <si>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</si>
  <si>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</si>
  <si>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</si>
  <si>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</si>
  <si>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</si>
  <si>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</si>
  <si>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</si>
  <si>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</si>
  <si>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</si>
  <si>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</si>
  <si>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</si>
  <si>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</si>
  <si>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</si>
  <si>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</si>
  <si>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</si>
  <si>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</si>
  <si>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</si>
  <si>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</si>
  <si>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</si>
  <si>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</si>
  <si>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</si>
  <si>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</si>
  <si>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</si>
  <si>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</si>
  <si>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</si>
  <si>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</si>
  <si>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</si>
  <si>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</si>
  <si>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</si>
  <si>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</si>
  <si>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</si>
  <si>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</si>
  <si>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</si>
  <si>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</si>
  <si>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</si>
  <si>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</si>
  <si>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</si>
  <si>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</si>
  <si>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</si>
  <si>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</si>
  <si>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</si>
  <si>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</si>
  <si>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</si>
  <si>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</si>
  <si>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</si>
  <si>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</si>
  <si>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</si>
  <si>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</si>
  <si>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</si>
  <si>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</si>
  <si>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</si>
  <si>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</si>
  <si>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</si>
  <si>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</si>
  <si>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</si>
  <si>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</si>
  <si>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</si>
  <si>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</si>
  <si>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</si>
  <si>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</si>
  <si>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</si>
  <si>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</si>
  <si>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</si>
  <si>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</si>
  <si>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</si>
  <si>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</si>
  <si>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</si>
  <si>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</si>
  <si>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</si>
  <si>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</si>
  <si>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</si>
  <si>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</si>
  <si>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</si>
  <si>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</si>
  <si>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</si>
  <si>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</si>
  <si>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</si>
  <si>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</si>
  <si>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</si>
  <si>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</si>
  <si>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</si>
  <si>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</si>
  <si>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</si>
  <si>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</si>
  <si>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</si>
  <si>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</si>
  <si>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</si>
  <si>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</si>
  <si>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</si>
  <si>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</si>
  <si>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</si>
  <si>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</si>
  <si>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</si>
  <si>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</si>
  <si>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</si>
  <si>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</si>
  <si>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</si>
  <si>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</si>
  <si>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</si>
  <si>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</si>
  <si>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</si>
  <si>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</si>
  <si>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</si>
  <si>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</si>
  <si>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</si>
  <si>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</si>
  <si>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</si>
  <si>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</si>
  <si>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</si>
  <si>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</si>
  <si>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</si>
  <si>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</si>
  <si>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</si>
  <si>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</si>
  <si>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</si>
  <si>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</si>
  <si>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</si>
  <si>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</si>
  <si>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</si>
  <si>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</si>
  <si>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</si>
  <si>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</si>
  <si>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</si>
  <si>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</si>
  <si>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</si>
  <si>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</si>
  <si>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</si>
  <si>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</si>
  <si>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</si>
  <si>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</si>
  <si>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</si>
  <si>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</si>
  <si>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</si>
  <si>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</si>
  <si>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</si>
  <si>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</si>
  <si>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</si>
  <si>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</si>
  <si>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</si>
  <si>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</si>
  <si>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</si>
  <si>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</si>
  <si>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</si>
  <si>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</si>
  <si>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</si>
  <si>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</si>
  <si>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</si>
  <si>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</si>
  <si>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</si>
  <si>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</si>
  <si>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</si>
  <si>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</si>
  <si>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</si>
  <si>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</si>
  <si>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</si>
  <si>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</si>
  <si>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</si>
  <si>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</si>
  <si>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</si>
  <si>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</si>
  <si>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</si>
  <si>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</si>
  <si>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</si>
  <si>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</si>
  <si>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</si>
  <si>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</si>
  <si>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</si>
  <si>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</si>
  <si>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</si>
  <si>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</si>
  <si>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</si>
  <si>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</si>
  <si>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</si>
  <si>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</si>
  <si>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</si>
  <si>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</si>
  <si>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</si>
  <si>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</si>
  <si>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</si>
  <si>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</si>
  <si>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</si>
  <si>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</si>
  <si>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</si>
  <si>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</si>
  <si>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</si>
  <si>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</si>
  <si>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</si>
  <si>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</si>
  <si>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</si>
  <si>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</si>
  <si>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</si>
  <si>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</si>
  <si>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</si>
  <si>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</si>
  <si>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</si>
  <si>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</si>
  <si>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</si>
  <si>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</si>
  <si>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</si>
  <si>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</si>
  <si>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</si>
  <si>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</si>
  <si>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</si>
  <si>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</si>
  <si>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</si>
  <si>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</si>
  <si>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</si>
  <si>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</si>
  <si>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</si>
  <si>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</si>
  <si>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</si>
  <si>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</si>
  <si>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</si>
  <si>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</si>
  <si>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</si>
  <si>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</si>
  <si>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</si>
  <si>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</si>
  <si>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</si>
  <si>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</si>
  <si>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</si>
  <si>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</si>
  <si>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</si>
  <si>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</si>
  <si>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</si>
  <si>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</si>
  <si>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</si>
  <si>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</si>
  <si>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</si>
  <si>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</si>
  <si>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</si>
  <si>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</si>
  <si>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</si>
  <si>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</si>
  <si>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</si>
  <si>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</si>
  <si>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</si>
  <si>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</si>
  <si>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</si>
  <si>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</si>
  <si>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</si>
  <si>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</si>
  <si>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</si>
  <si>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</si>
  <si>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</si>
  <si>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</si>
  <si>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</si>
  <si>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</si>
  <si>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</si>
  <si>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</si>
  <si>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</si>
  <si>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</si>
  <si>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</si>
  <si>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</si>
  <si>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</si>
  <si>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</si>
  <si>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</si>
  <si>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</si>
  <si>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</si>
  <si>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</si>
  <si>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</si>
  <si>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</si>
  <si>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</si>
  <si>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</si>
  <si>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</si>
  <si>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</si>
  <si>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</si>
  <si>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</si>
  <si>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</si>
  <si>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</si>
  <si>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</si>
  <si>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</si>
  <si>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</si>
  <si>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</si>
  <si>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</si>
  <si>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</si>
  <si>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</si>
  <si>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</si>
  <si>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</si>
  <si>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</si>
  <si>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</si>
  <si>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</si>
  <si>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</si>
  <si>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</si>
  <si>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</si>
  <si>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</si>
  <si>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</si>
  <si>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</si>
  <si>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</si>
  <si>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</si>
  <si>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</si>
  <si>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</si>
  <si>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</si>
  <si>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</si>
  <si>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</si>
  <si>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</si>
  <si>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</si>
  <si>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</si>
  <si>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</si>
  <si>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</si>
  <si>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</si>
  <si>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</si>
  <si>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</si>
  <si>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</si>
  <si>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</si>
  <si>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</si>
  <si>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</si>
  <si>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</si>
  <si>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</si>
  <si>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</si>
  <si>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</si>
  <si>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</si>
  <si>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</si>
  <si>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</si>
  <si>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</si>
  <si>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</si>
  <si>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</si>
  <si>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</si>
  <si>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</si>
  <si>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</si>
  <si>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</si>
  <si>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</si>
  <si>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</si>
  <si>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</si>
  <si>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</si>
  <si>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</si>
  <si>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</si>
  <si>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</si>
  <si>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</si>
  <si>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</si>
  <si>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</si>
  <si>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</si>
  <si>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</si>
  <si>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</si>
  <si>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</si>
  <si>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</si>
  <si>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</si>
  <si>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</si>
  <si>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</si>
  <si>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</si>
  <si>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</si>
  <si>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</si>
  <si>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</si>
  <si>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</si>
  <si>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</si>
  <si>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</si>
  <si>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</si>
  <si>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</si>
  <si>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</si>
  <si>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</si>
  <si>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</si>
  <si>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</si>
  <si>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</si>
  <si>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</si>
  <si>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</si>
  <si>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</si>
  <si>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</si>
  <si>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</si>
  <si>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</si>
  <si>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</si>
  <si>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</si>
  <si>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</si>
  <si>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</si>
  <si>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</si>
  <si>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</si>
  <si>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</si>
  <si>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</si>
  <si>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</si>
  <si>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</si>
  <si>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</si>
  <si>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</si>
  <si>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</si>
  <si>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</si>
  <si>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</si>
  <si>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</si>
  <si>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</si>
  <si>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</si>
  <si>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</si>
  <si>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</si>
  <si>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</si>
  <si>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</si>
  <si>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</si>
  <si>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</si>
  <si>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</si>
  <si>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</si>
  <si>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</si>
  <si>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</si>
  <si>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</si>
  <si>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</si>
  <si>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</si>
  <si>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</si>
  <si>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</si>
  <si>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</si>
  <si>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</si>
  <si>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</si>
  <si>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</si>
  <si>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</si>
  <si>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</si>
  <si>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</si>
  <si>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</si>
  <si>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</si>
  <si>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</si>
  <si>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</si>
  <si>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</si>
  <si>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</si>
  <si>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</si>
  <si>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</si>
  <si>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</si>
  <si>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</si>
  <si>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</si>
  <si>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</si>
  <si>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</si>
  <si>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</si>
  <si>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</si>
  <si>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</si>
  <si>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</si>
  <si>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</si>
  <si>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</si>
  <si>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</si>
  <si>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</si>
  <si>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</si>
  <si>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</si>
  <si>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</si>
  <si>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</si>
  <si>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</si>
  <si>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</si>
  <si>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</si>
  <si>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</si>
  <si>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</si>
  <si>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</si>
  <si>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</si>
  <si>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</si>
  <si>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</si>
  <si>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</si>
  <si>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</si>
  <si>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</si>
  <si>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</si>
  <si>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</si>
  <si>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</si>
  <si>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</si>
  <si>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</si>
  <si>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</si>
  <si>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</si>
  <si>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</si>
  <si>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</si>
  <si>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</si>
  <si>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</si>
  <si>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</si>
  <si>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</si>
  <si>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</si>
  <si>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</si>
  <si>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</si>
  <si>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</si>
  <si>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</si>
  <si>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</si>
  <si>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</si>
  <si>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</si>
  <si>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</si>
  <si>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</si>
  <si>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</si>
  <si>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</si>
  <si>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</si>
  <si>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</si>
  <si>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</si>
  <si>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</si>
  <si>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</si>
  <si>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</si>
  <si>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</si>
  <si>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</si>
  <si>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</si>
  <si>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</si>
  <si>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</si>
  <si>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</si>
  <si>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</si>
  <si>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</si>
  <si>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</si>
  <si>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</si>
  <si>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</si>
  <si>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</si>
  <si>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</si>
  <si>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</si>
  <si>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</si>
  <si>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</si>
  <si>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</si>
  <si>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</si>
  <si>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</si>
  <si>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</si>
  <si>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</si>
  <si>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</si>
  <si>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</si>
  <si>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</si>
  <si>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</si>
  <si>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</si>
  <si>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</si>
  <si>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</si>
  <si>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</si>
  <si>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</si>
  <si>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</si>
  <si>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</si>
  <si>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</si>
  <si>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</si>
  <si>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</si>
  <si>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</si>
  <si>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</si>
  <si>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</si>
  <si>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</si>
  <si>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</si>
  <si>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</si>
  <si>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</si>
  <si>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</si>
  <si>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</si>
  <si>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</si>
  <si>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</si>
  <si>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</si>
  <si>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</si>
  <si>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</si>
  <si>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</si>
  <si>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</si>
  <si>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</si>
  <si>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</si>
  <si>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</si>
  <si>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</si>
  <si>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</si>
  <si>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</si>
  <si>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</si>
  <si>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</si>
  <si>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</si>
  <si>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</si>
  <si>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</si>
  <si>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</si>
  <si>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</si>
  <si>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</si>
  <si>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</si>
  <si>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</si>
  <si>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</si>
  <si>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</si>
  <si>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</si>
  <si>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</si>
  <si>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</si>
  <si>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</si>
  <si>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</si>
  <si>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</si>
  <si>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</si>
  <si>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</si>
  <si>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</si>
  <si>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</si>
  <si>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</si>
  <si>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</si>
  <si>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</si>
  <si>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</si>
  <si>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</si>
  <si>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</si>
  <si>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</si>
  <si>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</si>
  <si>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</si>
  <si>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</si>
  <si>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</si>
  <si>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</si>
  <si>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</si>
  <si>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</si>
  <si>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</si>
  <si>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</si>
  <si>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</si>
  <si>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</si>
  <si>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</si>
  <si>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</si>
  <si>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</si>
  <si>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</si>
  <si>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</si>
  <si>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</si>
  <si>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</si>
  <si>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</si>
  <si>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</si>
  <si>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</si>
  <si>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</si>
  <si>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</si>
  <si>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</si>
  <si>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</si>
  <si>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</si>
  <si>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</si>
  <si>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</si>
  <si>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</si>
  <si>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</si>
  <si>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</si>
  <si>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</si>
  <si>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</si>
  <si>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</si>
  <si>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</si>
  <si>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</si>
  <si>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</si>
  <si>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</si>
  <si>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</si>
  <si>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</si>
  <si>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</si>
  <si>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</si>
  <si>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</si>
  <si>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</si>
  <si>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</si>
  <si>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</si>
  <si>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</si>
  <si>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</si>
  <si>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</si>
  <si>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</si>
  <si>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</si>
  <si>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</si>
  <si>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</si>
  <si>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</si>
  <si>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</si>
  <si>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</si>
  <si>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</si>
  <si>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</si>
  <si>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</si>
  <si>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</si>
  <si>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</si>
  <si>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</si>
  <si>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</si>
  <si>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</si>
  <si>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</si>
  <si>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</si>
  <si>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</si>
  <si>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</si>
  <si>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</si>
  <si>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</si>
  <si>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</si>
  <si>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</si>
  <si>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</si>
  <si>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</si>
  <si>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</si>
  <si>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</si>
  <si>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</si>
  <si>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</si>
  <si>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</si>
  <si>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</si>
  <si>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</si>
  <si>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</si>
  <si>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</si>
  <si>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</si>
  <si>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</si>
  <si>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</si>
  <si>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</si>
  <si>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</si>
  <si>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</si>
  <si>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</si>
  <si>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</si>
  <si>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</si>
  <si>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</si>
  <si>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</si>
  <si>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</si>
  <si>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</si>
  <si>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</si>
  <si>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</si>
  <si>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</si>
  <si>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</si>
  <si>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</si>
  <si>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</si>
  <si>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</si>
  <si>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</si>
  <si>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</si>
  <si>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</si>
  <si>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</si>
  <si>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</si>
  <si>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</si>
  <si>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</si>
  <si>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</si>
  <si>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</si>
  <si>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</si>
  <si>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</si>
  <si>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</si>
  <si>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</si>
  <si>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</si>
  <si>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</si>
  <si>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</si>
  <si>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</si>
  <si>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</si>
  <si>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</si>
  <si>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</si>
  <si>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</si>
  <si>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</si>
  <si>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</si>
  <si>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</si>
  <si>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</si>
  <si>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</si>
  <si>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</si>
  <si>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</si>
  <si>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</si>
  <si>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</si>
  <si>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</si>
  <si>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</si>
  <si>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</si>
  <si>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</si>
  <si>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</si>
  <si>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</si>
  <si>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</si>
  <si>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</si>
  <si>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</si>
  <si>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</si>
  <si>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</si>
  <si>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</si>
  <si>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</si>
  <si>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</si>
  <si>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</si>
  <si>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</si>
  <si>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</si>
  <si>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</si>
  <si>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</si>
  <si>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</si>
  <si>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</si>
  <si>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</si>
  <si>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</si>
  <si>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</si>
  <si>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</si>
  <si>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</si>
  <si>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</si>
  <si>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</si>
  <si>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</si>
  <si>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</si>
  <si>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</si>
  <si>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</si>
  <si>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</si>
  <si>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</si>
  <si>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</si>
  <si>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</si>
  <si>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</si>
  <si>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</si>
  <si>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</si>
  <si>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</si>
  <si>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</si>
  <si>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</si>
  <si>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</si>
  <si>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</si>
  <si>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</si>
  <si>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</si>
  <si>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</si>
  <si>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</si>
  <si>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</si>
  <si>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</si>
  <si>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</si>
  <si>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</si>
  <si>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</si>
  <si>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</si>
  <si>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</si>
  <si>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</si>
  <si>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</si>
  <si>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</si>
  <si>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</si>
  <si>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</si>
  <si>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</si>
  <si>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</si>
  <si>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</si>
  <si>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</si>
  <si>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</si>
  <si>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</si>
  <si>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</si>
  <si>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</si>
  <si>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</si>
  <si>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</si>
  <si>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</si>
  <si>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</si>
  <si>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</si>
  <si>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</si>
  <si>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</si>
  <si>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</si>
  <si>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</si>
  <si>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</si>
  <si>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</si>
  <si>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</si>
  <si>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</si>
  <si>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</si>
  <si>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</si>
  <si>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</si>
  <si>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</si>
  <si>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</si>
  <si>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</si>
  <si>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</si>
  <si>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</si>
  <si>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</si>
  <si>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</si>
  <si>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</si>
  <si>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</si>
  <si>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</si>
  <si>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</si>
  <si>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</si>
  <si>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</si>
  <si>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</si>
  <si>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</si>
  <si>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</si>
  <si>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</si>
  <si>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</si>
  <si>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</si>
  <si>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</si>
  <si>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</si>
  <si>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</si>
  <si>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</si>
  <si>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</si>
  <si>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</si>
  <si>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</si>
  <si>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</si>
  <si>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</si>
  <si>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</si>
  <si>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</si>
  <si>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</si>
  <si>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</si>
  <si>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</si>
  <si>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</si>
  <si>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</si>
  <si>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</si>
  <si>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</si>
  <si>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</si>
  <si>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</si>
  <si>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</si>
  <si>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</si>
  <si>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</si>
  <si>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</si>
  <si>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</si>
  <si>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</si>
  <si>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</si>
  <si>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</si>
  <si>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</si>
  <si>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</si>
  <si>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</si>
  <si>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</si>
  <si>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</si>
  <si>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</si>
  <si>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</si>
  <si>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</si>
  <si>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</si>
  <si>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</si>
  <si>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</si>
  <si>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</si>
  <si>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</si>
  <si>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</si>
  <si>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</si>
  <si>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</si>
  <si>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</si>
  <si>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</si>
  <si>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</si>
  <si>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</si>
  <si>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</si>
  <si>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</si>
  <si>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</si>
  <si>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</si>
  <si>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</si>
  <si>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</si>
  <si>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</si>
  <si>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</si>
  <si>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</si>
  <si>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</si>
  <si>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</si>
  <si>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</si>
  <si>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</si>
  <si>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</si>
  <si>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</si>
  <si>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</si>
  <si>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</si>
  <si>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</si>
  <si>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</si>
  <si>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</si>
  <si>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</si>
  <si>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</si>
  <si>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</si>
  <si>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</si>
  <si>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</si>
  <si>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</si>
  <si>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</si>
  <si>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</si>
  <si>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</si>
  <si>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</si>
  <si>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</si>
  <si>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</si>
  <si>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</si>
  <si>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</si>
  <si>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</si>
  <si>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</si>
  <si>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</si>
  <si>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</si>
  <si>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</si>
  <si>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</si>
  <si>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</si>
  <si>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</si>
  <si>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</si>
  <si>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</si>
  <si>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</si>
  <si>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</si>
  <si>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</si>
  <si>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</si>
  <si>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</si>
  <si>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</si>
  <si>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</si>
  <si>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</si>
  <si>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</si>
  <si>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</si>
  <si>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</si>
  <si>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</si>
  <si>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</si>
  <si>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</si>
  <si>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</si>
  <si>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</si>
  <si>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</si>
  <si>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</si>
  <si>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</si>
  <si>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</si>
  <si>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</si>
  <si>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</si>
  <si>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</si>
  <si>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</si>
  <si>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</si>
  <si>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</si>
  <si>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</si>
  <si>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</si>
  <si>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</si>
  <si>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</si>
  <si>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</si>
  <si>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</si>
  <si>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</si>
  <si>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</si>
  <si>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</si>
  <si>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</si>
  <si>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</si>
  <si>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</si>
  <si>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</si>
  <si>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</si>
  <si>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</si>
  <si>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</si>
  <si>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</si>
  <si>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</si>
  <si>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</si>
  <si>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</si>
  <si>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</si>
  <si>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</si>
  <si>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</si>
  <si>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</si>
  <si>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</si>
  <si>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</si>
  <si>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</si>
  <si>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</si>
  <si>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</si>
  <si>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</si>
  <si>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</si>
  <si>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</si>
  <si>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</si>
  <si>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</si>
  <si>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</si>
  <si>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</si>
  <si>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</si>
  <si>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</si>
  <si>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</si>
  <si>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</si>
  <si>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</si>
  <si>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</si>
  <si>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</si>
  <si>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</si>
  <si>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</si>
  <si>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</si>
  <si>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</si>
  <si>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</si>
  <si>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</si>
  <si>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</si>
  <si>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</si>
  <si>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</si>
  <si>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</si>
  <si>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</si>
  <si>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</si>
  <si>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</si>
  <si>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</si>
  <si>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</si>
  <si>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</si>
  <si>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</si>
  <si>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</si>
  <si>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</si>
  <si>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</si>
  <si>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</si>
  <si>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</si>
  <si>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</si>
  <si>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</si>
  <si>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</si>
  <si>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</si>
  <si>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</si>
  <si>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</si>
  <si>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</si>
  <si>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</si>
  <si>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</si>
  <si>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</si>
  <si>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</si>
  <si>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</si>
  <si>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</si>
  <si>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</si>
  <si>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</si>
  <si>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</si>
  <si>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</si>
  <si>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</si>
  <si>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</si>
  <si>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</si>
  <si>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</si>
  <si>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</si>
  <si>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</si>
  <si>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</si>
  <si>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</si>
  <si>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</si>
  <si>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</si>
  <si>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</si>
  <si>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</si>
  <si>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</si>
  <si>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</si>
  <si>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</si>
  <si>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</si>
  <si>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</si>
  <si>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</si>
  <si>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</si>
  <si>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</si>
  <si>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</si>
  <si>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</si>
  <si>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</si>
  <si>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</si>
  <si>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</si>
  <si>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</si>
  <si>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</si>
  <si>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</si>
  <si>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</si>
  <si>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</si>
  <si>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</si>
  <si>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</si>
  <si>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</si>
  <si>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</si>
  <si>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</si>
  <si>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</si>
  <si>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</si>
  <si>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</si>
  <si>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</si>
  <si>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</si>
  <si>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</si>
  <si>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</si>
  <si>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</si>
  <si>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</si>
  <si>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</si>
  <si>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</si>
  <si>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</si>
  <si>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</si>
  <si>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</si>
  <si>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</si>
  <si>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</si>
  <si>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</si>
  <si>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</si>
  <si>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</si>
  <si>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</si>
  <si>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</si>
  <si>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</si>
  <si>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</si>
  <si>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</si>
  <si>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</si>
  <si>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</si>
  <si>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</si>
  <si>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</si>
  <si>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</si>
  <si>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</si>
  <si>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</si>
  <si>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</si>
  <si>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</si>
  <si>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</si>
  <si>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</si>
  <si>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</si>
  <si>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</si>
  <si>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</si>
  <si>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</si>
  <si>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</si>
  <si>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</si>
  <si>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</si>
  <si>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</si>
  <si>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</si>
  <si>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</si>
  <si>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</si>
  <si>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</si>
  <si>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</si>
  <si>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</si>
  <si>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</si>
  <si>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</si>
  <si>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</si>
  <si>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</si>
  <si>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</si>
  <si>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</si>
  <si>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</si>
  <si>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</si>
  <si>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</si>
  <si>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</si>
  <si>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</si>
  <si>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</si>
  <si>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</si>
  <si>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</si>
  <si>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</si>
  <si>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</si>
  <si>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</si>
  <si>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</si>
  <si>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</si>
  <si>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</si>
  <si>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</si>
  <si>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</si>
  <si>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</si>
  <si>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</si>
  <si>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</si>
  <si>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</si>
  <si>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</si>
  <si>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</si>
  <si>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</si>
  <si>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</si>
  <si>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</si>
  <si>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</si>
  <si>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</si>
  <si>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</si>
  <si>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</si>
  <si>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</si>
  <si>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</si>
  <si>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</si>
  <si>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</si>
  <si>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</si>
  <si>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</si>
  <si>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</si>
  <si>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</si>
  <si>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</si>
  <si>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</si>
  <si>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</si>
  <si>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</si>
  <si>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</si>
  <si>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</si>
  <si>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</si>
  <si>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</si>
  <si>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</si>
  <si>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</si>
  <si>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</si>
  <si>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</si>
  <si>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</si>
  <si>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</si>
  <si>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</si>
  <si>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</si>
  <si>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</si>
  <si>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</si>
  <si>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</si>
  <si>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</si>
  <si>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</si>
  <si>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</si>
  <si>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</si>
  <si>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</si>
  <si>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</si>
  <si>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</si>
  <si>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</si>
  <si>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</si>
  <si>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</si>
  <si>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</si>
  <si>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</si>
  <si>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</si>
  <si>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</si>
  <si>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</si>
  <si>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</si>
  <si>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</si>
  <si>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</si>
  <si>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</si>
  <si>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</si>
  <si>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</si>
  <si>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</si>
  <si>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</si>
  <si>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</si>
  <si>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</si>
  <si>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</si>
  <si>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</si>
  <si>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</si>
  <si>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</si>
  <si>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</si>
  <si>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</si>
  <si>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</si>
  <si>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</si>
  <si>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</si>
  <si>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</si>
  <si>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</si>
  <si>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</si>
  <si>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</si>
  <si>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</si>
  <si>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</si>
  <si>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</si>
  <si>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</si>
  <si>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</si>
  <si>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</si>
  <si>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</si>
  <si>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</si>
  <si>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</si>
  <si>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</si>
  <si>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</si>
  <si>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</si>
  <si>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</si>
  <si>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</si>
  <si>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</si>
  <si>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</si>
  <si>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</si>
  <si>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</si>
  <si>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</si>
  <si>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</si>
  <si>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</si>
  <si>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</si>
  <si>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</si>
  <si>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</si>
  <si>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</si>
  <si>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</si>
  <si>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</si>
  <si>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</si>
  <si>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</si>
  <si>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</si>
  <si>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</si>
  <si>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</si>
  <si>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</si>
  <si>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</si>
  <si>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</si>
  <si>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</si>
  <si>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</si>
  <si>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</si>
  <si>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</si>
  <si>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</si>
  <si>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</si>
  <si>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</si>
  <si>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</si>
  <si>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</si>
  <si>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</si>
  <si>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</si>
  <si>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</si>
  <si>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</si>
  <si>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</si>
  <si>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</si>
  <si>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</si>
  <si>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</si>
  <si>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</si>
  <si>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</si>
  <si>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</si>
  <si>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</si>
  <si>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</si>
  <si>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</si>
  <si>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</si>
  <si>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</si>
  <si>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</si>
  <si>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</si>
  <si>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</si>
  <si>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</si>
  <si>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</si>
  <si>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</si>
  <si>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</si>
  <si>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</si>
  <si>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</si>
  <si>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</si>
  <si>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</si>
  <si>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</si>
  <si>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</si>
  <si>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</si>
  <si>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</si>
  <si>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</si>
  <si>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</si>
  <si>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</si>
  <si>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</si>
  <si>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</si>
  <si>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</si>
  <si>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</si>
  <si>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</si>
  <si>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</si>
  <si>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</si>
  <si>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</si>
  <si>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</si>
  <si>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</si>
  <si>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</si>
  <si>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</si>
  <si>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</si>
  <si>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</si>
  <si>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</si>
  <si>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</si>
  <si>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</si>
  <si>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</si>
  <si>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</si>
  <si>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</si>
  <si>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</si>
  <si>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</si>
  <si>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</si>
  <si>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</si>
  <si>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</si>
  <si>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</si>
  <si>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</si>
  <si>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</si>
  <si>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</si>
  <si>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</si>
  <si>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</si>
  <si>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</si>
  <si>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</si>
  <si>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</si>
  <si>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</si>
  <si>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</si>
  <si>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</si>
  <si>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</si>
  <si>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</si>
  <si>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</si>
  <si>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</si>
  <si>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</si>
  <si>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</si>
  <si>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</si>
  <si>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</si>
  <si>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</si>
  <si>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</si>
  <si>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</si>
  <si>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</si>
  <si>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</si>
  <si>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</si>
  <si>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</si>
  <si>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</si>
  <si>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</si>
  <si>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</si>
  <si>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</si>
  <si>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</si>
  <si>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</si>
  <si>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</si>
  <si>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</si>
  <si>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</si>
  <si>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</si>
  <si>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</si>
  <si>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</si>
  <si>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</si>
  <si>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</si>
  <si>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</si>
  <si>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</si>
  <si>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</si>
  <si>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</si>
  <si>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</si>
  <si>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</si>
  <si>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</si>
  <si>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</si>
  <si>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</si>
  <si>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</si>
  <si>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</si>
  <si>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</si>
  <si>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</si>
  <si>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</si>
  <si>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</si>
  <si>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</si>
  <si>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</si>
  <si>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</si>
  <si>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</si>
  <si>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</si>
  <si>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</si>
  <si>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</si>
  <si>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</si>
  <si>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</si>
  <si>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</si>
  <si>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</si>
  <si>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</si>
  <si>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</si>
  <si>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</si>
  <si>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</si>
  <si>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</si>
  <si>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</si>
  <si>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</si>
  <si>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</si>
  <si>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</si>
  <si>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</si>
  <si>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</si>
  <si>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</si>
  <si>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</si>
  <si>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</si>
  <si>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</si>
  <si>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</si>
  <si>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</si>
  <si>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</si>
  <si>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</si>
  <si>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</si>
  <si>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</si>
  <si>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</si>
  <si>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</si>
  <si>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</si>
  <si>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</si>
  <si>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</si>
  <si>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</si>
  <si>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</si>
  <si>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</si>
  <si>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</si>
  <si>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</si>
  <si>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</si>
  <si>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</si>
  <si>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</si>
  <si>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</si>
  <si>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</si>
  <si>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</si>
  <si>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</si>
  <si>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</si>
  <si>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</si>
  <si>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</si>
  <si>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</si>
  <si>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</si>
  <si>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</si>
  <si>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</si>
  <si>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</si>
  <si>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</si>
  <si>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</si>
  <si>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</si>
  <si>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</si>
  <si>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</si>
  <si>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</si>
  <si>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</si>
  <si>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</si>
  <si>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</si>
  <si>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</si>
  <si>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</si>
  <si>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</si>
  <si>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</si>
  <si>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</si>
  <si>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</si>
  <si>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</si>
  <si>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</si>
  <si>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</si>
  <si>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</si>
  <si>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</si>
  <si>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</si>
  <si>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</si>
  <si>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</si>
  <si>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</si>
  <si>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</si>
  <si>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</si>
  <si>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</si>
  <si>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</si>
  <si>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</si>
  <si>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</si>
  <si>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</si>
  <si>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</si>
  <si>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</si>
  <si>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</si>
  <si>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</si>
  <si>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</si>
  <si>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</si>
  <si>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</si>
  <si>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</si>
  <si>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</si>
  <si>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</si>
  <si>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</si>
  <si>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</si>
  <si>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</si>
  <si>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</si>
  <si>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</si>
  <si>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</si>
  <si>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</si>
  <si>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</si>
  <si>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</si>
  <si>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</si>
  <si>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</si>
  <si>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</si>
  <si>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</si>
  <si>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</si>
  <si>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</si>
  <si>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</si>
  <si>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</si>
  <si>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</si>
  <si>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</si>
  <si>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</si>
  <si>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</si>
  <si>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</si>
  <si>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</si>
  <si>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</si>
  <si>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</si>
  <si>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</si>
  <si>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</si>
  <si>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</si>
  <si>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</si>
  <si>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</si>
  <si>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</si>
  <si>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</si>
  <si>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</si>
  <si>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</si>
  <si>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</si>
  <si>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</si>
  <si>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</si>
  <si>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</si>
  <si>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</si>
  <si>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</si>
  <si>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</si>
  <si>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</si>
  <si>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</si>
  <si>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</si>
  <si>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</si>
  <si>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</si>
  <si>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</si>
  <si>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</si>
  <si>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</si>
  <si>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</si>
  <si>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</si>
  <si>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</si>
  <si>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</si>
  <si>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</si>
  <si>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</si>
  <si>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</si>
  <si>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</si>
  <si>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</si>
  <si>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</si>
  <si>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</si>
  <si>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</si>
  <si>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</si>
  <si>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</si>
  <si>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</si>
  <si>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</si>
  <si>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</si>
  <si>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</si>
  <si>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</si>
  <si>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</si>
  <si>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</si>
  <si>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</si>
  <si>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</si>
  <si>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</si>
  <si>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</si>
  <si>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</si>
  <si>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</si>
  <si>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</si>
  <si>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</si>
  <si>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</si>
  <si>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</si>
  <si>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</si>
  <si>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</si>
  <si>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</si>
  <si>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</si>
  <si>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</si>
  <si>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</si>
  <si>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</si>
  <si>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</si>
  <si>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</si>
  <si>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</si>
  <si>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</si>
  <si>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</si>
  <si>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</si>
  <si>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</si>
  <si>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</si>
  <si>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</si>
  <si>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</si>
  <si>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</si>
  <si>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</si>
  <si>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</si>
  <si>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</si>
  <si>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</si>
  <si>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</si>
  <si>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</si>
  <si>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</si>
  <si>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</si>
  <si>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</si>
  <si>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</si>
  <si>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</si>
  <si>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</si>
  <si>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</si>
  <si>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</si>
  <si>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</si>
  <si>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</si>
  <si>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</si>
  <si>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</si>
  <si>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</si>
  <si>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</si>
  <si>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</si>
  <si>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</si>
  <si>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</si>
  <si>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</si>
  <si>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</si>
  <si>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</si>
  <si>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</si>
  <si>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</si>
  <si>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</si>
  <si>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</si>
  <si>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</si>
  <si>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</si>
  <si>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</si>
  <si>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</si>
  <si>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</si>
  <si>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</si>
  <si>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</si>
  <si>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</si>
  <si>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</si>
  <si>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</si>
  <si>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</si>
  <si>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</si>
  <si>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</si>
  <si>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</si>
  <si>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</si>
  <si>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</si>
  <si>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</si>
  <si>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</si>
  <si>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</si>
  <si>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</si>
  <si>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</si>
  <si>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</si>
  <si>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</si>
  <si>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</si>
  <si>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</si>
  <si>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</si>
  <si>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</si>
  <si>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</si>
  <si>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</si>
  <si>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</si>
  <si>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</si>
  <si>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</si>
  <si>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</si>
  <si>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</si>
  <si>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</si>
  <si>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</si>
  <si>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</si>
  <si>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</si>
  <si>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</si>
  <si>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</si>
  <si>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</si>
  <si>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</si>
  <si>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</si>
  <si>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</si>
  <si>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</si>
  <si>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</si>
  <si>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</si>
  <si>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</si>
  <si>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</si>
  <si>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</si>
  <si>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</si>
  <si>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</si>
  <si>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</si>
  <si>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</si>
  <si>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</si>
  <si>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</si>
  <si>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</si>
  <si>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</si>
  <si>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</si>
  <si>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</si>
  <si>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</si>
  <si>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</si>
  <si>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</si>
  <si>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</si>
  <si>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</si>
  <si>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</si>
  <si>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</si>
  <si>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</si>
  <si>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</si>
  <si>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</si>
  <si>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</si>
  <si>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</si>
  <si>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</si>
  <si>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</si>
  <si>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</si>
  <si>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</si>
  <si>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</si>
  <si>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</si>
  <si>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</si>
  <si>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</si>
  <si>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</si>
  <si>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</si>
  <si>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</si>
  <si>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</si>
  <si>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</si>
  <si>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</si>
  <si>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</si>
  <si>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</si>
  <si>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</si>
  <si>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</si>
  <si>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</si>
  <si>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</si>
  <si>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</si>
  <si>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</si>
  <si>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</si>
  <si>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</si>
  <si>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</si>
  <si>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</si>
  <si>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</si>
  <si>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</si>
  <si>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</si>
  <si>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</si>
  <si>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</si>
  <si>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</si>
  <si>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</si>
  <si>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</si>
  <si>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</si>
  <si>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</si>
  <si>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</si>
  <si>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</si>
  <si>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</si>
  <si>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</si>
  <si>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</si>
  <si>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</si>
  <si>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</si>
  <si>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</si>
  <si>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</si>
  <si>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</si>
  <si>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</si>
  <si>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</si>
  <si>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</si>
  <si>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</si>
  <si>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</si>
  <si>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</si>
  <si>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</si>
  <si>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</si>
  <si>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</si>
  <si>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</si>
  <si>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</si>
  <si>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</si>
  <si>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</si>
  <si>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</si>
  <si>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</si>
  <si>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</si>
  <si>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</si>
  <si>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</si>
  <si>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</si>
  <si>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</si>
  <si>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</si>
  <si>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</si>
  <si>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</si>
  <si>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</si>
  <si>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</si>
  <si>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</si>
  <si>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</si>
  <si>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</si>
  <si>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</si>
  <si>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</si>
  <si>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</si>
  <si>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</si>
  <si>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</si>
  <si>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</si>
  <si>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</si>
  <si>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</si>
  <si>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</si>
  <si>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</si>
  <si>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</si>
  <si>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</si>
  <si>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</si>
  <si>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</si>
  <si>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</si>
  <si>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</si>
  <si>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</si>
  <si>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</si>
  <si>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</si>
  <si>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</si>
  <si>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</si>
  <si>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</si>
  <si>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</si>
  <si>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</si>
  <si>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</si>
  <si>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</si>
  <si>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</si>
  <si>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</si>
  <si>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</si>
  <si>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</si>
  <si>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</si>
  <si>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</si>
  <si>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</si>
  <si>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</si>
  <si>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</si>
  <si>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</si>
  <si>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</si>
  <si>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</si>
  <si>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</si>
  <si>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</si>
  <si>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</si>
  <si>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</si>
  <si>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</si>
  <si>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</si>
  <si>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</si>
  <si>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</si>
  <si>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</si>
  <si>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</si>
  <si>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</si>
  <si>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</si>
  <si>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</si>
  <si>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</si>
  <si>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</si>
  <si>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</si>
  <si>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</si>
  <si>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</si>
  <si>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</si>
  <si>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</si>
  <si>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</si>
  <si>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</si>
  <si>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</si>
  <si>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</si>
  <si>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</si>
  <si>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</si>
  <si>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</si>
  <si>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</si>
  <si>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</si>
  <si>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</si>
  <si>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</si>
  <si>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</si>
  <si>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</si>
  <si>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</si>
  <si>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</si>
  <si>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</si>
  <si>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</si>
  <si>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</si>
  <si>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</si>
  <si>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</si>
  <si>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</si>
  <si>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</si>
  <si>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</si>
  <si>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</si>
  <si>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</si>
  <si>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</si>
  <si>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</si>
  <si>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</si>
  <si>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</si>
  <si>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</si>
  <si>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</si>
  <si>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</si>
  <si>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</si>
  <si>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</si>
  <si>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</si>
  <si>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</si>
  <si>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</si>
  <si>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</si>
  <si>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</si>
  <si>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</si>
  <si>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</si>
  <si>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</si>
  <si>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</si>
  <si>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</si>
  <si>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</si>
  <si>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</si>
  <si>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</si>
  <si>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</si>
  <si>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</si>
  <si>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</si>
  <si>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</si>
  <si>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</si>
  <si>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</si>
  <si>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</si>
  <si>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</si>
  <si>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</si>
  <si>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</si>
  <si>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</si>
  <si>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</si>
  <si>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</si>
  <si>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</si>
  <si>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</si>
  <si>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</si>
  <si>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</si>
  <si>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</si>
  <si>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</si>
  <si>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</si>
  <si>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</si>
  <si>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</si>
  <si>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</si>
  <si>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</si>
  <si>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</si>
  <si>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</si>
  <si>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</si>
  <si>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</si>
  <si>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</si>
  <si>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</si>
  <si>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</si>
  <si>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</si>
  <si>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</si>
  <si>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</si>
  <si>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</si>
  <si>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</si>
  <si>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</si>
  <si>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</si>
  <si>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</si>
  <si>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</si>
  <si>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</si>
  <si>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</si>
  <si>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</si>
  <si>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</si>
  <si>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</si>
  <si>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</si>
  <si>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</si>
  <si>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</si>
  <si>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</si>
  <si>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</si>
  <si>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</si>
  <si>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</si>
  <si>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</si>
  <si>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</si>
  <si>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</si>
  <si>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</si>
  <si>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</si>
  <si>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</si>
  <si>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</si>
  <si>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</si>
  <si>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</si>
  <si>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</si>
  <si>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</si>
  <si>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</si>
  <si>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</si>
  <si>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</si>
  <si>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</si>
  <si>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</si>
  <si>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</si>
  <si>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</si>
  <si>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</si>
  <si>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</si>
  <si>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</si>
  <si>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</si>
  <si>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</si>
  <si>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</si>
  <si>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</si>
  <si>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</si>
  <si>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</si>
  <si>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</si>
  <si>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</si>
  <si>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</si>
  <si>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</si>
  <si>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</si>
  <si>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</si>
  <si>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</si>
  <si>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</si>
  <si>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</si>
  <si>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</si>
  <si>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</si>
  <si>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</si>
  <si>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</si>
  <si>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</si>
  <si>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</si>
  <si>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</si>
  <si>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</si>
  <si>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</si>
  <si>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</si>
  <si>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</si>
  <si>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</si>
  <si>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</si>
  <si>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</si>
  <si>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</si>
  <si>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</si>
  <si>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</si>
  <si>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</si>
  <si>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</si>
  <si>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</si>
  <si>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</si>
  <si>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</si>
  <si>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</si>
  <si>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</si>
  <si>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</si>
  <si>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</si>
  <si>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</si>
  <si>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</si>
  <si>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</si>
  <si>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</si>
  <si>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</si>
  <si>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</si>
  <si>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</si>
  <si>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</si>
  <si>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</si>
  <si>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</si>
  <si>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</si>
  <si>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</si>
  <si>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</si>
  <si>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</si>
  <si>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</si>
  <si>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</si>
  <si>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</si>
  <si>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</si>
  <si>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</si>
  <si>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</si>
  <si>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</si>
  <si>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</si>
  <si>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</si>
  <si>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</si>
  <si>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</si>
  <si>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</si>
  <si>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</si>
  <si>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</si>
  <si>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</si>
  <si>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</si>
  <si>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</si>
  <si>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</si>
  <si>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</si>
  <si>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</si>
  <si>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</si>
  <si>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</si>
  <si>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</si>
  <si>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</si>
  <si>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</si>
  <si>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</si>
  <si>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</si>
  <si>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</si>
  <si>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</si>
  <si>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</si>
  <si>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</si>
  <si>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</si>
  <si>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</si>
  <si>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</si>
  <si>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</si>
  <si>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</si>
  <si>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</si>
  <si>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</si>
  <si>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</si>
  <si>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</si>
  <si>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</si>
  <si>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</si>
  <si>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</si>
  <si>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</si>
  <si>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</si>
  <si>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</si>
  <si>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</si>
  <si>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</si>
  <si>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</si>
  <si>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</si>
  <si>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</si>
  <si>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</si>
  <si>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</si>
  <si>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</si>
  <si>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</si>
  <si>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</si>
  <si>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</si>
  <si>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</si>
  <si>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</si>
  <si>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</si>
  <si>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</si>
  <si>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</si>
  <si>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</si>
  <si>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</si>
  <si>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</si>
  <si>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</si>
  <si>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</si>
  <si>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</si>
  <si>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</si>
  <si>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</si>
  <si>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</si>
  <si>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</si>
  <si>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</si>
  <si>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</si>
  <si>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</si>
  <si>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</si>
  <si>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</si>
  <si>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</si>
  <si>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</si>
  <si>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</si>
  <si>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</si>
  <si>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</si>
  <si>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</si>
  <si>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</si>
  <si>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</si>
  <si>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</si>
  <si>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</si>
  <si>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</si>
  <si>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</si>
  <si>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</si>
  <si>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</si>
  <si>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</si>
  <si>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</si>
  <si>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</si>
  <si>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</si>
  <si>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</si>
  <si>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</si>
  <si>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</si>
  <si>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</si>
  <si>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</si>
  <si>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</si>
  <si>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</si>
  <si>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</si>
  <si>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</si>
  <si>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</si>
  <si>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</si>
  <si>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</si>
  <si>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</si>
  <si>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</si>
  <si>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</si>
  <si>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</si>
  <si>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</si>
  <si>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</si>
  <si>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</si>
  <si>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</si>
  <si>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</si>
  <si>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</si>
  <si>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</si>
  <si>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</si>
  <si>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</si>
  <si>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</si>
  <si>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</si>
  <si>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</si>
  <si>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</si>
  <si>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</si>
  <si>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</si>
  <si>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</si>
  <si>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</si>
  <si>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</si>
  <si>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</si>
  <si>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</si>
  <si>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</si>
  <si>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</si>
  <si>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</si>
  <si>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</si>
  <si>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</si>
  <si>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</si>
  <si>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</si>
  <si>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</si>
  <si>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</si>
  <si>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</si>
  <si>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</si>
  <si>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</si>
  <si>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</si>
  <si>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</si>
  <si>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</si>
  <si>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</si>
  <si>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</si>
  <si>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</si>
  <si>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</si>
  <si>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</si>
  <si>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</si>
  <si>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</si>
  <si>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</si>
  <si>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</si>
  <si>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</si>
  <si>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</si>
  <si>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</si>
  <si>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</si>
  <si>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</si>
  <si>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</si>
  <si>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</si>
  <si>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</si>
  <si>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</si>
  <si>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</si>
  <si>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</si>
  <si>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</si>
  <si>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</si>
  <si>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</si>
  <si>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</si>
  <si>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</si>
  <si>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</si>
  <si>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</si>
  <si>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</si>
  <si>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</si>
  <si>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</si>
  <si>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</si>
  <si>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</si>
  <si>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</si>
  <si>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</si>
  <si>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</si>
  <si>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</si>
  <si>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</si>
  <si>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</si>
  <si>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</si>
  <si>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</si>
  <si>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</si>
  <si>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</si>
  <si>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</si>
  <si>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</si>
  <si>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</si>
  <si>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</si>
  <si>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</si>
  <si>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</si>
  <si>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</si>
  <si>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</si>
  <si>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</si>
  <si>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</si>
  <si>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</si>
  <si>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</si>
  <si>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</si>
  <si>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</si>
  <si>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</si>
  <si>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</si>
  <si>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</si>
  <si>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</si>
  <si>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</si>
  <si>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</si>
  <si>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</si>
  <si>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</si>
  <si>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</si>
  <si>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</si>
  <si>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</si>
  <si>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</si>
  <si>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</si>
  <si>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</si>
  <si>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</si>
  <si>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</si>
  <si>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</si>
  <si>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</si>
  <si>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</si>
  <si>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</si>
  <si>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</si>
  <si>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</si>
  <si>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</si>
  <si>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</si>
  <si>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</si>
  <si>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</si>
  <si>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</si>
  <si>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</si>
  <si>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</si>
  <si>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</si>
  <si>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</si>
  <si>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</si>
  <si>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</si>
  <si>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</si>
  <si>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</si>
  <si>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</si>
  <si>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</si>
  <si>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</si>
  <si>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</si>
  <si>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</si>
  <si>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</si>
  <si>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</si>
  <si>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</si>
  <si>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</si>
  <si>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</si>
  <si>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</si>
  <si>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</si>
  <si>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</si>
  <si>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</si>
  <si>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</si>
  <si>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</si>
  <si>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</si>
  <si>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</si>
  <si>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</si>
  <si>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</si>
  <si>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</si>
  <si>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</si>
  <si>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</si>
  <si>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</si>
  <si>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</si>
  <si>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</si>
  <si>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</si>
  <si>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</si>
  <si>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</si>
  <si>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</si>
  <si>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</si>
  <si>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</si>
  <si>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</si>
  <si>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</si>
  <si>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</si>
  <si>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</si>
  <si>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</si>
  <si>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</si>
  <si>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</si>
  <si>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</si>
  <si>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</si>
  <si>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</si>
  <si>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</si>
  <si>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</si>
  <si>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</si>
  <si>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</si>
  <si>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</si>
  <si>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</si>
  <si>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</si>
  <si>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</si>
  <si>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</si>
  <si>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</si>
  <si>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</si>
  <si>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</si>
  <si>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</si>
  <si>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</si>
  <si>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</si>
  <si>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</si>
  <si>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</si>
  <si>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</si>
  <si>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</si>
  <si>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</si>
  <si>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</si>
  <si>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</si>
  <si>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</si>
  <si>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</si>
  <si>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</si>
  <si>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</si>
  <si>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</si>
  <si>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</si>
  <si>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</si>
  <si>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</si>
  <si>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</si>
  <si>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</si>
  <si>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</si>
  <si>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</si>
  <si>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</si>
  <si>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</si>
  <si>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</si>
  <si>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</si>
  <si>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</si>
  <si>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</si>
  <si>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</si>
  <si>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</si>
  <si>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</si>
  <si>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</si>
  <si>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</si>
  <si>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</si>
  <si>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</si>
  <si>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</si>
  <si>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</si>
  <si>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</si>
  <si>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</si>
  <si>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</si>
  <si>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</si>
  <si>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</si>
  <si>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</si>
  <si>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</si>
  <si>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</si>
  <si>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</si>
  <si>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</si>
  <si>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</si>
  <si>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</si>
  <si>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</si>
  <si>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</si>
  <si>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</si>
  <si>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</si>
  <si>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</si>
  <si>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</si>
  <si>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</si>
  <si>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</si>
  <si>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</si>
  <si>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</si>
  <si>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</si>
  <si>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</si>
  <si>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</si>
  <si>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</si>
  <si>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</si>
  <si>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</si>
  <si>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</si>
  <si>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</si>
  <si>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</si>
  <si>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</si>
  <si>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</si>
  <si>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</si>
  <si>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</si>
  <si>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</si>
  <si>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</si>
  <si>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</si>
  <si>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</si>
  <si>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</si>
  <si>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</si>
  <si>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</si>
  <si>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</si>
  <si>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</si>
  <si>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</si>
  <si>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</si>
  <si>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</si>
  <si>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</si>
  <si>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</si>
  <si>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</si>
  <si>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</si>
  <si>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</si>
  <si>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</si>
  <si>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</si>
  <si>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</si>
  <si>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</si>
  <si>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</si>
  <si>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</si>
  <si>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</si>
  <si>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</si>
  <si>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</si>
  <si>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</si>
  <si>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</si>
  <si>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</si>
  <si>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</si>
  <si>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</si>
  <si>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</si>
  <si>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</si>
  <si>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</si>
  <si>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</si>
  <si>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</si>
  <si>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</si>
  <si>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</si>
  <si>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</si>
  <si>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</si>
  <si>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</si>
  <si>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</si>
  <si>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</si>
  <si>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</si>
  <si>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</si>
  <si>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</si>
  <si>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</si>
  <si>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</si>
  <si>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</si>
  <si>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</si>
  <si>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</si>
  <si>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</si>
  <si>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</si>
  <si>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</si>
  <si>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</si>
  <si>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</si>
  <si>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</si>
  <si>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</si>
  <si>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</si>
  <si>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</si>
  <si>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</si>
  <si>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</si>
  <si>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</si>
  <si>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</si>
  <si>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</si>
  <si>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</si>
  <si>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</si>
  <si>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</si>
  <si>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</si>
  <si>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</si>
  <si>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</si>
  <si>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</si>
  <si>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</si>
  <si>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</si>
  <si>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</si>
  <si>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</si>
  <si>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</si>
  <si>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</si>
  <si>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</si>
  <si>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</si>
  <si>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</si>
  <si>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</si>
  <si>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</si>
  <si>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</si>
  <si>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</si>
  <si>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</si>
  <si>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</si>
  <si>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</si>
  <si>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</si>
  <si>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</si>
  <si>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</si>
  <si>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</si>
  <si>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</si>
  <si>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</si>
  <si>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</si>
  <si>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</si>
  <si>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</si>
  <si>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</si>
  <si>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</si>
  <si>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</si>
  <si>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</si>
  <si>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</si>
  <si>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</si>
  <si>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</si>
  <si>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</si>
  <si>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</si>
  <si>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</si>
  <si>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</si>
  <si>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</si>
  <si>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</si>
  <si>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</si>
  <si>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</si>
  <si>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</si>
  <si>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</si>
  <si>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</si>
  <si>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</si>
  <si>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</si>
  <si>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</si>
  <si>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</si>
  <si>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</si>
  <si>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</si>
  <si>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</si>
  <si>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</si>
  <si>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</si>
  <si>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</si>
  <si>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</si>
  <si>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</si>
  <si>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</si>
  <si>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</si>
  <si>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</si>
  <si>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</si>
  <si>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</si>
  <si>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</si>
  <si>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</si>
  <si>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</si>
  <si>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</si>
  <si>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</si>
  <si>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</si>
  <si>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</si>
  <si>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</si>
  <si>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</si>
  <si>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</si>
  <si>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</si>
  <si>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</si>
  <si>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</si>
  <si>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</si>
  <si>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</si>
  <si>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</si>
  <si>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</si>
  <si>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</si>
  <si>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</si>
  <si>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</si>
  <si>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</si>
  <si>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</si>
  <si>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</si>
  <si>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</si>
  <si>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</si>
  <si>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</si>
  <si>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</si>
  <si>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</si>
  <si>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</si>
  <si>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</si>
  <si>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</si>
  <si>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</si>
  <si>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</si>
  <si>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</si>
  <si>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</si>
  <si>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</si>
  <si>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</si>
  <si>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</si>
  <si>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</si>
  <si>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</si>
  <si>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</si>
  <si>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</si>
  <si>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</si>
  <si>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</si>
  <si>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</si>
  <si>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</si>
  <si>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</si>
  <si>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</si>
  <si>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</si>
  <si>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</si>
  <si>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</si>
  <si>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</si>
  <si>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</si>
  <si>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</si>
  <si>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</si>
  <si>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</si>
  <si>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</si>
  <si>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</si>
  <si>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</si>
  <si>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</si>
  <si>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</si>
  <si>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</si>
  <si>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</si>
  <si>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</si>
  <si>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</si>
  <si>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</si>
  <si>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</si>
  <si>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</si>
  <si>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</si>
  <si>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</si>
  <si>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</si>
  <si>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</si>
  <si>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</si>
  <si>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</si>
  <si>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</si>
  <si>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</si>
  <si>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</si>
  <si>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</si>
  <si>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</si>
  <si>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</si>
  <si>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</si>
  <si>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</si>
  <si>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</si>
  <si>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</si>
  <si>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</si>
  <si>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</si>
  <si>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</si>
  <si>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</si>
  <si>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</si>
  <si>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</si>
  <si>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</si>
  <si>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</si>
  <si>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</si>
  <si>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</si>
  <si>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</si>
  <si>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</si>
  <si>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</si>
  <si>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</si>
  <si>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</si>
  <si>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</si>
  <si>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</si>
  <si>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</si>
  <si>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</si>
  <si>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</si>
  <si>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</si>
  <si>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</si>
  <si>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</si>
  <si>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</si>
  <si>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</si>
  <si>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</si>
  <si>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</si>
  <si>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</si>
  <si>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</si>
  <si>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</si>
  <si>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</si>
  <si>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</si>
  <si>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</si>
  <si>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</si>
  <si>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</si>
  <si>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</si>
  <si>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</si>
  <si>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</si>
  <si>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</si>
  <si>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</si>
  <si>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</si>
  <si>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</si>
  <si>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</si>
  <si>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</si>
  <si>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</si>
  <si>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</si>
  <si>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</si>
  <si>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</si>
  <si>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</si>
  <si>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</si>
  <si>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</si>
  <si>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</si>
  <si>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</si>
  <si>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</si>
  <si>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</si>
  <si>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</si>
  <si>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</si>
  <si>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</si>
  <si>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</si>
  <si>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</si>
  <si>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</si>
  <si>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</si>
  <si>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</si>
  <si>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</si>
  <si>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</si>
  <si>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</si>
  <si>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</si>
  <si>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</si>
  <si>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</si>
  <si>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</si>
  <si>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</si>
  <si>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</si>
  <si>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</si>
  <si>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</si>
  <si>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</si>
  <si>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</si>
  <si>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</si>
  <si>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</si>
  <si>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</si>
  <si>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</si>
  <si>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</si>
  <si>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</si>
  <si>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</si>
  <si>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</si>
  <si>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</si>
  <si>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</si>
  <si>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</si>
  <si>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</si>
  <si>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</si>
  <si>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</si>
  <si>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</si>
  <si>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</si>
  <si>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</si>
  <si>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</si>
  <si>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</si>
  <si>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</si>
  <si>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</si>
  <si>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</si>
  <si>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</si>
  <si>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</si>
  <si>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</si>
  <si>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</si>
  <si>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</si>
  <si>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</si>
  <si>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</si>
  <si>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</si>
  <si>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</si>
  <si>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</si>
  <si>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</si>
  <si>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</si>
  <si>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</si>
  <si>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</si>
  <si>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</si>
  <si>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</si>
  <si>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</si>
  <si>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</si>
  <si>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</si>
  <si>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</si>
  <si>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</si>
  <si>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</si>
  <si>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</si>
  <si>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</si>
  <si>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</si>
  <si>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</si>
  <si>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</si>
  <si>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</si>
  <si>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</si>
  <si>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</si>
  <si>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</si>
  <si>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</si>
  <si>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</si>
  <si>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</si>
  <si>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</si>
  <si>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</si>
  <si>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</si>
  <si>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</si>
  <si>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</si>
  <si>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</si>
  <si>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</si>
  <si>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</si>
  <si>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</si>
  <si>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</si>
  <si>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</si>
  <si>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</si>
  <si>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</si>
  <si>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</si>
  <si>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</si>
  <si>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</si>
  <si>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</si>
  <si>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</si>
  <si>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</si>
  <si>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</si>
  <si>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</si>
  <si>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</si>
  <si>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</si>
  <si>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</si>
  <si>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</si>
  <si>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</si>
  <si>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</si>
  <si>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</si>
  <si>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</si>
  <si>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</si>
  <si>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</si>
  <si>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</si>
  <si>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</si>
  <si>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</si>
  <si>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</si>
  <si>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</si>
  <si>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</si>
  <si>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</si>
  <si>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</si>
  <si>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</si>
  <si>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</si>
  <si>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</si>
  <si>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</si>
  <si>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</si>
  <si>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</si>
  <si>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</si>
  <si>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</si>
  <si>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</si>
  <si>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</si>
  <si>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</si>
  <si>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</si>
  <si>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</si>
  <si>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</si>
  <si>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</si>
  <si>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</si>
  <si>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</si>
  <si>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</si>
  <si>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</si>
  <si>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</si>
  <si>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</si>
  <si>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</si>
  <si>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</si>
  <si>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</si>
  <si>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</si>
  <si>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</si>
  <si>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</si>
  <si>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</si>
  <si>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</si>
  <si>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</si>
  <si>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</si>
  <si>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</si>
  <si>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</si>
  <si>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</si>
  <si>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</si>
  <si>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</si>
  <si>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</si>
  <si>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</si>
  <si>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</si>
  <si>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</si>
  <si>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</si>
  <si>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</si>
  <si>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</si>
  <si>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</si>
  <si>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</si>
  <si>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</si>
  <si>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</si>
  <si>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</si>
  <si>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</si>
  <si>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</si>
  <si>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</si>
  <si>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</si>
  <si>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</si>
  <si>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</si>
  <si>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</si>
  <si>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</si>
  <si>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</si>
  <si>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</si>
  <si>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</si>
  <si>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</si>
  <si>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</si>
  <si>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</si>
  <si>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</si>
  <si>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</si>
  <si>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</si>
  <si>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</si>
  <si>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</si>
  <si>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</si>
  <si>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</si>
  <si>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</si>
  <si>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</si>
  <si>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</si>
  <si>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</si>
  <si>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</si>
  <si>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</si>
  <si>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</si>
  <si>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</si>
  <si>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</si>
  <si>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</si>
  <si>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</si>
  <si>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</si>
  <si>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</si>
  <si>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</si>
  <si>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</si>
  <si>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</si>
  <si>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</si>
  <si>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</si>
  <si>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</si>
  <si>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</si>
  <si>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</si>
  <si>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</si>
  <si>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</si>
  <si>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</si>
  <si>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</si>
  <si>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</si>
  <si>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</si>
  <si>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</si>
  <si>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</si>
  <si>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</si>
  <si>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</si>
  <si>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</si>
  <si>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</si>
  <si>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</si>
  <si>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</si>
  <si>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</si>
  <si>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</si>
  <si>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</si>
  <si>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</si>
  <si>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</si>
  <si>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</si>
  <si>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</si>
  <si>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</si>
  <si>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</si>
  <si>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</si>
  <si>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</si>
  <si>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</si>
  <si>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</si>
  <si>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</si>
  <si>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</si>
  <si>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</si>
  <si>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</si>
  <si>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</si>
  <si>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</si>
  <si>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</si>
  <si>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</si>
  <si>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</si>
  <si>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</si>
  <si>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</si>
  <si>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</si>
  <si>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</si>
  <si>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</si>
  <si>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</si>
  <si>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</si>
  <si>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</si>
  <si>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</si>
  <si>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</si>
  <si>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</si>
  <si>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</si>
  <si>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</si>
  <si>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</si>
  <si>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</si>
  <si>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</si>
  <si>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</si>
  <si>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</si>
  <si>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</si>
  <si>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</si>
  <si>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</si>
  <si>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</si>
  <si>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</si>
  <si>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</si>
  <si>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</si>
  <si>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</si>
  <si>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</si>
  <si>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</si>
  <si>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</si>
  <si>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</si>
  <si>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</si>
  <si>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</si>
  <si>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</si>
  <si>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</si>
  <si>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</si>
  <si>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</si>
  <si>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</si>
  <si>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</si>
  <si>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</si>
  <si>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</si>
  <si>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</si>
  <si>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</si>
  <si>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</si>
  <si>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</si>
  <si>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</si>
  <si>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</si>
  <si>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</si>
  <si>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</si>
  <si>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</si>
  <si>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</si>
  <si>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</si>
  <si>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</si>
  <si>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</si>
  <si>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</si>
  <si>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</si>
  <si>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</si>
  <si>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</si>
  <si>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</si>
  <si>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</si>
  <si>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</si>
  <si>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</si>
  <si>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</si>
  <si>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</si>
  <si>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</si>
  <si>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</si>
  <si>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</si>
  <si>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</si>
  <si>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</si>
  <si>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</si>
  <si>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</si>
  <si>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</si>
  <si>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</si>
  <si>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</si>
  <si>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</si>
  <si>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</si>
  <si>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</si>
  <si>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</si>
  <si>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</si>
  <si>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</si>
  <si>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</si>
  <si>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</si>
  <si>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</si>
  <si>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</si>
  <si>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</si>
  <si>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</si>
  <si>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</si>
  <si>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</si>
  <si>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</si>
  <si>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</si>
  <si>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</si>
  <si>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</si>
  <si>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</si>
  <si>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</si>
  <si>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</si>
  <si>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</si>
  <si>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</si>
  <si>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</si>
  <si>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</si>
  <si>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</si>
  <si>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</si>
  <si>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</si>
  <si>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</si>
  <si>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</si>
  <si>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</si>
  <si>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</si>
  <si>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</si>
  <si>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</si>
  <si>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</si>
  <si>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</si>
  <si>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</si>
  <si>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</si>
  <si>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</si>
  <si>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</si>
  <si>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</si>
  <si>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</si>
  <si>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</si>
  <si>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</si>
  <si>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</si>
  <si>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</si>
  <si>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</si>
  <si>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</si>
  <si>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</si>
  <si>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</si>
  <si>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</si>
  <si>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</si>
  <si>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</si>
  <si>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</si>
  <si>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</si>
  <si>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</si>
  <si>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</si>
  <si>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</si>
  <si>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</si>
  <si>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</si>
  <si>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</si>
  <si>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</si>
  <si>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</si>
  <si>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</si>
  <si>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</si>
  <si>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</si>
  <si>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</si>
  <si>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</si>
  <si>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</si>
  <si>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</si>
  <si>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</si>
  <si>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</si>
  <si>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</si>
  <si>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</si>
  <si>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</si>
  <si>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</si>
  <si>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</si>
  <si>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</si>
  <si>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</si>
  <si>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</si>
  <si>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</si>
  <si>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</si>
  <si>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</si>
  <si>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</si>
  <si>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</si>
  <si>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</si>
  <si>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</si>
  <si>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</si>
  <si>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</si>
  <si>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</si>
  <si>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</si>
  <si>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</si>
  <si>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</si>
  <si>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</si>
  <si>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</si>
  <si>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</si>
  <si>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</si>
  <si>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</si>
  <si>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</si>
  <si>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</si>
  <si>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</si>
  <si>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</si>
  <si>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</si>
  <si>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</si>
  <si>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</si>
  <si>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</si>
  <si>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</si>
  <si>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</si>
  <si>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</si>
  <si>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</si>
  <si>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</si>
  <si>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</si>
  <si>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</si>
  <si>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</si>
  <si>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</si>
  <si>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</si>
  <si>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</si>
  <si>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</si>
  <si>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</si>
  <si>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</si>
  <si>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</si>
  <si>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</si>
  <si>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</si>
  <si>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</si>
  <si>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</si>
  <si>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</si>
  <si>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</si>
  <si>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</si>
  <si>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</si>
  <si>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</si>
  <si>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</si>
  <si>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</si>
  <si>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</si>
  <si>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</si>
  <si>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</si>
  <si>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</si>
  <si>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</si>
  <si>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</si>
  <si>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</si>
  <si>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</si>
  <si>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</si>
  <si>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</si>
  <si>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</si>
  <si>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</si>
  <si>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</si>
  <si>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</si>
  <si>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</si>
  <si>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</si>
  <si>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</si>
  <si>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</si>
  <si>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</si>
  <si>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</si>
  <si>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</si>
  <si>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</si>
  <si>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</si>
  <si>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</si>
  <si>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</si>
  <si>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</si>
  <si>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</si>
  <si>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</si>
  <si>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</si>
  <si>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</si>
  <si>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</si>
  <si>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</si>
  <si>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</si>
  <si>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</si>
  <si>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</si>
  <si>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</si>
  <si>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</si>
  <si>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</si>
  <si>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</si>
  <si>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</si>
  <si>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</si>
  <si>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</si>
  <si>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</si>
  <si>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</si>
  <si>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</si>
  <si>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</si>
  <si>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</si>
  <si>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</si>
  <si>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</si>
  <si>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</si>
  <si>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</si>
  <si>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</si>
  <si>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</si>
  <si>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</si>
  <si>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</si>
  <si>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</si>
  <si>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</si>
  <si>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</si>
  <si>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</si>
  <si>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</si>
  <si>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</si>
  <si>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</si>
  <si>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</si>
  <si>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</si>
  <si>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</si>
  <si>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</si>
  <si>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</si>
  <si>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</si>
  <si>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</si>
  <si>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</si>
  <si>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</si>
  <si>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</si>
  <si>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</si>
  <si>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</si>
  <si>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</si>
  <si>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</si>
  <si>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</si>
  <si>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</si>
  <si>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</si>
  <si>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</si>
  <si>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</si>
  <si>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</si>
  <si>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</si>
  <si>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</si>
  <si>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</si>
  <si>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</si>
  <si>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</si>
  <si>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</si>
  <si>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</si>
  <si>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</si>
  <si>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</si>
  <si>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</si>
  <si>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</si>
  <si>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</si>
  <si>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</si>
  <si>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</si>
  <si>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</si>
  <si>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</si>
  <si>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</si>
  <si>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</si>
  <si>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</si>
  <si>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</si>
  <si>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</si>
  <si>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</si>
  <si>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</si>
  <si>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</si>
  <si>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</si>
  <si>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</si>
  <si>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</si>
  <si>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</si>
  <si>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</si>
  <si>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</si>
  <si>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</si>
  <si>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</si>
  <si>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</si>
  <si>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</si>
  <si>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</si>
  <si>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</si>
  <si>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</si>
  <si>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</si>
  <si>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</si>
  <si>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</si>
  <si>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</si>
  <si>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</si>
  <si>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</si>
  <si>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</si>
  <si>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</si>
  <si>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</si>
  <si>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</si>
  <si>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</si>
  <si>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</si>
  <si>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</si>
  <si>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</si>
  <si>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</si>
  <si>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</si>
  <si>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</si>
  <si>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</si>
  <si>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</si>
  <si>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</si>
  <si>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</si>
  <si>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</si>
  <si>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</si>
  <si>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</si>
  <si>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</si>
  <si>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</si>
  <si>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</si>
  <si>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</si>
  <si>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</si>
  <si>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</si>
  <si>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</si>
  <si>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</si>
  <si>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</si>
  <si>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</si>
  <si>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</si>
  <si>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</si>
  <si>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</si>
  <si>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</si>
  <si>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</si>
  <si>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</si>
  <si>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</si>
  <si>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</si>
  <si>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</si>
  <si>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</si>
  <si>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</si>
  <si>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</si>
  <si>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</si>
  <si>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</si>
  <si>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</si>
  <si>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</si>
  <si>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</si>
  <si>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</si>
  <si>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</si>
  <si>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</si>
  <si>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</si>
  <si>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</si>
  <si>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</si>
  <si>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</si>
  <si>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</si>
  <si>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</si>
  <si>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</si>
  <si>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</si>
  <si>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</si>
  <si>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</si>
  <si>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</si>
  <si>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</si>
  <si>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</si>
  <si>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</si>
  <si>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</si>
  <si>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</si>
  <si>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</si>
  <si>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</si>
  <si>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</si>
  <si>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</si>
  <si>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</si>
  <si>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</si>
  <si>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</si>
  <si>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</si>
  <si>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</si>
  <si>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</si>
  <si>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</si>
  <si>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</si>
  <si>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</si>
  <si>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</si>
  <si>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</si>
  <si>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</si>
  <si>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</si>
  <si>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</si>
  <si>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</si>
  <si>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</si>
  <si>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</si>
  <si>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</si>
  <si>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</si>
  <si>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</si>
  <si>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</si>
  <si>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</si>
  <si>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</si>
  <si>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</si>
  <si>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</si>
  <si>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</si>
  <si>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</si>
  <si>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</si>
  <si>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</si>
  <si>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</si>
  <si>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</si>
  <si>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</si>
  <si>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</si>
  <si>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</si>
  <si>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</si>
  <si>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</si>
  <si>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</si>
  <si>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</si>
  <si>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</si>
  <si>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</si>
  <si>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</si>
  <si>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</si>
  <si>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</si>
  <si>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</si>
  <si>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</si>
  <si>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</si>
  <si>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</si>
  <si>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</si>
  <si>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</si>
  <si>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</si>
  <si>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</si>
  <si>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</si>
  <si>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</si>
  <si>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</si>
  <si>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</si>
  <si>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</si>
  <si>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</si>
  <si>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</si>
  <si>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</si>
  <si>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</si>
  <si>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</si>
  <si>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</si>
  <si>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</si>
  <si>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</si>
  <si>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</si>
  <si>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</si>
  <si>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</si>
  <si>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</si>
  <si>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</si>
  <si>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</si>
  <si>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</si>
  <si>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</si>
  <si>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</si>
  <si>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</si>
  <si>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</si>
  <si>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</si>
  <si>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</si>
  <si>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</si>
  <si>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</si>
  <si>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</si>
  <si>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</si>
  <si>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</si>
  <si>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</si>
  <si>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</si>
  <si>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</si>
  <si>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</si>
  <si>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</si>
  <si>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</si>
  <si>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</si>
  <si>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</si>
  <si>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</si>
  <si>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</si>
  <si>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</si>
  <si>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</si>
  <si>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</si>
  <si>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</si>
  <si>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</si>
  <si>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</si>
  <si>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</si>
  <si>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</si>
  <si>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</si>
  <si>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</si>
  <si>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</si>
  <si>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</si>
  <si>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</si>
  <si>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</si>
  <si>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</si>
  <si>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</si>
  <si>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</si>
  <si>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</si>
  <si>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</si>
  <si>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</si>
  <si>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</si>
  <si>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</si>
  <si>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</si>
  <si>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</si>
  <si>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</si>
  <si>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</si>
  <si>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</si>
  <si>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</si>
  <si>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</si>
  <si>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</si>
  <si>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</si>
  <si>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</si>
  <si>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</si>
  <si>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</si>
  <si>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</si>
  <si>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</si>
  <si>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</si>
  <si>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</si>
  <si>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</si>
  <si>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</si>
  <si>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</si>
  <si>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</si>
  <si>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</si>
  <si>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</si>
  <si>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</si>
  <si>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</si>
  <si>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</si>
  <si>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</si>
  <si>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</si>
  <si>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</si>
  <si>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</si>
  <si>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</si>
  <si>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</si>
  <si>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</si>
  <si>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</si>
  <si>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</si>
  <si>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</si>
  <si>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</si>
  <si>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</si>
  <si>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</si>
  <si>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</si>
  <si>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</si>
  <si>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</si>
  <si>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</si>
  <si>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</si>
  <si>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</si>
  <si>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</si>
  <si>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</si>
  <si>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</si>
  <si>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</si>
  <si>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</si>
  <si>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</si>
  <si>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</si>
  <si>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</si>
  <si>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</si>
  <si>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</si>
  <si>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</si>
  <si>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</si>
  <si>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</si>
  <si>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</si>
  <si>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</si>
  <si>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</si>
  <si>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</si>
  <si>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</si>
  <si>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</si>
  <si>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</si>
  <si>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</si>
  <si>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</si>
  <si>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</si>
  <si>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</si>
  <si>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</si>
  <si>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</si>
  <si>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</si>
  <si>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</si>
  <si>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</si>
  <si>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</si>
  <si>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</si>
  <si>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</si>
  <si>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</si>
  <si>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</si>
  <si>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</si>
  <si>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</si>
  <si>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</si>
  <si>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</si>
  <si>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</si>
  <si>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</si>
  <si>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</si>
  <si>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</si>
  <si>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</si>
  <si>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</si>
  <si>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</si>
  <si>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</si>
  <si>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</si>
  <si>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</si>
  <si>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</si>
  <si>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</si>
  <si>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</si>
  <si>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</si>
  <si>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</si>
  <si>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</si>
  <si>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</si>
  <si>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</si>
  <si>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</si>
  <si>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</si>
  <si>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</si>
  <si>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</si>
  <si>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</si>
  <si>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</si>
  <si>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</si>
  <si>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</si>
  <si>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</si>
  <si>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</si>
  <si>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</si>
  <si>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</si>
  <si>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</si>
  <si>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</si>
  <si>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</si>
  <si>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</si>
  <si>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</si>
  <si>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</si>
  <si>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</si>
  <si>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</si>
  <si>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</si>
  <si>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</si>
  <si>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</si>
  <si>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</si>
  <si>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</si>
  <si>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</si>
  <si>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</si>
  <si>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</si>
  <si>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</si>
  <si>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</si>
  <si>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</si>
  <si>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</si>
  <si>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</si>
  <si>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</si>
  <si>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</si>
  <si>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</si>
  <si>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</si>
  <si>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</si>
  <si>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</si>
  <si>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</si>
  <si>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</si>
  <si>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</si>
  <si>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</si>
  <si>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</si>
  <si>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</si>
  <si>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</si>
  <si>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</si>
  <si>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</si>
  <si>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</si>
  <si>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</si>
  <si>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</si>
  <si>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</si>
  <si>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</si>
  <si>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</si>
  <si>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</si>
  <si>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</si>
  <si>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</si>
  <si>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</si>
  <si>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</si>
  <si>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</si>
  <si>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</si>
  <si>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</si>
  <si>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</si>
  <si>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</si>
  <si>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</si>
  <si>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</si>
  <si>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</si>
  <si>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</si>
  <si>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</si>
  <si>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</si>
  <si>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</si>
  <si>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</si>
  <si>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</si>
  <si>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</si>
  <si>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</si>
  <si>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</si>
  <si>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</si>
  <si>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</si>
  <si>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</si>
  <si>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</si>
  <si>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</si>
  <si>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</si>
  <si>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</si>
  <si>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</si>
  <si>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</si>
  <si>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</si>
  <si>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</si>
  <si>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</si>
  <si>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</si>
  <si>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</si>
  <si>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</si>
  <si>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</si>
  <si>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</si>
  <si>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</si>
  <si>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</si>
  <si>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</si>
  <si>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</si>
  <si>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</si>
  <si>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</si>
  <si>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</si>
  <si>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</si>
  <si>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</si>
  <si>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</si>
  <si>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</si>
  <si>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</si>
  <si>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</si>
  <si>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</si>
  <si>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</si>
  <si>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</si>
  <si>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</si>
  <si>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</si>
  <si>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</si>
  <si>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</si>
  <si>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</si>
  <si>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</si>
  <si>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</si>
  <si>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</si>
  <si>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</si>
  <si>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</si>
  <si>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</si>
  <si>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</si>
  <si>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</si>
  <si>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</si>
  <si>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</si>
  <si>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</si>
  <si>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</si>
  <si>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</si>
  <si>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</si>
  <si>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</si>
  <si>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</si>
  <si>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</si>
  <si>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</si>
  <si>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</si>
  <si>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</si>
  <si>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</si>
  <si>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</si>
  <si>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</si>
  <si>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</si>
  <si>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</si>
  <si>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</si>
  <si>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</si>
  <si>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</si>
  <si>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</si>
  <si>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</si>
  <si>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</si>
  <si>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</si>
  <si>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</si>
  <si>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</si>
  <si>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</si>
  <si>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</si>
  <si>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</si>
  <si>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</si>
  <si>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</si>
  <si>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</si>
  <si>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</si>
  <si>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</si>
  <si>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</si>
  <si>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</si>
  <si>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</si>
  <si>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</si>
  <si>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</si>
  <si>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</si>
  <si>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</si>
  <si>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</si>
  <si>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</si>
  <si>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</si>
  <si>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</si>
  <si>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</si>
  <si>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</si>
  <si>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</si>
  <si>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</si>
  <si>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</si>
  <si>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</si>
  <si>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</si>
  <si>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</si>
  <si>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</si>
  <si>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</si>
  <si>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</si>
  <si>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</si>
  <si>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</si>
  <si>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</si>
  <si>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</si>
  <si>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</si>
  <si>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</si>
  <si>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</si>
  <si>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</si>
  <si>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</si>
  <si>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</si>
  <si>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</si>
  <si>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</si>
  <si>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</si>
  <si>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</si>
  <si>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</si>
  <si>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</si>
  <si>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</si>
  <si>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</si>
  <si>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</si>
  <si>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</si>
  <si>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</si>
  <si>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</si>
  <si>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</si>
  <si>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</si>
  <si>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</si>
  <si>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</si>
  <si>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</si>
  <si>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</si>
  <si>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</si>
  <si>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</si>
  <si>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</si>
  <si>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</si>
  <si>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</si>
  <si>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</si>
  <si>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</si>
  <si>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</si>
  <si>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</si>
  <si>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</si>
  <si>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</si>
  <si>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</si>
  <si>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</si>
  <si>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</si>
  <si>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</si>
  <si>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</si>
  <si>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</si>
  <si>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</si>
  <si>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</si>
  <si>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</si>
  <si>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</si>
  <si>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</si>
  <si>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</si>
  <si>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</si>
  <si>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</si>
  <si>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</si>
  <si>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</si>
  <si>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</si>
  <si>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</si>
  <si>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</si>
  <si>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</si>
  <si>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</si>
  <si>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</si>
  <si>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</si>
  <si>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</si>
  <si>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</si>
  <si>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</si>
  <si>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</si>
  <si>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</si>
  <si>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</si>
  <si>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</si>
  <si>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</si>
  <si>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</si>
  <si>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</si>
  <si>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</si>
  <si>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</si>
  <si>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</si>
  <si>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</si>
  <si>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</si>
  <si>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</si>
  <si>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</si>
  <si>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</si>
  <si>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</si>
  <si>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</si>
  <si>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</si>
  <si>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</si>
  <si>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</si>
  <si>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</si>
  <si>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</si>
  <si>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</si>
  <si>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</si>
  <si>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</si>
  <si>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</si>
  <si>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</si>
  <si>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</si>
  <si>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</si>
  <si>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</si>
  <si>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</si>
  <si>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</si>
  <si>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</si>
  <si>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</si>
  <si>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</si>
  <si>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</si>
  <si>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</si>
  <si>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</si>
  <si>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</si>
  <si>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</si>
  <si>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</si>
  <si>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</si>
  <si>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</si>
  <si>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</si>
  <si>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</si>
  <si>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</si>
  <si>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</si>
  <si>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</si>
  <si>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</si>
  <si>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</si>
  <si>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</si>
  <si>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</si>
  <si>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</si>
  <si>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</si>
  <si>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</si>
  <si>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</si>
  <si>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</si>
  <si>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</si>
  <si>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</si>
  <si>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</si>
  <si>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</si>
  <si>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</si>
  <si>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</si>
  <si>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</si>
  <si>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</si>
  <si>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</si>
  <si>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</si>
  <si>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</si>
  <si>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</si>
  <si>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</si>
  <si>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</si>
  <si>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</si>
  <si>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</si>
  <si>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</si>
  <si>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</si>
  <si>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</si>
  <si>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</si>
  <si>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</si>
  <si>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</si>
  <si>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</si>
  <si>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</si>
  <si>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</si>
  <si>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</si>
  <si>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</si>
  <si>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</si>
  <si>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</si>
  <si>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</si>
  <si>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</si>
  <si>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</si>
  <si>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</si>
  <si>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</si>
  <si>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</si>
  <si>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</si>
  <si>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</si>
  <si>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</si>
  <si>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</si>
  <si>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</si>
  <si>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</si>
  <si>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</si>
  <si>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</si>
  <si>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</si>
  <si>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</si>
  <si>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</si>
  <si>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</si>
  <si>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</si>
  <si>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</si>
  <si>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</si>
  <si>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</si>
  <si>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</si>
  <si>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</si>
  <si>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</si>
  <si>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</si>
  <si>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</si>
  <si>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</si>
  <si>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</si>
  <si>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</si>
  <si>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</si>
  <si>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</si>
  <si>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</si>
  <si>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</si>
  <si>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</si>
  <si>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</si>
  <si>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</si>
  <si>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</si>
  <si>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</si>
  <si>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</si>
  <si>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</si>
  <si>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</si>
  <si>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</si>
  <si>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</si>
  <si>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</si>
  <si>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</si>
  <si>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</si>
  <si>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</si>
  <si>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</si>
  <si>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</si>
  <si>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</si>
  <si>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</si>
  <si>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</si>
  <si>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</si>
  <si>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</si>
  <si>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</si>
  <si>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</si>
  <si>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</si>
  <si>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</si>
  <si>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</si>
  <si>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</si>
  <si>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</si>
  <si>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</si>
  <si>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</si>
  <si>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</si>
  <si>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</si>
  <si>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</si>
  <si>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</si>
  <si>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</si>
  <si>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</si>
  <si>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</si>
  <si>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</si>
  <si>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</si>
  <si>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</si>
  <si>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</si>
  <si>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</si>
  <si>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</si>
  <si>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</si>
  <si>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</si>
  <si>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</si>
  <si>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</si>
  <si>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</si>
  <si>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</si>
  <si>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</si>
  <si>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</si>
  <si>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</si>
  <si>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</si>
  <si>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</si>
  <si>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</si>
  <si>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</si>
  <si>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</si>
  <si>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</si>
  <si>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</si>
  <si>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</si>
  <si>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</si>
  <si>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</si>
  <si>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</si>
  <si>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</si>
  <si>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</si>
  <si>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</si>
  <si>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</si>
  <si>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</si>
  <si>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</si>
  <si>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</si>
  <si>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</si>
  <si>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</si>
  <si>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</si>
  <si>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</si>
  <si>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</si>
  <si>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</si>
  <si>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</si>
  <si>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</si>
  <si>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</si>
  <si>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</si>
  <si>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</si>
  <si>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</si>
  <si>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</si>
  <si>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</si>
  <si>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</si>
  <si>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</si>
  <si>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</si>
  <si>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</si>
  <si>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</si>
  <si>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</si>
  <si>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</si>
  <si>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</si>
  <si>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</si>
  <si>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</si>
  <si>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</si>
  <si>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</si>
  <si>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</si>
  <si>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</si>
  <si>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</si>
  <si>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</si>
  <si>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</si>
  <si>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</si>
  <si>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</si>
  <si>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</si>
  <si>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</si>
  <si>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</si>
  <si>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</si>
  <si>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</si>
  <si>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</si>
  <si>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</si>
  <si>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</si>
  <si>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</si>
  <si>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</si>
  <si>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</si>
  <si>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</si>
  <si>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</si>
  <si>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</si>
  <si>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</si>
  <si>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</si>
  <si>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</si>
  <si>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</si>
  <si>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</si>
  <si>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</si>
  <si>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</si>
  <si>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</si>
  <si>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</si>
  <si>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</si>
  <si>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</si>
  <si>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</si>
  <si>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</si>
  <si>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</si>
  <si>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</si>
  <si>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</si>
  <si>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</si>
  <si>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</si>
  <si>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</si>
  <si>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</si>
  <si>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</si>
  <si>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</si>
  <si>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</si>
  <si>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</si>
  <si>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</si>
  <si>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</si>
  <si>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</si>
  <si>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</si>
  <si>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</si>
  <si>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</si>
  <si>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</si>
  <si>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</si>
  <si>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</si>
  <si>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</si>
  <si>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</si>
  <si>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</si>
  <si>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</si>
  <si>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</si>
  <si>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</si>
  <si>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</si>
  <si>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</si>
  <si>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</si>
  <si>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</si>
  <si>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</si>
  <si>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</si>
  <si>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</si>
  <si>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</si>
  <si>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</si>
  <si>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</si>
  <si>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</si>
  <si>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</si>
  <si>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</si>
  <si>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</si>
  <si>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</si>
  <si>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</si>
  <si>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</si>
  <si>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</si>
  <si>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</si>
  <si>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</si>
  <si>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</si>
  <si>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</si>
  <si>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</si>
  <si>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</si>
  <si>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</si>
  <si>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</si>
  <si>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</si>
  <si>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</si>
  <si>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</si>
  <si>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</si>
  <si>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</si>
  <si>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</si>
  <si>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</si>
  <si>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</si>
  <si>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</si>
  <si>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</si>
  <si>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</si>
  <si>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</si>
  <si>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</si>
  <si>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</si>
  <si>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</si>
  <si>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</si>
  <si>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</si>
  <si>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</si>
  <si>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</si>
  <si>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</si>
  <si>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</si>
  <si>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</si>
  <si>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</si>
  <si>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</si>
  <si>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</si>
  <si>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</si>
  <si>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</si>
  <si>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</si>
  <si>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</si>
  <si>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</si>
  <si>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</si>
  <si>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</si>
  <si>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</si>
  <si>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</si>
  <si>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</si>
  <si>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</si>
  <si>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</si>
  <si>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</si>
  <si>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</si>
  <si>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</si>
  <si>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</si>
  <si>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</si>
  <si>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</si>
  <si>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</si>
  <si>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</si>
  <si>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</si>
  <si>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</si>
  <si>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</si>
  <si>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</si>
  <si>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</si>
  <si>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</si>
  <si>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</si>
  <si>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</si>
  <si>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</si>
  <si>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</si>
  <si>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</si>
  <si>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</si>
  <si>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</si>
  <si>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</si>
  <si>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</si>
  <si>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</si>
  <si>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</si>
  <si>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</si>
  <si>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</si>
  <si>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</si>
  <si>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</si>
  <si>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</si>
  <si>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</si>
  <si>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</si>
  <si>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</si>
  <si>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</si>
  <si>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</si>
  <si>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</si>
  <si>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</si>
  <si>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</si>
  <si>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</si>
  <si>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</si>
  <si>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</si>
  <si>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</si>
  <si>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</si>
  <si>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</si>
  <si>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</si>
  <si>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</si>
  <si>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</si>
  <si>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</si>
  <si>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</si>
  <si>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</si>
  <si>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</si>
  <si>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</si>
  <si>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</si>
  <si>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</si>
  <si>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</si>
  <si>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</si>
  <si>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</si>
  <si>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</si>
  <si>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</si>
  <si>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</si>
  <si>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</si>
  <si>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</si>
  <si>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</si>
  <si>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</si>
  <si>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</si>
  <si>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</si>
  <si>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</si>
  <si>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</si>
  <si>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</si>
  <si>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</si>
  <si>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</si>
  <si>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</si>
  <si>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</si>
  <si>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</si>
  <si>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</si>
  <si>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</si>
  <si>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</si>
  <si>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</si>
  <si>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</si>
  <si>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</si>
  <si>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</si>
  <si>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</si>
  <si>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</si>
  <si>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</si>
  <si>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</si>
  <si>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</si>
  <si>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</si>
  <si>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</si>
  <si>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</si>
  <si>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</si>
  <si>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</si>
  <si>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</si>
  <si>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</si>
  <si>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</si>
  <si>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</si>
  <si>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</si>
  <si>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</si>
  <si>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</si>
  <si>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</si>
  <si>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</si>
  <si>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</si>
  <si>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</si>
  <si>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</si>
  <si>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</si>
  <si>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</si>
  <si>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</si>
  <si>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</si>
  <si>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</si>
  <si>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</si>
  <si>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</si>
  <si>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</si>
  <si>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</si>
  <si>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</si>
  <si>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</si>
  <si>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</si>
  <si>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</si>
  <si>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</si>
  <si>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</si>
  <si>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</si>
  <si>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</si>
  <si>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</si>
  <si>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</si>
  <si>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</si>
  <si>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</si>
  <si>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</si>
  <si>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</si>
  <si>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</si>
  <si>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</si>
  <si>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</si>
  <si>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</si>
  <si>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</si>
  <si>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</si>
  <si>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</si>
  <si>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</si>
  <si>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</si>
  <si>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</si>
  <si>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</si>
  <si>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</si>
  <si>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</si>
  <si>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</si>
  <si>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</si>
  <si>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</si>
  <si>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</si>
  <si>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</si>
  <si>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</si>
  <si>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</si>
  <si>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</si>
  <si>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</si>
  <si>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</si>
  <si>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</si>
  <si>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</si>
  <si>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</si>
  <si>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</si>
  <si>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</si>
  <si>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</si>
  <si>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</si>
  <si>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</si>
  <si>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</si>
  <si>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</si>
  <si>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</si>
  <si>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</si>
  <si>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</si>
  <si>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</si>
  <si>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</si>
  <si>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</si>
  <si>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</si>
  <si>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</si>
  <si>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</si>
  <si>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</si>
  <si>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</si>
  <si>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</si>
  <si>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</si>
  <si>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</si>
  <si>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</si>
  <si>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</si>
  <si>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</si>
  <si>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</si>
  <si>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</si>
  <si>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</si>
  <si>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</si>
  <si>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</si>
  <si>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</si>
  <si>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</si>
  <si>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</si>
  <si>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</si>
  <si>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</si>
  <si>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</si>
  <si>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</si>
  <si>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</si>
  <si>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</si>
  <si>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</si>
  <si>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</si>
  <si>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</si>
  <si>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</si>
  <si>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</si>
  <si>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</si>
  <si>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</si>
  <si>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</si>
  <si>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</si>
  <si>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</si>
  <si>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</si>
  <si>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</si>
  <si>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</si>
  <si>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</si>
  <si>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</si>
  <si>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</si>
  <si>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</si>
  <si>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</si>
  <si>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</si>
  <si>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</si>
  <si>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</si>
  <si>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</si>
  <si>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</si>
  <si>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</si>
  <si>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</si>
  <si>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</si>
  <si>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</si>
  <si>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</si>
  <si>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</si>
  <si>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</si>
  <si>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</si>
  <si>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</si>
  <si>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</si>
  <si>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</si>
  <si>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</si>
  <si>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</si>
  <si>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</si>
  <si>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</si>
  <si>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</si>
  <si>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</si>
  <si>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</si>
  <si>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</si>
  <si>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</si>
  <si>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</si>
  <si>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</si>
  <si>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</si>
  <si>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</si>
  <si>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</si>
  <si>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</si>
  <si>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</si>
  <si>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</si>
  <si>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</si>
  <si>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</si>
  <si>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</si>
  <si>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</si>
  <si>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</si>
  <si>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</si>
  <si>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</si>
  <si>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</si>
  <si>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</si>
  <si>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</si>
  <si>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</si>
  <si>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</si>
  <si>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</si>
  <si>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</si>
  <si>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</si>
  <si>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</si>
  <si>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</si>
  <si>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</si>
  <si>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</si>
  <si>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</si>
  <si>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</si>
  <si>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</si>
  <si>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</si>
  <si>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</si>
  <si>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</si>
  <si>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</si>
  <si>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</si>
  <si>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</si>
  <si>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</si>
  <si>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</si>
  <si>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</si>
  <si>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</si>
  <si>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</si>
  <si>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</si>
  <si>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</si>
  <si>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</si>
  <si>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</si>
  <si>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</si>
  <si>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</si>
  <si>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</si>
  <si>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</si>
  <si>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</si>
  <si>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</si>
  <si>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</si>
  <si>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</si>
  <si>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</si>
  <si>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</si>
  <si>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</si>
  <si>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</si>
  <si>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</si>
  <si>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</si>
  <si>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</si>
  <si>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</si>
  <si>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</si>
  <si>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</si>
  <si>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</si>
  <si>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</si>
  <si>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</si>
  <si>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</si>
  <si>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</si>
  <si>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</si>
  <si>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</si>
  <si>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</si>
  <si>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</si>
  <si>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</si>
  <si>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</si>
  <si>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</si>
  <si>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</si>
  <si>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</si>
  <si>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</si>
  <si>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</si>
  <si>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</si>
  <si>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</si>
  <si>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</si>
  <si>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</si>
  <si>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</si>
  <si>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</si>
  <si>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</si>
  <si>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</si>
  <si>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</si>
  <si>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</si>
  <si>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</si>
  <si>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</si>
  <si>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</si>
  <si>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</si>
  <si>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</si>
  <si>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</si>
  <si>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</si>
  <si>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</si>
  <si>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</si>
  <si>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</si>
  <si>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</si>
  <si>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</si>
  <si>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</si>
  <si>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</si>
  <si>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</si>
  <si>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</si>
  <si>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</si>
  <si>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</si>
  <si>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</si>
  <si>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</si>
  <si>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</si>
  <si>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</si>
  <si>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</si>
  <si>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</si>
  <si>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</si>
  <si>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</si>
  <si>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</si>
  <si>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</si>
  <si>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</si>
  <si>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</si>
  <si>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</si>
  <si>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</si>
  <si>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</si>
  <si>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</si>
  <si>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</si>
  <si>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</si>
  <si>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</si>
  <si>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</si>
  <si>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</si>
  <si>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</si>
  <si>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</si>
  <si>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</si>
  <si>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</si>
  <si>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</si>
  <si>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</si>
  <si>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</si>
  <si>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</si>
  <si>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</si>
  <si>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</si>
  <si>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</si>
  <si>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</si>
  <si>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</si>
  <si>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</si>
  <si>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</si>
  <si>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</si>
  <si>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</si>
  <si>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</si>
  <si>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</si>
  <si>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</si>
  <si>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</si>
  <si>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</si>
  <si>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</si>
  <si>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</si>
  <si>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</si>
  <si>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</si>
  <si>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</si>
  <si>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</si>
  <si>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</si>
  <si>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</si>
  <si>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</si>
  <si>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</si>
  <si>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</si>
  <si>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</si>
  <si>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</si>
  <si>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</si>
  <si>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</si>
  <si>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</si>
  <si>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</si>
  <si>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</si>
  <si>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</si>
  <si>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</si>
  <si>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</si>
  <si>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</si>
  <si>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</si>
  <si>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</si>
  <si>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</si>
  <si>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</si>
  <si>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</si>
  <si>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</si>
  <si>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</si>
  <si>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</si>
  <si>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</si>
  <si>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</si>
  <si>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</si>
  <si>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</si>
  <si>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</si>
  <si>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</si>
  <si>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</si>
  <si>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</si>
  <si>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</si>
  <si>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</si>
  <si>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</si>
  <si>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</si>
  <si>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</si>
  <si>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</si>
  <si>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</si>
  <si>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</si>
  <si>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</si>
  <si>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</si>
  <si>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</si>
  <si>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</si>
  <si>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</si>
  <si>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</si>
  <si>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</si>
  <si>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</si>
  <si>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</si>
  <si>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</si>
  <si>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</si>
  <si>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</si>
  <si>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</si>
  <si>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</si>
  <si>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</si>
  <si>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</si>
  <si>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</si>
  <si>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</si>
  <si>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</si>
  <si>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</si>
  <si>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</si>
  <si>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</si>
  <si>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</si>
  <si>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</si>
  <si>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</si>
  <si>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</si>
  <si>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</si>
  <si>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</si>
  <si>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</si>
  <si>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</si>
  <si>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</si>
  <si>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</si>
  <si>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</si>
  <si>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</si>
  <si>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</si>
  <si>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</si>
  <si>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</si>
  <si>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</si>
  <si>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</si>
  <si>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</si>
  <si>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</si>
  <si>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</si>
  <si>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</si>
  <si>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</si>
  <si>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</si>
  <si>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</si>
  <si>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</si>
  <si>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</si>
  <si>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</si>
  <si>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</si>
  <si>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</si>
  <si>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</si>
  <si>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</si>
  <si>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</si>
  <si>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</si>
  <si>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</si>
  <si>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</si>
  <si>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</si>
  <si>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</si>
  <si>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</si>
  <si>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</si>
  <si>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</si>
  <si>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</si>
  <si>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</si>
  <si>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</si>
  <si>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</si>
  <si>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</si>
  <si>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</si>
  <si>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</si>
  <si>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</si>
  <si>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</si>
  <si>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</si>
  <si>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</si>
  <si>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</si>
  <si>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</si>
  <si>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</si>
  <si>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</si>
  <si>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</si>
  <si>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</si>
  <si>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</si>
  <si>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</si>
  <si>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</si>
  <si>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</si>
  <si>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</si>
  <si>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</si>
  <si>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</si>
  <si>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</si>
  <si>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</si>
  <si>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</si>
  <si>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</si>
  <si>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</si>
  <si>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</si>
  <si>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</si>
  <si>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</si>
  <si>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</si>
  <si>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</si>
  <si>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</si>
  <si>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</si>
  <si>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</si>
  <si>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</si>
  <si>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</si>
  <si>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</si>
  <si>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</si>
  <si>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</si>
  <si>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</si>
  <si>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</si>
  <si>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</si>
  <si>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</si>
  <si>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</si>
  <si>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</si>
  <si>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</si>
  <si>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</si>
  <si>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</si>
  <si>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</si>
  <si>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</si>
  <si>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</si>
  <si>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</si>
  <si>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</si>
  <si>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</si>
  <si>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</si>
  <si>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</si>
  <si>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</si>
  <si>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</si>
  <si>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</si>
  <si>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</si>
  <si>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</si>
  <si>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</si>
  <si>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</si>
  <si>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</si>
  <si>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</si>
  <si>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</si>
  <si>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</si>
  <si>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</si>
  <si>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</si>
  <si>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</si>
  <si>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</si>
  <si>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</si>
  <si>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</si>
  <si>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</si>
  <si>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</si>
  <si>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</si>
  <si>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</si>
  <si>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</si>
  <si>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</si>
  <si>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</si>
  <si>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</si>
  <si>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</si>
  <si>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</si>
  <si>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</si>
  <si>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</si>
  <si>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</si>
  <si>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</si>
  <si>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</si>
  <si>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</si>
  <si>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</si>
  <si>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</si>
  <si>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</si>
  <si>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</si>
  <si>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</si>
  <si>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</si>
  <si>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</si>
  <si>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</si>
  <si>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</si>
  <si>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</si>
  <si>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</si>
  <si>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</si>
  <si>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</si>
  <si>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</si>
  <si>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</si>
  <si>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</si>
  <si>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</si>
  <si>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</si>
  <si>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</si>
  <si>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</si>
  <si>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</si>
  <si>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</si>
  <si>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</si>
  <si>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</si>
  <si>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</si>
  <si>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</si>
  <si>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</si>
  <si>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</si>
  <si>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</si>
  <si>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</si>
  <si>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</si>
  <si>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</si>
  <si>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</si>
  <si>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</si>
  <si>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</si>
  <si>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</si>
  <si>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</si>
  <si>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</si>
  <si>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</si>
  <si>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</si>
  <si>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</si>
  <si>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</si>
  <si>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</si>
  <si>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</si>
  <si>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</si>
  <si>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</si>
  <si>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</si>
  <si>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</si>
  <si>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</si>
  <si>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</si>
  <si>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</si>
  <si>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</si>
  <si>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</si>
  <si>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</si>
  <si>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</si>
  <si>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</si>
  <si>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</si>
  <si>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</si>
  <si>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</si>
  <si>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</si>
  <si>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</si>
  <si>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</si>
  <si>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</si>
  <si>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</si>
  <si>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</si>
  <si>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</si>
  <si>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</si>
  <si>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</si>
  <si>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</si>
  <si>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</si>
  <si>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</si>
  <si>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</si>
  <si>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</si>
  <si>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</si>
  <si>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</si>
  <si>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</si>
  <si>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</si>
  <si>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</si>
  <si>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</si>
  <si>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</si>
  <si>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</si>
  <si>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</si>
  <si>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</si>
  <si>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</si>
  <si>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</si>
  <si>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</si>
  <si>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</si>
  <si>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</si>
  <si>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</si>
  <si>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</si>
  <si>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</si>
  <si>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</si>
  <si>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</si>
  <si>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</si>
  <si>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</si>
  <si>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</si>
  <si>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</si>
  <si>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</si>
  <si>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</si>
  <si>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</si>
  <si>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</si>
  <si>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</si>
  <si>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</si>
  <si>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</si>
  <si>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</si>
  <si>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</si>
  <si>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</si>
  <si>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</si>
  <si>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</si>
  <si>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</si>
  <si>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</si>
  <si>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</si>
  <si>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</si>
  <si>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</si>
  <si>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</si>
  <si>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</si>
  <si>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</si>
  <si>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</si>
  <si>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</si>
  <si>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</si>
  <si>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</si>
  <si>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</si>
  <si>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</si>
  <si>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</si>
  <si>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</si>
  <si>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</si>
  <si>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</si>
  <si>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</si>
  <si>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</si>
  <si>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</si>
  <si>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</si>
  <si>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</si>
  <si>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</si>
  <si>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</si>
  <si>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</si>
  <si>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</si>
  <si>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</si>
  <si>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</si>
  <si>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</si>
  <si>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</si>
  <si>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</si>
  <si>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</si>
  <si>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</si>
  <si>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</si>
  <si>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</si>
  <si>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</si>
  <si>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</si>
  <si>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</si>
  <si>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</si>
  <si>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</si>
  <si>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</si>
  <si>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</si>
  <si>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</si>
  <si>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</si>
  <si>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</si>
  <si>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</si>
  <si>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</si>
  <si>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</si>
  <si>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</si>
  <si>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</si>
  <si>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</si>
  <si>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</si>
  <si>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</si>
  <si>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</si>
  <si>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</si>
  <si>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</si>
  <si>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</si>
  <si>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</si>
  <si>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</si>
  <si>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</si>
  <si>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</si>
  <si>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</si>
  <si>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</si>
  <si>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</si>
  <si>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</si>
  <si>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</si>
  <si>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</si>
  <si>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</si>
  <si>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</si>
  <si>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</si>
  <si>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</si>
  <si>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</si>
  <si>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</si>
  <si>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</si>
  <si>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</si>
  <si>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</si>
  <si>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</si>
  <si>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</si>
  <si>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</si>
  <si>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</si>
  <si>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</si>
  <si>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</si>
  <si>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</si>
  <si>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</si>
  <si>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</si>
  <si>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</si>
  <si>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</si>
  <si>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</si>
  <si>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</si>
  <si>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</si>
  <si>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</si>
  <si>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</si>
  <si>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</si>
  <si>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</si>
  <si>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</si>
  <si>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</si>
  <si>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</si>
  <si>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</si>
  <si>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</si>
  <si>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</si>
  <si>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</si>
  <si>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</si>
  <si>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</si>
  <si>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</si>
  <si>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</si>
  <si>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</si>
  <si>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</si>
  <si>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</si>
  <si>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</si>
  <si>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</si>
  <si>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</si>
  <si>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</si>
  <si>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</si>
  <si>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</si>
  <si>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</si>
  <si>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</si>
  <si>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</si>
  <si>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</si>
  <si>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</si>
  <si>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</si>
  <si>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</si>
  <si>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</si>
  <si>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</si>
  <si>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</si>
  <si>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</si>
  <si>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</si>
  <si>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</si>
  <si>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</si>
  <si>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</si>
  <si>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</si>
  <si>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</si>
  <si>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</si>
  <si>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</si>
  <si>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</si>
  <si>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</si>
  <si>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</si>
  <si>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</si>
  <si>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</si>
  <si>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</si>
  <si>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</si>
  <si>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</si>
  <si>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</si>
  <si>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</si>
  <si>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</si>
  <si>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</si>
  <si>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</si>
  <si>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</si>
  <si>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</si>
  <si>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</si>
  <si>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</si>
  <si>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</si>
  <si>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</si>
  <si>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</si>
  <si>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</si>
  <si>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</si>
  <si>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</si>
  <si>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</si>
  <si>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</si>
  <si>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</si>
  <si>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</si>
  <si>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</si>
  <si>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</si>
  <si>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</si>
  <si>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</si>
  <si>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</si>
  <si>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</si>
  <si>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</si>
  <si>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</si>
  <si>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</si>
  <si>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</si>
  <si>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</si>
  <si>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</si>
  <si>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</si>
  <si>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</si>
  <si>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</si>
  <si>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</si>
  <si>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</si>
  <si>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</si>
  <si>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</si>
  <si>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</si>
  <si>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</si>
  <si>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</si>
  <si>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</si>
  <si>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</si>
  <si>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</si>
  <si>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</si>
  <si>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</si>
  <si>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</si>
  <si>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</si>
  <si>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</si>
  <si>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</si>
  <si>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</si>
  <si>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</si>
  <si>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</si>
  <si>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</si>
  <si>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</si>
  <si>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</si>
  <si>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</si>
  <si>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</si>
  <si>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</si>
  <si>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</si>
  <si>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</si>
  <si>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</si>
  <si>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</si>
  <si>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</si>
  <si>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</si>
  <si>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</si>
  <si>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</si>
  <si>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</si>
  <si>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</si>
  <si>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</si>
  <si>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</si>
  <si>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</si>
  <si>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</si>
  <si>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</si>
  <si>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</si>
  <si>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</si>
  <si>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</si>
  <si>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</si>
  <si>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</si>
  <si>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</si>
  <si>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</si>
  <si>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</si>
  <si>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</si>
  <si>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</si>
  <si>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</si>
  <si>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</si>
  <si>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</si>
  <si>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</si>
  <si>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</si>
  <si>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</si>
  <si>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</si>
  <si>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</si>
  <si>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</si>
  <si>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</si>
  <si>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</si>
  <si>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</si>
  <si>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</si>
  <si>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</si>
  <si>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</si>
  <si>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</si>
  <si>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</si>
  <si>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</si>
  <si>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</si>
  <si>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</si>
  <si>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</si>
  <si>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</si>
  <si>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</si>
  <si>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</si>
  <si>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</si>
  <si>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</si>
  <si>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</si>
  <si>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</si>
  <si>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</si>
  <si>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</si>
  <si>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</si>
  <si>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</si>
  <si>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</si>
  <si>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</si>
  <si>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</si>
  <si>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</si>
  <si>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</si>
  <si>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</si>
  <si>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</si>
  <si>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</si>
  <si>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</si>
  <si>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</si>
  <si>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</si>
  <si>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</si>
  <si>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</si>
  <si>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</si>
  <si>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</si>
  <si>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</si>
  <si>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</si>
  <si>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</si>
  <si>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</si>
  <si>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</si>
  <si>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</si>
  <si>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</si>
  <si>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</si>
  <si>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</si>
  <si>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</si>
  <si>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</si>
  <si>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</si>
  <si>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</si>
  <si>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</si>
  <si>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</si>
  <si>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</si>
  <si>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</si>
  <si>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</si>
  <si>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</si>
  <si>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</si>
  <si>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</si>
  <si>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</si>
  <si>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</si>
  <si>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</si>
  <si>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</si>
  <si>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</si>
  <si>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</si>
  <si>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</si>
  <si>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</si>
  <si>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</si>
  <si>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</si>
  <si>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</si>
  <si>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</si>
  <si>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</si>
  <si>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</si>
  <si>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</si>
  <si>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</si>
  <si>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</si>
  <si>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</si>
  <si>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</si>
  <si>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</si>
  <si>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</si>
  <si>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</si>
  <si>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</si>
  <si>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</si>
  <si>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</si>
  <si>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</si>
  <si>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</si>
  <si>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</si>
  <si>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</si>
  <si>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</si>
  <si>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</si>
  <si>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</si>
  <si>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</si>
  <si>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</si>
  <si>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</si>
  <si>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</si>
  <si>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</si>
  <si>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</si>
  <si>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</si>
  <si>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</si>
  <si>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</si>
  <si>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</si>
  <si>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</si>
  <si>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</si>
  <si>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</si>
  <si>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</si>
  <si>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</si>
  <si>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</si>
  <si>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</si>
  <si>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</si>
  <si>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</si>
  <si>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</si>
  <si>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</si>
  <si>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</si>
  <si>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</si>
  <si>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</si>
  <si>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</si>
  <si>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</si>
  <si>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</si>
  <si>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</si>
  <si>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</si>
  <si>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</si>
  <si>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</si>
  <si>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</si>
  <si>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</si>
  <si>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</si>
  <si>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</si>
  <si>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</si>
  <si>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</si>
  <si>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</si>
  <si>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</si>
  <si>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</si>
  <si>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</si>
  <si>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</si>
  <si>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</si>
  <si>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</si>
  <si>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</si>
  <si>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</si>
  <si>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</si>
  <si>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</si>
  <si>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</si>
  <si>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</si>
  <si>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</si>
  <si>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</si>
  <si>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</si>
  <si>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</si>
  <si>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</si>
  <si>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</si>
  <si>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</si>
  <si>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</si>
  <si>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</si>
  <si>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</si>
  <si>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</si>
  <si>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</si>
  <si>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</si>
  <si>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</si>
  <si>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</si>
  <si>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</si>
  <si>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</si>
  <si>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</si>
  <si>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</si>
  <si>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</si>
  <si>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</si>
  <si>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</si>
  <si>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</si>
  <si>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</si>
  <si>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</si>
  <si>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</si>
  <si>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</si>
  <si>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</si>
  <si>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</si>
  <si>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</si>
  <si>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</si>
  <si>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</si>
  <si>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</si>
  <si>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</si>
  <si>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</si>
  <si>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</si>
  <si>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</si>
  <si>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</si>
  <si>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</si>
  <si>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</si>
  <si>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</si>
  <si>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</si>
  <si>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</si>
  <si>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</si>
  <si>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</si>
  <si>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</si>
  <si>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</si>
  <si>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</si>
  <si>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</si>
  <si>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</si>
  <si>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</si>
  <si>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</si>
  <si>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</si>
  <si>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</si>
  <si>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</si>
  <si>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</si>
  <si>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</si>
  <si>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</si>
  <si>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</si>
  <si>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</si>
  <si>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</si>
  <si>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</si>
  <si>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</si>
  <si>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</si>
  <si>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</si>
  <si>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</si>
  <si>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</si>
  <si>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</si>
  <si>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</si>
  <si>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</si>
  <si>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</si>
  <si>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</si>
  <si>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</si>
  <si>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</si>
  <si>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</si>
  <si>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</si>
  <si>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</si>
  <si>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</si>
  <si>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</si>
  <si>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</si>
  <si>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</si>
  <si>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</si>
  <si>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</si>
  <si>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</si>
  <si>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</si>
  <si>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</si>
  <si>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</si>
  <si>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</si>
  <si>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</si>
  <si>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</si>
  <si>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</si>
  <si>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</si>
  <si>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</si>
  <si>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</si>
  <si>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</si>
  <si>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</si>
  <si>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</si>
  <si>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</si>
  <si>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</si>
  <si>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</si>
  <si>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</si>
  <si>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</si>
  <si>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</si>
  <si>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</si>
  <si>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</si>
  <si>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</si>
  <si>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</si>
  <si>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</si>
  <si>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</si>
  <si>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</si>
  <si>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</si>
  <si>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</si>
  <si>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</si>
  <si>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</si>
  <si>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</si>
  <si>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</si>
  <si>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</si>
  <si>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</si>
  <si>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</si>
  <si>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</si>
  <si>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</si>
  <si>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</si>
  <si>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</si>
  <si>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</si>
  <si>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</si>
  <si>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</si>
  <si>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</si>
  <si>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</si>
  <si>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</si>
  <si>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</si>
  <si>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</si>
  <si>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</si>
  <si>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</si>
  <si>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</si>
  <si>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</si>
  <si>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</si>
  <si>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</si>
  <si>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</si>
  <si>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</si>
  <si>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</si>
  <si>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</si>
  <si>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</si>
  <si>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</si>
  <si>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</si>
  <si>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</si>
  <si>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</si>
  <si>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</si>
  <si>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</si>
  <si>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</si>
  <si>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</si>
  <si>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</si>
  <si>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</si>
  <si>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</si>
  <si>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</si>
  <si>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</si>
  <si>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</si>
  <si>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</si>
  <si>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</si>
  <si>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</si>
  <si>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</si>
  <si>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</si>
  <si>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</si>
  <si>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</si>
  <si>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</si>
  <si>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</si>
  <si>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</si>
  <si>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</si>
  <si>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</si>
  <si>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</si>
  <si>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</si>
  <si>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</si>
  <si>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</si>
  <si>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</si>
  <si>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</si>
  <si>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</si>
  <si>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</si>
  <si>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</si>
  <si>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</si>
  <si>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</si>
  <si>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</si>
  <si>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</si>
  <si>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</si>
  <si>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</si>
  <si>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</si>
  <si>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</si>
  <si>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</si>
  <si>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</si>
  <si>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</si>
  <si>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</si>
  <si>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</si>
  <si>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</si>
  <si>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</si>
  <si>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</si>
  <si>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</si>
  <si>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</si>
  <si>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</si>
  <si>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</si>
  <si>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</si>
  <si>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</si>
  <si>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</si>
  <si>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</si>
  <si>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</si>
  <si>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</si>
  <si>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</si>
  <si>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</si>
  <si>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</si>
  <si>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</si>
  <si>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</si>
  <si>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</si>
  <si>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</si>
  <si>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</si>
  <si>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</si>
  <si>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</si>
  <si>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</si>
  <si>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</si>
  <si>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</si>
  <si>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</si>
  <si>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</si>
  <si>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</si>
  <si>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</si>
  <si>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</si>
  <si>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</si>
  <si>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</si>
  <si>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</si>
  <si>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</si>
  <si>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</si>
  <si>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</si>
  <si>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</si>
  <si>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</si>
  <si>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</si>
  <si>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</si>
  <si>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</si>
  <si>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</si>
  <si>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</si>
  <si>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</si>
  <si>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</si>
  <si>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</si>
  <si>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</si>
  <si>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</si>
  <si>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</si>
  <si>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</si>
  <si>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</si>
  <si>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</si>
  <si>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</si>
  <si>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</si>
  <si>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</si>
  <si>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</si>
  <si>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</si>
  <si>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</si>
  <si>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</si>
  <si>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</si>
  <si>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</si>
  <si>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</si>
  <si>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</si>
  <si>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</si>
  <si>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</si>
  <si>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</si>
  <si>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</si>
  <si>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</si>
  <si>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</si>
  <si>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</si>
  <si>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</si>
  <si>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</si>
  <si>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</si>
  <si>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</si>
  <si>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</si>
  <si>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</si>
  <si>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</si>
  <si>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</si>
  <si>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</si>
  <si>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</si>
  <si>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</si>
  <si>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</si>
  <si>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</si>
  <si>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</si>
  <si>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</si>
  <si>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</si>
  <si>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</si>
  <si>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</si>
  <si>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</si>
  <si>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</si>
  <si>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</si>
  <si>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</si>
  <si>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</si>
  <si>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</si>
  <si>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</si>
  <si>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</si>
  <si>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</si>
  <si>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</si>
  <si>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</si>
  <si>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</si>
  <si>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</si>
  <si>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</si>
  <si>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</si>
  <si>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</si>
  <si>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</si>
  <si>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</si>
  <si>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</si>
  <si>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</si>
  <si>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</si>
  <si>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</si>
  <si>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</si>
  <si>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</si>
  <si>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</si>
  <si>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</si>
  <si>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</si>
  <si>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</si>
  <si>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</si>
  <si>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</si>
  <si>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</si>
  <si>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</si>
  <si>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</si>
  <si>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</si>
  <si>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</si>
  <si>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</si>
  <si>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</si>
  <si>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</si>
  <si>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</si>
  <si>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</si>
  <si>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</si>
  <si>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</si>
  <si>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</si>
  <si>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</si>
  <si>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</si>
  <si>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</si>
  <si>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</si>
  <si>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</si>
  <si>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</si>
  <si>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</si>
  <si>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</si>
  <si>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</si>
  <si>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</si>
  <si>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</si>
  <si>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</si>
  <si>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</si>
  <si>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</si>
  <si>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</si>
  <si>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</si>
  <si>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</si>
  <si>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</si>
  <si>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</si>
  <si>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</si>
  <si>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</si>
  <si>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</si>
  <si>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</si>
  <si>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</si>
  <si>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</si>
  <si>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</si>
  <si>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</si>
  <si>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</si>
  <si>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</si>
  <si>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</si>
  <si>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</si>
  <si>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</si>
  <si>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</si>
  <si>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</si>
  <si>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</si>
  <si>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</si>
  <si>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</si>
  <si>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</si>
  <si>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</si>
  <si>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</si>
  <si>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</si>
  <si>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</si>
  <si>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</si>
  <si>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</si>
  <si>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</si>
  <si>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</si>
  <si>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</si>
  <si>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</si>
  <si>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</si>
  <si>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</si>
  <si>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</si>
  <si>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</si>
  <si>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</si>
  <si>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</si>
  <si>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</si>
  <si>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</si>
  <si>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</si>
  <si>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</si>
  <si>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</si>
  <si>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</si>
  <si>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</si>
  <si>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</si>
  <si>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</si>
  <si>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</si>
  <si>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</si>
  <si>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</si>
  <si>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</si>
  <si>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</si>
  <si>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</si>
  <si>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</si>
  <si>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</si>
  <si>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</si>
  <si>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</si>
  <si>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</si>
  <si>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</si>
  <si>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</si>
  <si>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</si>
  <si>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</si>
  <si>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</si>
  <si>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</si>
  <si>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</si>
  <si>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</si>
  <si>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</si>
  <si>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</si>
  <si>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</si>
  <si>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</si>
  <si>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</si>
  <si>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</si>
  <si>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</si>
  <si>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</si>
  <si>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</si>
  <si>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</si>
  <si>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</si>
  <si>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</si>
  <si>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</si>
  <si>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</si>
  <si>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</si>
  <si>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</si>
  <si>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</si>
  <si>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</si>
  <si>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</si>
  <si>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</si>
  <si>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</si>
  <si>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</si>
  <si>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</si>
  <si>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</si>
  <si>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</si>
  <si>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</si>
  <si>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</si>
  <si>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</si>
  <si>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</si>
  <si>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</si>
  <si>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</si>
  <si>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</si>
  <si>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</si>
  <si>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</si>
  <si>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</si>
  <si>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</si>
  <si>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</si>
  <si>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</si>
  <si>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</si>
  <si>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</si>
  <si>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</si>
  <si>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</si>
  <si>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</si>
  <si>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</si>
  <si>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</si>
  <si>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</si>
  <si>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</si>
  <si>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</si>
  <si>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</si>
  <si>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</si>
  <si>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</si>
  <si>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</si>
  <si>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</si>
  <si>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</si>
  <si>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</si>
  <si>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</si>
  <si>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</si>
  <si>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</si>
  <si>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</si>
  <si>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</si>
  <si>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</si>
  <si>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</si>
  <si>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</si>
  <si>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</si>
  <si>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</si>
  <si>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</si>
  <si>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</si>
  <si>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</si>
  <si>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</si>
  <si>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</si>
  <si>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</si>
  <si>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</si>
  <si>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</si>
  <si>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</si>
  <si>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</si>
  <si>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</si>
  <si>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</si>
  <si>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</si>
  <si>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</si>
  <si>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</si>
  <si>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</si>
  <si>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</si>
  <si>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</si>
  <si>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</si>
  <si>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</si>
  <si>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</si>
  <si>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</si>
  <si>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</si>
  <si>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</si>
  <si>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</si>
  <si>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</si>
  <si>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</si>
  <si>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</si>
  <si>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</si>
  <si>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</si>
  <si>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</si>
  <si>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</si>
  <si>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</si>
  <si>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</si>
  <si>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</si>
  <si>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</si>
  <si>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</si>
  <si>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</si>
  <si>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</si>
  <si>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</si>
  <si>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</si>
  <si>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</si>
  <si>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</si>
  <si>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</si>
  <si>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</si>
  <si>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</si>
  <si>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</si>
  <si>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</si>
  <si>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</si>
  <si>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</si>
  <si>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</si>
  <si>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</si>
  <si>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</si>
  <si>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</si>
  <si>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</si>
  <si>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</si>
  <si>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</si>
  <si>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</si>
  <si>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</si>
  <si>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</si>
  <si>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</si>
  <si>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</si>
  <si>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</si>
  <si>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</si>
  <si>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</si>
  <si>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</si>
  <si>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</si>
  <si>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</si>
  <si>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</si>
  <si>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</si>
  <si>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</si>
  <si>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</si>
  <si>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</si>
  <si>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</si>
  <si>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</si>
  <si>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</si>
  <si>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</si>
  <si>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</si>
  <si>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</si>
  <si>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</si>
  <si>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</si>
  <si>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</si>
  <si>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</si>
  <si>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</si>
  <si>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</si>
  <si>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</si>
  <si>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</si>
  <si>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</si>
  <si>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</si>
  <si>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</si>
  <si>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</si>
  <si>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</si>
  <si>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</si>
  <si>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</si>
  <si>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</si>
  <si>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</si>
  <si>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</si>
  <si>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</si>
  <si>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</si>
  <si>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</si>
  <si>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</si>
  <si>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</si>
  <si>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</si>
  <si>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</si>
  <si>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</si>
  <si>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</si>
  <si>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</si>
  <si>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</si>
  <si>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</si>
  <si>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</si>
  <si>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</si>
  <si>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</si>
  <si>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</si>
  <si>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</si>
  <si>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</si>
  <si>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</si>
  <si>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</si>
  <si>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</si>
  <si>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</si>
  <si>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</si>
  <si>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</si>
  <si>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</si>
  <si>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</si>
  <si>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</si>
  <si>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</si>
  <si>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</si>
  <si>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</si>
  <si>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</si>
  <si>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</si>
  <si>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</si>
  <si>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</si>
  <si>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</si>
  <si>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</si>
  <si>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</si>
  <si>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</si>
  <si>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</si>
  <si>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</si>
  <si>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</si>
  <si>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</si>
  <si>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</si>
  <si>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</si>
  <si>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</si>
  <si>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</si>
  <si>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</si>
  <si>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</si>
  <si>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</si>
  <si>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</si>
  <si>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</si>
  <si>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</si>
  <si>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</si>
  <si>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</si>
  <si>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</si>
  <si>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</si>
  <si>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</si>
  <si>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</si>
  <si>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</si>
  <si>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</si>
  <si>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</si>
  <si>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</si>
  <si>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</si>
  <si>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</si>
  <si>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</si>
  <si>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</si>
  <si>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</si>
  <si>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</si>
  <si>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</si>
  <si>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</si>
  <si>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</si>
  <si>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</si>
  <si>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</si>
  <si>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</si>
  <si>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</si>
  <si>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</si>
  <si>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</si>
  <si>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</si>
  <si>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</si>
  <si>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</si>
  <si>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</si>
  <si>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</si>
  <si>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</si>
  <si>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</si>
  <si>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</si>
  <si>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</si>
  <si>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</si>
  <si>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</si>
  <si>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</si>
  <si>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</si>
  <si>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</si>
  <si>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</si>
  <si>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</si>
  <si>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</si>
  <si>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</si>
  <si>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</si>
  <si>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</si>
  <si>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</si>
  <si>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</si>
  <si>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</si>
  <si>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</si>
  <si>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</si>
  <si>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</si>
  <si>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</si>
  <si>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</si>
  <si>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</si>
  <si>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</si>
  <si>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</si>
  <si>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</si>
  <si>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</si>
  <si>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</si>
  <si>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</si>
  <si>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</si>
  <si>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</si>
  <si>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</si>
  <si>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</si>
  <si>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</si>
  <si>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</si>
  <si>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</si>
  <si>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</si>
  <si>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</si>
  <si>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</si>
  <si>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</si>
  <si>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</si>
  <si>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</si>
  <si>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</si>
  <si>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</si>
  <si>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</si>
  <si>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</si>
  <si>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</si>
  <si>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</si>
  <si>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</si>
  <si>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</si>
  <si>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</si>
  <si>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</si>
  <si>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</si>
  <si>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</si>
  <si>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</si>
  <si>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</si>
  <si>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</si>
  <si>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</si>
  <si>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</si>
  <si>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</si>
  <si>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</si>
  <si>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</si>
  <si>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</si>
  <si>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</si>
  <si>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</si>
  <si>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</si>
  <si>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</si>
  <si>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</si>
  <si>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</si>
  <si>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</si>
  <si>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</si>
  <si>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</si>
  <si>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</si>
  <si>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</si>
  <si>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</si>
  <si>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</si>
  <si>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</si>
  <si>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</si>
  <si>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</si>
  <si>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</si>
  <si>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</si>
  <si>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</si>
  <si>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</si>
  <si>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</si>
  <si>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</si>
  <si>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</si>
  <si>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</si>
  <si>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</si>
  <si>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</si>
  <si>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</si>
  <si>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</si>
  <si>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</si>
  <si>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</si>
  <si>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</si>
  <si>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</si>
  <si>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</si>
  <si>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</si>
  <si>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</si>
  <si>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</si>
  <si>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</si>
  <si>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</si>
  <si>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</si>
  <si>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</si>
  <si>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</si>
  <si>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</si>
  <si>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</si>
  <si>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</si>
  <si>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</si>
  <si>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</si>
  <si>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</si>
  <si>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</si>
  <si>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</si>
  <si>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</si>
  <si>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</si>
  <si>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</si>
  <si>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</si>
  <si>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</si>
  <si>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</si>
  <si>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</si>
  <si>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</si>
  <si>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</si>
  <si>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</si>
  <si>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</si>
  <si>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</si>
  <si>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</si>
  <si>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</si>
  <si>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</si>
  <si>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</si>
  <si>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</si>
  <si>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</si>
  <si>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</si>
  <si>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</si>
  <si>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</si>
  <si>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</si>
  <si>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</si>
  <si>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</si>
  <si>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</si>
  <si>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</si>
  <si>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</si>
  <si>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</si>
  <si>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</si>
  <si>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</si>
  <si>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</si>
  <si>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</si>
  <si>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</si>
  <si>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</si>
  <si>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</si>
  <si>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</si>
  <si>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</si>
  <si>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</si>
  <si>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</si>
  <si>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</si>
  <si>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</si>
  <si>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</si>
  <si>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</si>
  <si>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</si>
  <si>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</si>
  <si>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</si>
  <si>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</si>
  <si>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</si>
  <si>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</si>
  <si>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</si>
  <si>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</si>
  <si>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</si>
  <si>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</si>
  <si>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</si>
  <si>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</si>
  <si>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</si>
  <si>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</si>
  <si>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</si>
  <si>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</si>
  <si>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</si>
  <si>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</si>
  <si>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</si>
  <si>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</si>
  <si>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</si>
  <si>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</si>
  <si>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</si>
  <si>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</si>
  <si>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</si>
  <si>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</si>
  <si>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</si>
  <si>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</si>
  <si>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</si>
  <si>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</si>
  <si>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</si>
  <si>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</si>
  <si>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</si>
  <si>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</si>
  <si>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</si>
  <si>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</si>
  <si>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</si>
  <si>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</si>
  <si>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</si>
  <si>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</si>
  <si>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</si>
  <si>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</si>
  <si>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</si>
  <si>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</si>
  <si>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</si>
  <si>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</si>
  <si>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</si>
  <si>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</si>
  <si>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</si>
  <si>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</si>
  <si>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</si>
  <si>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</si>
  <si>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</si>
  <si>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</si>
  <si>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</si>
  <si>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</si>
  <si>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</si>
  <si>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</si>
  <si>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</si>
  <si>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</si>
  <si>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</si>
  <si>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</si>
  <si>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</si>
  <si>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</si>
  <si>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</si>
  <si>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</si>
  <si>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</si>
  <si>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</si>
  <si>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</si>
  <si>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</si>
  <si>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</si>
  <si>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</si>
  <si>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</si>
  <si>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</si>
  <si>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</si>
  <si>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</si>
  <si>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</si>
  <si>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</si>
  <si>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</si>
  <si>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</si>
  <si>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</si>
  <si>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</si>
  <si>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</si>
  <si>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</si>
  <si>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</si>
  <si>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</si>
  <si>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</si>
  <si>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</si>
  <si>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</si>
  <si>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</si>
  <si>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</si>
  <si>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</si>
  <si>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</si>
  <si>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</si>
  <si>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</si>
  <si>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</si>
  <si>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</si>
  <si>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</si>
  <si>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</si>
  <si>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</si>
  <si>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</si>
  <si>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</si>
  <si>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</si>
  <si>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</si>
  <si>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</si>
  <si>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</si>
  <si>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</si>
  <si>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</si>
  <si>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</si>
  <si>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</si>
  <si>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</si>
  <si>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</si>
  <si>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</si>
  <si>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</si>
  <si>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</si>
  <si>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</si>
  <si>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</si>
  <si>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</si>
  <si>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</si>
  <si>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</si>
  <si>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</si>
  <si>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</si>
  <si>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</si>
  <si>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</si>
  <si>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</si>
  <si>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</si>
  <si>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</si>
  <si>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</si>
  <si>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</si>
  <si>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</si>
  <si>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</si>
  <si>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</si>
  <si>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</si>
  <si>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</si>
  <si>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</si>
  <si>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</si>
  <si>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</si>
  <si>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</si>
  <si>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</si>
  <si>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</si>
  <si>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</si>
  <si>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</si>
  <si>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</si>
  <si>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</si>
  <si>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</si>
  <si>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</si>
  <si>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</si>
  <si>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</si>
  <si>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</si>
  <si>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</si>
  <si>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</si>
  <si>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</si>
  <si>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</si>
  <si>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</si>
  <si>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</si>
  <si>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</si>
  <si>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</si>
  <si>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</si>
  <si>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</si>
  <si>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</si>
  <si>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</si>
  <si>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</si>
  <si>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</si>
  <si>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</si>
  <si>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</si>
  <si>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</si>
  <si>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</si>
  <si>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</si>
  <si>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</si>
  <si>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</si>
  <si>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</si>
  <si>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</si>
  <si>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</si>
  <si>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</si>
  <si>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</si>
  <si>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</si>
  <si>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</si>
  <si>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</si>
  <si>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</si>
  <si>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</si>
  <si>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</si>
  <si>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</si>
  <si>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</si>
  <si>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</si>
  <si>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</si>
  <si>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</si>
  <si>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</si>
  <si>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</si>
  <si>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</si>
  <si>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</si>
  <si>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</si>
  <si>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</si>
  <si>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</si>
  <si>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</si>
  <si>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</si>
  <si>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</si>
  <si>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</si>
  <si>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</si>
  <si>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</si>
  <si>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</si>
  <si>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</si>
  <si>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</si>
  <si>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</si>
  <si>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</si>
  <si>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</si>
  <si>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</si>
  <si>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</si>
  <si>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</si>
  <si>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</si>
  <si>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</si>
  <si>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</si>
  <si>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</si>
  <si>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</si>
  <si>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</si>
  <si>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</si>
  <si>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</si>
  <si>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</si>
  <si>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</si>
  <si>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</si>
  <si>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</si>
  <si>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</si>
  <si>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</si>
  <si>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</si>
  <si>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</si>
  <si>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</si>
  <si>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</si>
  <si>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</si>
  <si>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</si>
  <si>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</si>
  <si>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</si>
  <si>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</si>
  <si>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</si>
  <si>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</si>
  <si>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</si>
  <si>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</si>
  <si>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</si>
  <si>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</si>
  <si>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</si>
  <si>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</si>
  <si>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</si>
  <si>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</si>
  <si>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</si>
  <si>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</si>
  <si>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</si>
  <si>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</si>
  <si>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</si>
  <si>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</si>
  <si>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</si>
  <si>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</si>
  <si>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</si>
  <si>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</si>
  <si>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</si>
  <si>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</si>
  <si>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</si>
  <si>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</si>
  <si>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</si>
  <si>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</si>
  <si>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</si>
  <si>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</si>
  <si>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</si>
  <si>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</si>
  <si>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</si>
  <si>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</si>
  <si>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</si>
  <si>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</si>
  <si>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</si>
  <si>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</si>
  <si>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</si>
  <si>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</si>
  <si>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</si>
  <si>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</si>
  <si>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</si>
  <si>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</si>
  <si>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</si>
  <si>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</si>
  <si>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</si>
  <si>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</si>
  <si>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</si>
  <si>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</si>
  <si>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</si>
  <si>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</si>
  <si>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</si>
  <si>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</si>
  <si>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</si>
  <si>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</si>
  <si>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</si>
  <si>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</si>
  <si>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</si>
  <si>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</si>
  <si>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</si>
  <si>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</si>
  <si>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</si>
  <si>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</si>
  <si>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</si>
  <si>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</si>
  <si>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</si>
  <si>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</si>
  <si>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</si>
  <si>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</si>
  <si>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</si>
  <si>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</si>
  <si>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</si>
  <si>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</si>
  <si>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</si>
  <si>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</si>
  <si>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</si>
  <si>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</si>
  <si>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</si>
  <si>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</si>
  <si>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</si>
  <si>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</si>
  <si>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</si>
  <si>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</si>
  <si>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</si>
  <si>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</si>
  <si>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</si>
  <si>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</si>
  <si>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</si>
  <si>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</si>
  <si>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</si>
  <si>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</si>
  <si>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</si>
  <si>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</si>
  <si>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</si>
  <si>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</si>
  <si>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</si>
  <si>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</si>
  <si>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</si>
  <si>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</si>
  <si>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</si>
  <si>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</si>
  <si>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</si>
  <si>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</si>
  <si>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</si>
  <si>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</si>
  <si>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</si>
  <si>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</si>
  <si>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</si>
  <si>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</si>
  <si>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</si>
  <si>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</si>
  <si>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</si>
  <si>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</si>
  <si>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</si>
  <si>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</si>
  <si>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</si>
  <si>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</si>
  <si>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</si>
  <si>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</si>
  <si>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</si>
  <si>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</si>
  <si>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</si>
  <si>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</si>
  <si>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</si>
  <si>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</si>
  <si>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</si>
  <si>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</si>
  <si>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</si>
  <si>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</si>
  <si>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</si>
  <si>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</si>
  <si>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</si>
  <si>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</si>
  <si>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</si>
  <si>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</si>
  <si>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</si>
  <si>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</si>
  <si>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</si>
  <si>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</si>
  <si>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</si>
  <si>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</si>
  <si>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</si>
  <si>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</si>
  <si>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</si>
  <si>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</si>
  <si>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</si>
  <si>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</si>
  <si>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</si>
  <si>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</si>
  <si>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</si>
  <si>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</si>
  <si>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</si>
  <si>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</si>
  <si>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</si>
  <si>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</si>
  <si>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</si>
  <si>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</si>
  <si>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</si>
  <si>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</si>
  <si>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</si>
  <si>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</si>
  <si>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</si>
  <si>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</si>
  <si>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</si>
  <si>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</si>
  <si>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</si>
  <si>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</si>
  <si>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</si>
  <si>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</si>
  <si>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</si>
  <si>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</si>
  <si>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</si>
  <si>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</si>
  <si>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</si>
  <si>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</si>
  <si>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</si>
  <si>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</si>
  <si>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</si>
  <si>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</si>
  <si>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</si>
  <si>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</si>
  <si>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</si>
  <si>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</si>
  <si>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</si>
  <si>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</si>
  <si>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</si>
  <si>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</si>
  <si>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</si>
  <si>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</si>
  <si>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</si>
  <si>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</si>
  <si>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</si>
  <si>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</si>
  <si>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</si>
  <si>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</si>
  <si>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</si>
  <si>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</si>
  <si>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</si>
  <si>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</si>
  <si>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</si>
  <si>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</si>
  <si>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</si>
  <si>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</si>
  <si>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</si>
  <si>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</si>
  <si>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</si>
  <si>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</si>
  <si>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</si>
  <si>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</si>
  <si>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</si>
  <si>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</si>
  <si>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</si>
  <si>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</si>
  <si>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</si>
  <si>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</si>
  <si>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</si>
  <si>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</si>
  <si>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</si>
  <si>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</si>
  <si>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</si>
  <si>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</si>
  <si>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</si>
  <si>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</si>
  <si>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</si>
  <si>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</si>
  <si>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</si>
  <si>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</si>
  <si>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</si>
  <si>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</si>
  <si>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</si>
  <si>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</si>
  <si>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</si>
  <si>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</si>
  <si>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</si>
  <si>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</si>
  <si>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</si>
  <si>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</si>
  <si>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</si>
  <si>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</si>
  <si>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</si>
  <si>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</si>
  <si>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</si>
  <si>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</si>
  <si>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</si>
  <si>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</si>
  <si>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</si>
  <si>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</si>
  <si>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</si>
  <si>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</si>
  <si>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</si>
  <si>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</si>
  <si>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</si>
  <si>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</si>
  <si>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</si>
  <si>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</si>
  <si>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</si>
  <si>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</si>
  <si>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</si>
  <si>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</si>
  <si>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</si>
  <si>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</si>
  <si>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</si>
  <si>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</si>
  <si>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</si>
  <si>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</si>
  <si>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</si>
  <si>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</si>
  <si>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</si>
  <si>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</si>
  <si>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</si>
  <si>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</si>
  <si>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</si>
  <si>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</si>
  <si>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</si>
  <si>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</si>
  <si>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</si>
  <si>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</si>
  <si>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</si>
  <si>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</si>
  <si>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</si>
  <si>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</si>
  <si>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</si>
  <si>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</si>
  <si>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</si>
  <si>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</si>
  <si>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</si>
  <si>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</si>
  <si>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</si>
  <si>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</si>
  <si>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</si>
  <si>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</si>
  <si>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</si>
  <si>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</si>
  <si>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</si>
  <si>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</si>
  <si>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</si>
  <si>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</si>
  <si>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</si>
  <si>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</si>
  <si>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</si>
  <si>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</si>
  <si>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</si>
  <si>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</si>
  <si>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</si>
  <si>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</si>
  <si>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</si>
  <si>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</si>
  <si>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</si>
  <si>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</si>
  <si>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</si>
  <si>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</si>
  <si>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</si>
  <si>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</si>
  <si>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</si>
  <si>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</si>
  <si>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</si>
  <si>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</si>
  <si>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</si>
  <si>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</si>
  <si>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</si>
  <si>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</si>
  <si>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</si>
  <si>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</si>
  <si>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</si>
  <si>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</si>
  <si>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</si>
  <si>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</si>
  <si>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</si>
  <si>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</si>
  <si>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</si>
  <si>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</si>
  <si>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</si>
  <si>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</si>
  <si>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</si>
  <si>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</si>
  <si>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</si>
  <si>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</si>
  <si>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</si>
  <si>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</si>
  <si>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</si>
  <si>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</si>
  <si>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</si>
  <si>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</si>
  <si>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</si>
  <si>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</si>
  <si>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</si>
  <si>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</si>
  <si>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</si>
  <si>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</si>
  <si>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</si>
  <si>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</si>
  <si>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</si>
  <si>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</si>
  <si>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</si>
  <si>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</si>
  <si>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</si>
  <si>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</si>
  <si>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</si>
  <si>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</si>
  <si>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</si>
  <si>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</si>
  <si>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</si>
  <si>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</si>
  <si>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</si>
  <si>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</si>
  <si>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</si>
  <si>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</si>
  <si>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</si>
  <si>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</si>
  <si>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</si>
  <si>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</si>
  <si>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</si>
  <si>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</si>
  <si>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</si>
  <si>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</si>
  <si>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</si>
  <si>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</si>
  <si>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</si>
  <si>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</si>
  <si>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</si>
  <si>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</si>
  <si>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</si>
  <si>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</si>
  <si>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</si>
  <si>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</si>
  <si>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</si>
  <si>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</si>
  <si>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</si>
  <si>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</si>
  <si>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</si>
  <si>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</si>
  <si>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</si>
  <si>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</si>
  <si>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</si>
  <si>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</si>
  <si>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</si>
  <si>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</si>
  <si>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</si>
  <si>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</si>
  <si>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</si>
  <si>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</si>
  <si>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</si>
  <si>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</si>
  <si>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</si>
  <si>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</si>
  <si>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</si>
  <si>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</si>
  <si>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</si>
  <si>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</si>
  <si>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</si>
  <si>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</si>
  <si>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</si>
  <si>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</si>
  <si>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</si>
  <si>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</si>
  <si>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</si>
  <si>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</si>
  <si>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</si>
  <si>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</si>
  <si>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</si>
  <si>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</si>
  <si>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</si>
  <si>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</si>
  <si>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</si>
  <si>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</si>
  <si>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</si>
  <si>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</si>
  <si>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</si>
  <si>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</si>
  <si>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</si>
  <si>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</si>
  <si>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</si>
  <si>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</si>
  <si>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</si>
  <si>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</si>
  <si>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</si>
  <si>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</si>
  <si>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</si>
  <si>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</si>
  <si>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</si>
  <si>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</si>
  <si>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</si>
  <si>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</si>
  <si>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</si>
  <si>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</si>
  <si>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</si>
  <si>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</si>
  <si>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</si>
  <si>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</si>
  <si>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</si>
  <si>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</si>
  <si>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</si>
  <si>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</si>
  <si>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</si>
  <si>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</si>
  <si>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</si>
  <si>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</si>
  <si>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</si>
  <si>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</si>
  <si>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</si>
  <si>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</si>
  <si>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</si>
  <si>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</si>
  <si>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</si>
  <si>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</si>
  <si>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</si>
  <si>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</si>
  <si>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</si>
  <si>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</si>
  <si>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</si>
  <si>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</si>
  <si>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</si>
  <si>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</si>
  <si>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</si>
  <si>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</si>
  <si>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</si>
  <si>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</si>
  <si>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</si>
  <si>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</si>
  <si>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</si>
  <si>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</si>
  <si>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</si>
  <si>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</si>
  <si>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</si>
  <si>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</si>
  <si>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</si>
  <si>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</si>
  <si>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</si>
  <si>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</si>
  <si>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</si>
  <si>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</si>
  <si>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</si>
  <si>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</si>
  <si>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</si>
  <si>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</si>
  <si>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</si>
  <si>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</si>
  <si>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</si>
  <si>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</si>
  <si>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</si>
  <si>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</si>
  <si>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</si>
  <si>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</si>
  <si>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</si>
  <si>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</si>
  <si>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</si>
  <si>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</si>
  <si>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</si>
  <si>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</si>
  <si>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</si>
  <si>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</si>
  <si>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</si>
  <si>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</si>
  <si>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</si>
  <si>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</si>
  <si>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</si>
  <si>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</si>
  <si>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</si>
  <si>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</si>
  <si>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</si>
  <si>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</si>
  <si>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</si>
  <si>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</si>
  <si>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</si>
  <si>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</si>
  <si>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</si>
  <si>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</si>
  <si>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</si>
  <si>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</si>
  <si>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</si>
  <si>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</si>
  <si>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</si>
  <si>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</si>
  <si>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</si>
  <si>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</si>
  <si>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</si>
  <si>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</si>
  <si>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</si>
  <si>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</si>
  <si>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</si>
  <si>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</si>
  <si>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</si>
  <si>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</si>
  <si>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</si>
  <si>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</si>
  <si>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</si>
  <si>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</si>
  <si>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</si>
  <si>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</si>
  <si>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</si>
  <si>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</si>
  <si>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</si>
  <si>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</si>
  <si>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</si>
  <si>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</si>
  <si>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</si>
  <si>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</si>
  <si>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</si>
  <si>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</si>
  <si>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</si>
  <si>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</si>
  <si>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</si>
  <si>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</si>
  <si>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</si>
  <si>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</si>
  <si>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</si>
  <si>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</si>
  <si>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</si>
  <si>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</si>
  <si>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</si>
  <si>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</si>
  <si>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</si>
  <si>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</si>
  <si>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</si>
  <si>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</si>
  <si>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</si>
  <si>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</si>
  <si>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</si>
  <si>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</si>
  <si>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</si>
  <si>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</si>
  <si>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</si>
  <si>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</si>
  <si>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</si>
  <si>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</si>
  <si>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</si>
  <si>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</si>
  <si>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</si>
  <si>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</si>
  <si>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</si>
  <si>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</si>
  <si>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</si>
  <si>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</si>
  <si>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</si>
  <si>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</si>
  <si>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</si>
  <si>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</si>
  <si>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</si>
  <si>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</si>
  <si>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</si>
  <si>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</si>
  <si>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</si>
  <si>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</si>
  <si>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</si>
  <si>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</si>
  <si>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</si>
  <si>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</si>
  <si>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</si>
  <si>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</si>
  <si>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</si>
  <si>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</si>
  <si>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</si>
  <si>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</si>
  <si>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</si>
  <si>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</si>
  <si>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</si>
  <si>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</si>
  <si>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</si>
  <si>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</si>
  <si>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</si>
  <si>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</si>
  <si>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</si>
  <si>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</si>
  <si>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</si>
  <si>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</si>
  <si>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</si>
  <si>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</si>
  <si>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</si>
  <si>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</si>
  <si>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</si>
  <si>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</si>
  <si>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</si>
  <si>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</si>
  <si>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</si>
  <si>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</si>
  <si>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</si>
  <si>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</si>
  <si>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</si>
  <si>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</si>
  <si>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</si>
  <si>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</si>
  <si>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</si>
  <si>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</si>
  <si>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</si>
  <si>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</si>
  <si>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</si>
  <si>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</si>
  <si>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</si>
  <si>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</si>
  <si>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</si>
  <si>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</si>
  <si>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</si>
  <si>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</si>
  <si>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</si>
  <si>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</si>
  <si>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</si>
  <si>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</si>
  <si>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</si>
  <si>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</si>
  <si>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</si>
  <si>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</si>
  <si>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</si>
  <si>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</si>
  <si>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</si>
  <si>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</si>
  <si>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</si>
  <si>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</si>
  <si>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</si>
  <si>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</si>
  <si>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</si>
  <si>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</si>
  <si>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</si>
  <si>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</si>
  <si>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</si>
  <si>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</si>
  <si>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</si>
  <si>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</si>
  <si>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</si>
  <si>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</si>
  <si>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</si>
  <si>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</si>
  <si>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</si>
  <si>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</si>
  <si>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</si>
  <si>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</si>
  <si>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</si>
  <si>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</si>
  <si>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</si>
  <si>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</si>
  <si>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</si>
  <si>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</si>
  <si>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</si>
  <si>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</si>
  <si>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</si>
  <si>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</si>
  <si>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</si>
  <si>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</si>
  <si>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</si>
  <si>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</si>
  <si>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</si>
  <si>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</si>
  <si>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</si>
  <si>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</si>
  <si>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</si>
  <si>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</si>
  <si>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</si>
  <si>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</si>
  <si>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</si>
  <si>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</si>
  <si>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</si>
  <si>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</si>
  <si>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</si>
  <si>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</si>
  <si>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</si>
  <si>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</si>
  <si>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</si>
  <si>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</si>
  <si>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</si>
  <si>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</si>
  <si>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</si>
  <si>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</si>
  <si>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</si>
  <si>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</si>
  <si>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</si>
  <si>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</si>
  <si>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</si>
  <si>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</si>
  <si>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</si>
  <si>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</si>
  <si>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</si>
  <si>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</si>
  <si>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</si>
  <si>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</si>
  <si>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</si>
  <si>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</si>
  <si>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</si>
  <si>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</si>
  <si>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</si>
  <si>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</si>
  <si>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</si>
  <si>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</si>
  <si>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</si>
  <si>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</si>
  <si>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</si>
  <si>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</si>
  <si>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</si>
  <si>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</si>
  <si>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</si>
  <si>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</si>
  <si>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</si>
  <si>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</si>
  <si>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</si>
  <si>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</si>
  <si>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</si>
  <si>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</si>
  <si>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</si>
  <si>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</si>
  <si>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</si>
  <si>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</si>
  <si>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</si>
  <si>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</si>
  <si>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</si>
  <si>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</si>
  <si>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</si>
  <si>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</si>
  <si>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</si>
  <si>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</si>
  <si>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</si>
  <si>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</si>
  <si>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</si>
  <si>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</si>
  <si>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</si>
  <si>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</si>
  <si>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</si>
  <si>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</si>
  <si>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</si>
  <si>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</si>
  <si>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</si>
  <si>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</si>
  <si>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</si>
  <si>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</si>
  <si>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</si>
  <si>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</si>
  <si>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</si>
  <si>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</si>
  <si>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</si>
  <si>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</si>
  <si>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</si>
  <si>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</si>
  <si>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</si>
  <si>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</si>
  <si>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</si>
  <si>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</si>
  <si>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</si>
  <si>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</si>
  <si>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</si>
  <si>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</si>
  <si>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</si>
  <si>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</si>
  <si>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</si>
  <si>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</si>
  <si>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</si>
  <si>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</si>
  <si>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</si>
  <si>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</si>
  <si>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</si>
  <si>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</si>
  <si>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</si>
  <si>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</si>
  <si>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</si>
  <si>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</si>
  <si>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</si>
  <si>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</si>
  <si>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</si>
  <si>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</si>
  <si>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</si>
  <si>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</si>
  <si>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</si>
  <si>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</si>
  <si>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</si>
  <si>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</si>
  <si>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</si>
  <si>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</si>
  <si>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</si>
  <si>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</si>
  <si>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</si>
  <si>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</si>
  <si>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</si>
  <si>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</si>
  <si>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</si>
  <si>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</si>
  <si>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</si>
  <si>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</si>
  <si>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</si>
  <si>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</si>
  <si>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</si>
  <si>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</si>
  <si>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</si>
  <si>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</si>
  <si>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</si>
  <si>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</si>
  <si>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</si>
  <si>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</si>
  <si>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</si>
  <si>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</si>
  <si>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</si>
  <si>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</si>
  <si>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</si>
  <si>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</si>
  <si>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</si>
  <si>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</si>
  <si>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</si>
  <si>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</si>
  <si>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</si>
  <si>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</si>
  <si>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</si>
  <si>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</si>
  <si>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</si>
  <si>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</si>
  <si>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</si>
  <si>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</si>
  <si>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</si>
  <si>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</si>
  <si>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</si>
  <si>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</si>
  <si>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</si>
  <si>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</si>
  <si>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</si>
  <si>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</si>
  <si>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</si>
  <si>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</si>
  <si>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</si>
  <si>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</si>
  <si>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</si>
  <si>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</si>
  <si>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</si>
  <si>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</si>
  <si>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</si>
  <si>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</si>
  <si>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</si>
  <si>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</si>
  <si>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</si>
  <si>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</si>
  <si>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</si>
  <si>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</si>
  <si>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</si>
  <si>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</si>
  <si>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</si>
  <si>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</si>
  <si>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</si>
  <si>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</si>
  <si>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</si>
  <si>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</si>
  <si>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</si>
  <si>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</si>
  <si>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</si>
  <si>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</si>
  <si>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</si>
  <si>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</si>
  <si>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</si>
  <si>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</si>
  <si>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</si>
  <si>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</si>
  <si>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</si>
  <si>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</si>
  <si>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</si>
  <si>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</si>
  <si>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</si>
  <si>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</si>
  <si>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</si>
  <si>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</si>
  <si>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</si>
  <si>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</si>
  <si>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</si>
  <si>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</si>
  <si>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</si>
  <si>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</si>
  <si>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</si>
  <si>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</si>
  <si>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</si>
  <si>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</si>
  <si>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</si>
  <si>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</si>
  <si>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</si>
  <si>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</si>
  <si>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</si>
  <si>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</si>
  <si>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</si>
  <si>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</si>
  <si>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</si>
  <si>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</si>
  <si>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</si>
  <si>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</si>
  <si>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</si>
  <si>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</si>
  <si>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</si>
  <si>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</si>
  <si>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</si>
  <si>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</si>
  <si>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</si>
  <si>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</si>
  <si>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</si>
  <si>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</si>
  <si>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</si>
  <si>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</si>
  <si>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</si>
  <si>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</si>
  <si>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</si>
  <si>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</si>
  <si>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</si>
  <si>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</si>
  <si>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</si>
  <si>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</si>
  <si>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</si>
  <si>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</si>
  <si>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</si>
  <si>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</si>
  <si>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</si>
  <si>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</si>
  <si>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</si>
  <si>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</si>
  <si>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</si>
  <si>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</si>
  <si>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</si>
  <si>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</si>
  <si>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</si>
  <si>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</si>
  <si>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</si>
  <si>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</si>
  <si>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</si>
  <si>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</si>
  <si>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</si>
  <si>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</si>
  <si>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</si>
  <si>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</si>
  <si>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</si>
  <si>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</si>
  <si>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</si>
  <si>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</si>
  <si>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</si>
  <si>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</si>
  <si>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</si>
  <si>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</si>
  <si>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</si>
  <si>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</si>
  <si>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</si>
  <si>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</si>
  <si>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</si>
  <si>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</si>
  <si>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</si>
  <si>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</si>
  <si>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</si>
  <si>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</si>
  <si>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</si>
  <si>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</si>
  <si>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</si>
  <si>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</si>
  <si>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</si>
  <si>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</si>
  <si>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</si>
  <si>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</si>
  <si>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</si>
  <si>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</si>
  <si>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</si>
  <si>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</si>
  <si>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</si>
  <si>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</si>
  <si>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</si>
  <si>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</si>
  <si>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</si>
  <si>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</si>
  <si>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</si>
  <si>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</si>
  <si>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</si>
  <si>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</si>
  <si>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</si>
  <si>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</si>
  <si>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</si>
  <si>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</si>
  <si>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</si>
  <si>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</si>
  <si>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</si>
  <si>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</si>
  <si>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</si>
  <si>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</si>
  <si>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</si>
  <si>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</si>
  <si>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</si>
  <si>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</si>
  <si>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</si>
  <si>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</si>
  <si>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</si>
  <si>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</si>
  <si>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</si>
  <si>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</si>
  <si>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</si>
  <si>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</si>
  <si>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</si>
  <si>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</si>
  <si>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</si>
  <si>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</si>
  <si>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</si>
  <si>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</si>
  <si>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</si>
  <si>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</si>
  <si>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</si>
  <si>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</si>
  <si>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</si>
  <si>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</si>
  <si>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</si>
  <si>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</si>
  <si>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</si>
  <si>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</si>
  <si>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</si>
  <si>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</si>
  <si>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</si>
  <si>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</si>
  <si>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</si>
  <si>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</si>
  <si>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</si>
  <si>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</si>
  <si>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</si>
  <si>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</si>
  <si>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</si>
  <si>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</si>
  <si>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</si>
  <si>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</si>
  <si>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</si>
  <si>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</si>
  <si>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</si>
  <si>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</si>
  <si>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</si>
  <si>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</si>
  <si>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</si>
  <si>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</si>
  <si>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</si>
  <si>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</si>
  <si>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</si>
  <si>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</si>
  <si>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</si>
  <si>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</si>
  <si>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</si>
  <si>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</si>
  <si>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</si>
  <si>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</si>
  <si>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</si>
  <si>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</si>
  <si>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</si>
  <si>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</si>
  <si>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</si>
  <si>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</si>
  <si>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</si>
  <si>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</si>
  <si>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</si>
  <si>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</si>
  <si>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</si>
  <si>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</si>
  <si>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</si>
  <si>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</si>
  <si>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</si>
  <si>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</si>
  <si>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</si>
  <si>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</si>
  <si>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</si>
  <si>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</si>
  <si>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</si>
  <si>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</si>
  <si>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</si>
  <si>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</si>
  <si>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</si>
  <si>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</si>
  <si>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</si>
  <si>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</si>
  <si>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</si>
  <si>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</si>
  <si>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</si>
  <si>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</si>
  <si>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</si>
  <si>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</si>
  <si>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</si>
  <si>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</si>
  <si>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</si>
  <si>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</si>
  <si>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</si>
  <si>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</si>
  <si>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</si>
  <si>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</si>
  <si>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</si>
  <si>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</si>
  <si>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</si>
  <si>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</si>
  <si>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</si>
  <si>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</si>
  <si>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</si>
  <si>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</si>
  <si>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</si>
  <si>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</si>
  <si>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</si>
  <si>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</si>
  <si>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</si>
  <si>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</si>
  <si>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</si>
  <si>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</si>
  <si>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</si>
  <si>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</si>
  <si>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</si>
  <si>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</si>
  <si>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</si>
  <si>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</si>
  <si>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</si>
  <si>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</si>
  <si>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</si>
  <si>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</si>
  <si>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</si>
  <si>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</si>
  <si>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</si>
  <si>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</si>
  <si>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</si>
  <si>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</si>
  <si>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</si>
  <si>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</si>
  <si>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</si>
  <si>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</si>
  <si>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</si>
  <si>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</si>
  <si>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</si>
  <si>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</si>
  <si>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</si>
  <si>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</si>
  <si>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</si>
  <si>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</si>
  <si>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</si>
  <si>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</si>
  <si>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</si>
  <si>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</si>
  <si>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</si>
  <si>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</si>
  <si>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</si>
  <si>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</si>
  <si>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</si>
  <si>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</si>
  <si>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</si>
  <si>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</si>
  <si>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</si>
  <si>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</si>
  <si>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</si>
  <si>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</si>
  <si>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</si>
  <si>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</si>
  <si>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</si>
  <si>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</si>
  <si>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</si>
  <si>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</si>
  <si>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</si>
  <si>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</si>
  <si>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</si>
  <si>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</si>
  <si>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</si>
  <si>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</si>
  <si>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</si>
  <si>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</si>
  <si>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</si>
  <si>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</si>
  <si>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</si>
  <si>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</si>
  <si>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</si>
  <si>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</si>
  <si>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</si>
  <si>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</si>
  <si>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</si>
  <si>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</si>
  <si>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</si>
  <si>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</si>
  <si>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</si>
  <si>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</si>
  <si>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</si>
  <si>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</si>
  <si>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</si>
  <si>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</si>
  <si>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</si>
  <si>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</si>
  <si>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</si>
  <si>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</si>
  <si>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</si>
  <si>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</si>
  <si>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</si>
  <si>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</si>
  <si>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</si>
  <si>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</si>
  <si>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</si>
  <si>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</si>
  <si>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</si>
  <si>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</si>
  <si>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</si>
  <si>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</si>
  <si>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</si>
  <si>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</si>
  <si>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</si>
  <si>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</si>
  <si>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</si>
  <si>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</si>
  <si>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</si>
  <si>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</si>
  <si>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</si>
  <si>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</si>
  <si>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</si>
  <si>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</si>
  <si>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</si>
  <si>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</si>
  <si>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</si>
  <si>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</si>
  <si>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</si>
  <si>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</si>
  <si>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</si>
  <si>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</si>
  <si>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</si>
  <si>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</si>
  <si>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</si>
  <si>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</si>
  <si>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</si>
  <si>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</si>
  <si>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</si>
  <si>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</si>
  <si>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</si>
  <si>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</si>
  <si>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</si>
  <si>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</si>
  <si>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</si>
  <si>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</si>
  <si>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</si>
  <si>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</si>
  <si>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</si>
  <si>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</si>
  <si>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</si>
  <si>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</si>
  <si>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</si>
  <si>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</si>
  <si>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</si>
  <si>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</si>
  <si>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</si>
  <si>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</si>
  <si>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</si>
  <si>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</si>
  <si>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</si>
  <si>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</si>
  <si>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</si>
  <si>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</si>
  <si>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</si>
  <si>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</si>
  <si>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</si>
  <si>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</si>
  <si>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</si>
  <si>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</si>
  <si>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</si>
  <si>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</si>
  <si>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</si>
  <si>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</si>
  <si>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</si>
  <si>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</si>
  <si>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</si>
  <si>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</si>
  <si>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</si>
  <si>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</si>
  <si>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</si>
  <si>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</si>
  <si>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</si>
  <si>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</si>
  <si>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</si>
  <si>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</si>
  <si>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</si>
  <si>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</si>
  <si>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</si>
  <si>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</si>
  <si>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</si>
  <si>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</si>
  <si>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</si>
  <si>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</si>
  <si>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</si>
  <si>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</si>
  <si>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</si>
  <si>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</si>
  <si>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</si>
  <si>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</si>
  <si>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</si>
  <si>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</si>
  <si>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</si>
  <si>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</si>
  <si>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</si>
  <si>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</si>
  <si>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</si>
  <si>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</si>
  <si>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</si>
  <si>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</si>
  <si>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</si>
  <si>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</si>
  <si>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</si>
  <si>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</si>
  <si>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</si>
  <si>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</si>
  <si>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</si>
  <si>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</si>
  <si>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</si>
  <si>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</si>
  <si>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</si>
  <si>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</si>
  <si>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</si>
  <si>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</si>
  <si>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</si>
  <si>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</si>
  <si>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</si>
  <si>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</si>
  <si>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</si>
  <si>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</si>
  <si>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</si>
  <si>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</si>
  <si>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</si>
  <si>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</si>
  <si>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</si>
  <si>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</si>
  <si>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</si>
  <si>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</si>
  <si>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</si>
  <si>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</si>
  <si>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</si>
  <si>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</si>
  <si>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</si>
  <si>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</si>
  <si>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</si>
  <si>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</si>
  <si>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</si>
  <si>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</si>
  <si>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</si>
  <si>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</si>
  <si>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</si>
  <si>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</si>
  <si>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</si>
  <si>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</si>
  <si>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</si>
  <si>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</si>
  <si>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</si>
  <si>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</si>
  <si>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</si>
  <si>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</si>
  <si>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</si>
  <si>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</si>
  <si>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</si>
  <si>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</si>
  <si>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</si>
  <si>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</si>
  <si>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</si>
  <si>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</si>
  <si>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</si>
  <si>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</si>
  <si>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</si>
  <si>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</si>
  <si>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</si>
  <si>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</si>
  <si>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</si>
  <si>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</si>
  <si>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</si>
  <si>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</si>
  <si>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</si>
  <si>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</si>
  <si>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</si>
  <si>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</si>
  <si>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</si>
  <si>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</si>
  <si>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</si>
  <si>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</si>
  <si>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</si>
  <si>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</si>
  <si>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</si>
  <si>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</si>
  <si>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</si>
  <si>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</si>
  <si>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</si>
  <si>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</si>
  <si>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</si>
  <si>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</si>
  <si>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</si>
  <si>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</si>
  <si>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</si>
  <si>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</si>
  <si>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</si>
  <si>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</si>
  <si>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</si>
  <si>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</si>
  <si>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</si>
  <si>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</si>
  <si>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</si>
  <si>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</si>
  <si>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</si>
  <si>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</si>
  <si>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</si>
  <si>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</si>
  <si>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</si>
  <si>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</si>
  <si>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</si>
  <si>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</si>
  <si>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</si>
  <si>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</si>
  <si>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</si>
  <si>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</si>
  <si>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</si>
  <si>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</si>
  <si>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</si>
  <si>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</si>
  <si>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</si>
  <si>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</si>
  <si>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</si>
  <si>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</si>
  <si>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</si>
  <si>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</si>
  <si>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</si>
  <si>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</si>
  <si>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</si>
  <si>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</si>
  <si>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</si>
  <si>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</si>
  <si>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</si>
  <si>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</si>
  <si>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</si>
  <si>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</si>
  <si>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</si>
  <si>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</si>
  <si>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</si>
  <si>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</si>
  <si>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</si>
  <si>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</si>
  <si>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</si>
  <si>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</si>
  <si>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</si>
  <si>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</si>
  <si>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</si>
  <si>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</si>
  <si>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</si>
  <si>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</si>
  <si>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</si>
  <si>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</si>
  <si>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</si>
  <si>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</si>
  <si>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</si>
  <si>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</si>
  <si>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</si>
  <si>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</si>
  <si>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</si>
  <si>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</si>
  <si>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</si>
  <si>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</si>
  <si>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</si>
  <si>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</si>
  <si>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</si>
  <si>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</si>
  <si>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</si>
  <si>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</si>
  <si>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</si>
  <si>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</si>
  <si>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</si>
  <si>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</si>
  <si>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</si>
  <si>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</si>
  <si>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</si>
  <si>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</si>
  <si>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</si>
  <si>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</si>
  <si>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</si>
  <si>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</si>
  <si>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</si>
  <si>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</si>
  <si>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</si>
  <si>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</si>
  <si>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</si>
  <si>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</si>
  <si>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</si>
  <si>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</si>
  <si>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</si>
  <si>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</si>
  <si>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</si>
  <si>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</si>
  <si>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</si>
  <si>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</si>
  <si>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</si>
  <si>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</si>
  <si>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</si>
  <si>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</si>
  <si>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</si>
  <si>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</si>
  <si>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</si>
  <si>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</si>
  <si>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</si>
  <si>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</si>
  <si>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</si>
  <si>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</si>
  <si>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</si>
  <si>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</si>
  <si>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</si>
  <si>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</si>
  <si>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</si>
  <si>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</si>
  <si>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</si>
  <si>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</si>
  <si>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</si>
  <si>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</si>
  <si>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</si>
  <si>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</si>
  <si>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</si>
  <si>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</si>
  <si>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</si>
  <si>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</si>
  <si>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</si>
  <si>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</si>
  <si>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</si>
  <si>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</si>
  <si>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</si>
  <si>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</si>
  <si>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</si>
  <si>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</si>
  <si>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</si>
  <si>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</si>
  <si>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</si>
  <si>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</si>
  <si>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</si>
  <si>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</si>
  <si>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</si>
  <si>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</si>
  <si>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</si>
  <si>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</si>
  <si>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</si>
  <si>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</si>
  <si>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</si>
  <si>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</si>
  <si>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</si>
  <si>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</si>
  <si>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</si>
  <si>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</si>
  <si>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</si>
  <si>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</si>
  <si>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</si>
  <si>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</si>
  <si>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</si>
  <si>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</si>
  <si>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</si>
  <si>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</si>
  <si>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</si>
  <si>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</si>
  <si>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</si>
  <si>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</si>
  <si>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</si>
  <si>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</si>
  <si>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</si>
  <si>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</si>
  <si>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</si>
  <si>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</si>
  <si>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</si>
  <si>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</si>
  <si>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</si>
  <si>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</si>
  <si>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</si>
  <si>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</si>
  <si>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</si>
  <si>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</si>
  <si>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</si>
  <si>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</si>
  <si>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</si>
  <si>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</si>
  <si>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</si>
  <si>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</si>
  <si>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</si>
  <si>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</si>
  <si>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</si>
  <si>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</si>
  <si>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</si>
  <si>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</si>
  <si>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</si>
  <si>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</si>
  <si>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</si>
  <si>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</si>
  <si>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</si>
  <si>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</si>
  <si>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</si>
  <si>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</si>
  <si>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</si>
  <si>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</si>
  <si>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</si>
  <si>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</si>
  <si>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</si>
  <si>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</si>
  <si>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</si>
  <si>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</si>
  <si>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</si>
  <si>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</si>
  <si>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</si>
  <si>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</si>
  <si>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</si>
  <si>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</si>
  <si>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</si>
  <si>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</si>
  <si>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</si>
  <si>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</si>
  <si>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</si>
  <si>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</si>
  <si>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</si>
  <si>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</si>
  <si>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</si>
  <si>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</si>
  <si>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</si>
  <si>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</si>
  <si>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</si>
  <si>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</si>
  <si>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</si>
  <si>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</si>
  <si>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</si>
  <si>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</si>
  <si>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</si>
  <si>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</si>
  <si>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</si>
  <si>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</si>
  <si>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</si>
  <si>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</si>
  <si>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</si>
  <si>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</si>
  <si>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</si>
  <si>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</si>
  <si>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</si>
  <si>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</si>
  <si>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</si>
  <si>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</si>
  <si>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</si>
  <si>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</si>
  <si>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</si>
  <si>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</si>
  <si>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</si>
  <si>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</si>
  <si>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</si>
  <si>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</si>
  <si>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</si>
  <si>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</si>
  <si>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</si>
  <si>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</si>
  <si>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</si>
  <si>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</si>
  <si>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</si>
  <si>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</si>
  <si>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</si>
  <si>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</si>
  <si>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</si>
  <si>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</si>
  <si>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</si>
  <si>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</si>
  <si>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</si>
  <si>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</si>
  <si>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</si>
  <si>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</si>
  <si>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</si>
  <si>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</si>
  <si>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</si>
  <si>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</si>
  <si>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</si>
  <si>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</si>
  <si>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</si>
  <si>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</si>
  <si>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</si>
  <si>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</si>
  <si>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</si>
  <si>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</si>
  <si>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</si>
  <si>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</si>
  <si>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</si>
  <si>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</si>
  <si>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</si>
  <si>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</si>
  <si>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</si>
  <si>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</si>
  <si>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</si>
  <si>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</si>
  <si>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</si>
  <si>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</si>
  <si>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</si>
  <si>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</si>
  <si>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</si>
  <si>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</si>
  <si>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</si>
  <si>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</si>
  <si>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</si>
  <si>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</si>
  <si>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</si>
  <si>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</si>
  <si>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</si>
  <si>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</si>
  <si>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</si>
  <si>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</si>
  <si>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</si>
  <si>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</si>
  <si>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</si>
  <si>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</si>
  <si>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</si>
  <si>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</si>
  <si>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</si>
  <si>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</si>
  <si>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</si>
  <si>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</si>
  <si>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</si>
  <si>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</si>
  <si>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</si>
  <si>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</si>
  <si>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</si>
  <si>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</si>
  <si>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</si>
  <si>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</si>
  <si>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</si>
  <si>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</si>
  <si>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</si>
  <si>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</si>
  <si>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</si>
  <si>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</si>
  <si>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</si>
  <si>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</si>
  <si>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</si>
  <si>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</si>
  <si>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</si>
  <si>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</si>
  <si>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</si>
  <si>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</si>
  <si>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</si>
  <si>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</si>
  <si>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</si>
  <si>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</si>
  <si>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</si>
  <si>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</si>
  <si>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</si>
  <si>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</si>
  <si>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</si>
  <si>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</si>
  <si>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</si>
  <si>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</si>
  <si>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</si>
  <si>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</si>
  <si>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</si>
  <si>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</si>
  <si>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</si>
  <si>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</si>
  <si>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</si>
  <si>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</si>
  <si>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</si>
  <si>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</si>
  <si>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</si>
  <si>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</si>
  <si>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</si>
  <si>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</si>
  <si>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</si>
  <si>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</si>
  <si>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</si>
  <si>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</si>
  <si>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</si>
  <si>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</si>
  <si>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</si>
  <si>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</si>
  <si>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</si>
  <si>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</si>
  <si>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</si>
  <si>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</si>
  <si>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</si>
  <si>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</si>
  <si>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</si>
  <si>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</si>
  <si>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</si>
  <si>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</si>
  <si>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</si>
  <si>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</si>
  <si>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</si>
  <si>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</si>
  <si>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</si>
  <si>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</si>
  <si>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</si>
  <si>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</si>
  <si>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</si>
  <si>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</si>
  <si>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</si>
  <si>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</si>
  <si>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</si>
  <si>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</si>
  <si>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</si>
  <si>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</si>
  <si>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</si>
  <si>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</si>
  <si>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</si>
  <si>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</si>
  <si>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</si>
  <si>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</si>
  <si>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</si>
  <si>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</si>
  <si>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</si>
  <si>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</si>
  <si>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</si>
  <si>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</si>
  <si>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</si>
  <si>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</si>
  <si>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</si>
  <si>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</si>
  <si>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</si>
  <si>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</si>
  <si>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</si>
  <si>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</si>
  <si>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</si>
  <si>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</si>
  <si>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</si>
  <si>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</si>
  <si>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</si>
  <si>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</si>
  <si>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</si>
  <si>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</si>
  <si>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</si>
  <si>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</si>
  <si>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</si>
  <si>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</si>
  <si>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</si>
  <si>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</si>
  <si>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</si>
  <si>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</si>
  <si>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</si>
  <si>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</si>
  <si>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</si>
  <si>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</si>
  <si>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</si>
  <si>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</si>
  <si>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</si>
  <si>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</si>
  <si>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</si>
  <si>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</si>
  <si>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</si>
  <si>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</si>
  <si>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</si>
  <si>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</si>
  <si>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</si>
  <si>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</si>
  <si>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</si>
  <si>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</si>
  <si>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</si>
  <si>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</si>
  <si>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</si>
  <si>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</si>
  <si>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</si>
  <si>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</si>
  <si>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</si>
  <si>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</si>
  <si>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</si>
  <si>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</si>
  <si>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</si>
  <si>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</si>
  <si>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</si>
  <si>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</si>
  <si>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</si>
  <si>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</si>
  <si>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</si>
  <si>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</si>
  <si>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</si>
  <si>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</si>
  <si>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</si>
  <si>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</si>
  <si>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</si>
  <si>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</si>
  <si>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</si>
  <si>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</si>
  <si>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</si>
  <si>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</si>
  <si>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</si>
  <si>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</si>
  <si>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</si>
  <si>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</si>
  <si>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</si>
  <si>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</si>
  <si>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</si>
  <si>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</si>
  <si>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</si>
  <si>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</si>
  <si>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</si>
  <si>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</si>
  <si>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</si>
  <si>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</si>
  <si>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</si>
  <si>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</si>
  <si>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</si>
  <si>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</si>
  <si>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</si>
  <si>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</si>
  <si>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</si>
  <si>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</si>
  <si>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</si>
  <si>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</si>
  <si>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</si>
  <si>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</si>
  <si>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</si>
  <si>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</si>
  <si>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</si>
  <si>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</si>
  <si>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</si>
  <si>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</si>
  <si>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</si>
  <si>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</si>
  <si>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</si>
  <si>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</si>
  <si>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</si>
  <si>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</si>
  <si>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</si>
  <si>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</si>
  <si>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</si>
  <si>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</si>
  <si>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</si>
  <si>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</si>
  <si>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</si>
  <si>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</si>
  <si>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</si>
  <si>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</si>
  <si>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</si>
  <si>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</si>
  <si>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</si>
  <si>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</si>
  <si>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</si>
  <si>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</si>
  <si>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</si>
  <si>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</si>
  <si>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</si>
  <si>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</si>
  <si>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</si>
  <si>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</si>
  <si>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</si>
  <si>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</si>
  <si>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</si>
  <si>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</si>
  <si>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</si>
  <si>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</si>
  <si>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</si>
  <si>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</si>
  <si>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</si>
  <si>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</si>
  <si>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</si>
  <si>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</si>
  <si>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</si>
  <si>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</si>
  <si>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</si>
  <si>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</si>
  <si>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</si>
  <si>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</si>
  <si>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</si>
  <si>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</si>
  <si>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</si>
  <si>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</si>
  <si>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</si>
  <si>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</si>
  <si>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</si>
  <si>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</si>
  <si>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</si>
  <si>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</si>
  <si>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</si>
  <si>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</si>
  <si>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</si>
  <si>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</si>
  <si>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</si>
  <si>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</si>
  <si>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</si>
  <si>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</si>
  <si>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</si>
  <si>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</si>
  <si>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</si>
  <si>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</si>
  <si>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</si>
  <si>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</si>
  <si>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</si>
  <si>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</si>
  <si>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</si>
  <si>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</si>
  <si>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</si>
  <si>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</si>
  <si>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</si>
  <si>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</si>
  <si>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</si>
  <si>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</si>
  <si>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</si>
  <si>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</si>
  <si>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</si>
  <si>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</si>
  <si>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</si>
  <si>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</si>
  <si>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</si>
  <si>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</si>
  <si>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</si>
  <si>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</si>
  <si>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</si>
  <si>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</si>
  <si>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</si>
  <si>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</si>
  <si>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</si>
  <si>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</si>
  <si>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</si>
  <si>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</si>
  <si>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</si>
  <si>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</si>
  <si>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</si>
  <si>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</si>
  <si>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</si>
  <si>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</si>
  <si>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</si>
  <si>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</si>
  <si>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</si>
  <si>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</si>
  <si>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</si>
  <si>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</si>
  <si>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</si>
  <si>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</si>
  <si>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</si>
  <si>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</si>
  <si>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</si>
  <si>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</si>
  <si>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</si>
  <si>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</si>
  <si>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</si>
  <si>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</si>
  <si>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</si>
  <si>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</si>
  <si>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</si>
  <si>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</si>
  <si>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</si>
  <si>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</si>
  <si>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</si>
  <si>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</si>
  <si>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</si>
  <si>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</si>
  <si>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</si>
  <si>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</si>
  <si>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</si>
  <si>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</si>
  <si>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</si>
  <si>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</si>
  <si>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</si>
  <si>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</si>
  <si>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</si>
  <si>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</si>
  <si>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</si>
  <si>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</si>
  <si>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</si>
  <si>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</si>
  <si>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</si>
  <si>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</si>
  <si>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</si>
  <si>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</si>
  <si>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</si>
  <si>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</si>
  <si>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</si>
  <si>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</si>
  <si>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</si>
  <si>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</si>
  <si>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</si>
  <si>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</si>
  <si>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</si>
  <si>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</si>
  <si>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</si>
  <si>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</si>
  <si>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</si>
  <si>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</si>
  <si>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</si>
  <si>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</si>
  <si>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</si>
  <si>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</si>
  <si>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</si>
  <si>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</si>
  <si>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</si>
  <si>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</si>
  <si>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</si>
  <si>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</si>
  <si>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</si>
  <si>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</si>
  <si>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</si>
  <si>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</si>
  <si>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</si>
  <si>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</si>
  <si>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</si>
  <si>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</si>
  <si>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</si>
  <si>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</si>
  <si>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</si>
  <si>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</si>
  <si>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</si>
  <si>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</si>
  <si>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</si>
  <si>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</si>
  <si>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</si>
  <si>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</si>
  <si>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</si>
  <si>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</si>
  <si>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</si>
  <si>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</si>
  <si>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</si>
  <si>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</si>
  <si>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</si>
  <si>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</si>
  <si>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</si>
  <si>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</si>
  <si>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</si>
  <si>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</si>
  <si>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</si>
  <si>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</si>
  <si>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</si>
  <si>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</si>
  <si>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</si>
  <si>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</si>
  <si>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</si>
  <si>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</si>
  <si>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</si>
  <si>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</si>
  <si>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</si>
  <si>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</si>
  <si>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</si>
  <si>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</si>
  <si>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</si>
  <si>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</si>
  <si>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</si>
  <si>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</si>
  <si>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</si>
  <si>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</si>
  <si>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</si>
  <si>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</si>
  <si>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</si>
  <si>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</si>
  <si>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</si>
  <si>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</si>
  <si>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</si>
  <si>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</si>
  <si>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</si>
  <si>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</si>
  <si>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</si>
  <si>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</si>
  <si>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</si>
  <si>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</si>
  <si>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</si>
  <si>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</si>
  <si>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</si>
  <si>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</si>
  <si>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</si>
  <si>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</si>
  <si>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</si>
  <si>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</si>
  <si>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</si>
  <si>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</si>
  <si>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</si>
  <si>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</si>
  <si>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</si>
  <si>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</si>
  <si>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</si>
  <si>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</si>
  <si>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</si>
  <si>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</si>
  <si>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</si>
  <si>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</si>
  <si>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</si>
  <si>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</si>
  <si>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</si>
  <si>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</si>
  <si>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</si>
  <si>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</si>
  <si>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</si>
  <si>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</si>
  <si>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</si>
  <si>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</si>
  <si>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</si>
  <si>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</si>
  <si>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</si>
  <si>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</si>
  <si>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</si>
  <si>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</si>
  <si>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</si>
  <si>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</si>
  <si>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</si>
  <si>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</si>
  <si>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</si>
  <si>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</si>
  <si>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</si>
  <si>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</si>
  <si>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</si>
  <si>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</si>
  <si>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</si>
  <si>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</si>
  <si>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</si>
  <si>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</si>
  <si>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</si>
  <si>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</si>
  <si>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</si>
  <si>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</si>
  <si>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</si>
  <si>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</si>
  <si>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</si>
  <si>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</si>
  <si>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</si>
  <si>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</si>
  <si>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</si>
  <si>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</si>
  <si>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</si>
  <si>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</si>
  <si>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</si>
  <si>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</si>
  <si>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</si>
  <si>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</si>
  <si>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</si>
  <si>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</si>
  <si>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</si>
  <si>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</si>
  <si>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</si>
  <si>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</si>
  <si>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</si>
  <si>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</si>
  <si>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</si>
  <si>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</si>
  <si>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</si>
  <si>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</si>
  <si>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</si>
  <si>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</si>
  <si>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</si>
  <si>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</si>
  <si>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</si>
  <si>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</si>
  <si>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</si>
  <si>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</si>
  <si>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</si>
  <si>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</si>
  <si>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</si>
  <si>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</si>
  <si>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</si>
  <si>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</si>
  <si>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</si>
  <si>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</si>
  <si>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</si>
  <si>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</si>
  <si>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</si>
  <si>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</si>
  <si>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</si>
  <si>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</si>
  <si>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</si>
  <si>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</si>
  <si>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</si>
  <si>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</si>
  <si>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</si>
  <si>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</si>
  <si>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</si>
  <si>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</si>
  <si>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</si>
  <si>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</si>
  <si>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</si>
  <si>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</si>
  <si>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</si>
  <si>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</si>
  <si>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</si>
  <si>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</si>
  <si>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</si>
  <si>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</si>
  <si>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</si>
  <si>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</si>
  <si>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</si>
  <si>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</si>
  <si>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</si>
  <si>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</si>
  <si>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</si>
  <si>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</si>
  <si>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</si>
  <si>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</si>
  <si>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</si>
  <si>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</si>
  <si>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</si>
  <si>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</si>
  <si>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</si>
  <si>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</si>
  <si>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</si>
  <si>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</si>
  <si>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</si>
  <si>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</si>
  <si>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</si>
  <si>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</si>
  <si>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</si>
  <si>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</si>
  <si>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</si>
  <si>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</si>
  <si>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</si>
  <si>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</si>
  <si>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</si>
  <si>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</si>
  <si>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</si>
  <si>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</si>
  <si>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</si>
  <si>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</si>
  <si>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</si>
  <si>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</si>
  <si>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</si>
  <si>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</si>
  <si>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</si>
  <si>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</si>
  <si>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</si>
  <si>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</si>
  <si>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</si>
  <si>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</si>
  <si>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</si>
  <si>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</si>
  <si>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</si>
  <si>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</si>
  <si>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</si>
  <si>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</si>
  <si>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</si>
  <si>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</si>
  <si>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</si>
  <si>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</si>
  <si>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</si>
  <si>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</si>
  <si>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</si>
  <si>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</si>
  <si>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</si>
  <si>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</si>
  <si>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</si>
  <si>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</si>
  <si>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</si>
  <si>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</si>
  <si>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</si>
  <si>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</si>
  <si>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</si>
  <si>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</si>
  <si>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</si>
  <si>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</si>
  <si>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</si>
  <si>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</si>
  <si>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</si>
  <si>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</si>
  <si>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</si>
  <si>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</si>
  <si>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</si>
  <si>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</si>
  <si>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</si>
  <si>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</si>
  <si>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</si>
  <si>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</si>
  <si>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</si>
  <si>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</si>
  <si>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</si>
  <si>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</si>
  <si>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</si>
  <si>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</si>
  <si>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</si>
  <si>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</si>
  <si>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</si>
  <si>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</si>
  <si>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</si>
  <si>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</si>
  <si>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</si>
  <si>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</si>
  <si>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</si>
  <si>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</si>
  <si>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</si>
  <si>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</si>
  <si>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</si>
  <si>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</si>
  <si>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</si>
  <si>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</si>
  <si>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</si>
  <si>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</si>
  <si>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</si>
  <si>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</si>
  <si>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</si>
  <si>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</si>
  <si>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</si>
  <si>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</si>
  <si>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</si>
  <si>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</si>
  <si>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</si>
  <si>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</si>
  <si>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</si>
  <si>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</si>
  <si>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</si>
  <si>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</si>
  <si>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</si>
  <si>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</si>
  <si>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</si>
  <si>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</si>
  <si>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</si>
  <si>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</si>
  <si>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</si>
  <si>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</si>
  <si>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</si>
  <si>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</si>
  <si>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</si>
  <si>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</si>
  <si>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</si>
  <si>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</si>
  <si>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</si>
  <si>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</si>
  <si>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</si>
  <si>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</si>
  <si>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</si>
  <si>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</si>
  <si>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</si>
  <si>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</si>
  <si>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</si>
  <si>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</si>
  <si>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</si>
  <si>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</si>
  <si>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</si>
  <si>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</si>
  <si>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</si>
  <si>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</si>
  <si>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</si>
  <si>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</si>
  <si>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</si>
  <si>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</si>
  <si>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</si>
  <si>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</si>
  <si>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</si>
  <si>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</si>
  <si>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</si>
  <si>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</si>
  <si>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</si>
  <si>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</si>
  <si>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</si>
  <si>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</si>
  <si>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</si>
  <si>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</si>
  <si>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</si>
  <si>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</si>
  <si>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</si>
  <si>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</si>
  <si>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</si>
  <si>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</si>
  <si>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</si>
  <si>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</si>
  <si>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</si>
  <si>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</si>
  <si>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</si>
  <si>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</si>
  <si>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</si>
  <si>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</si>
  <si>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</si>
  <si>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</si>
  <si>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</si>
  <si>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</si>
  <si>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</si>
  <si>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</si>
  <si>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</si>
  <si>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</si>
  <si>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</si>
  <si>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</si>
  <si>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</si>
  <si>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</si>
  <si>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</si>
  <si>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</si>
  <si>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</si>
  <si>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</si>
  <si>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</si>
  <si>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</si>
  <si>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</si>
  <si>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</si>
  <si>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</si>
  <si>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</si>
  <si>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</si>
  <si>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</si>
  <si>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</si>
  <si>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</si>
  <si>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</si>
  <si>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</si>
  <si>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</si>
  <si>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</si>
  <si>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</si>
  <si>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</si>
  <si>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</si>
  <si>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</si>
  <si>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</si>
  <si>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</si>
  <si>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</si>
  <si>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</si>
  <si>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</si>
  <si>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</si>
  <si>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</si>
  <si>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</si>
  <si>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</si>
  <si>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</si>
  <si>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</si>
  <si>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</si>
  <si>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</si>
  <si>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</si>
  <si>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</si>
  <si>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</si>
  <si>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</si>
  <si>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</si>
  <si>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</si>
  <si>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</si>
  <si>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</si>
  <si>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</si>
  <si>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</si>
  <si>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</si>
  <si>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</si>
  <si>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</si>
  <si>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</si>
  <si>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</si>
  <si>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</si>
  <si>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</si>
  <si>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</si>
  <si>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</si>
  <si>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</si>
  <si>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</si>
  <si>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</si>
  <si>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</si>
  <si>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</si>
  <si>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</si>
  <si>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</si>
  <si>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</si>
  <si>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</si>
  <si>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</si>
  <si>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</si>
  <si>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</si>
  <si>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</si>
  <si>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</si>
  <si>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</si>
  <si>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</si>
  <si>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</si>
  <si>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</si>
  <si>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</si>
  <si>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</si>
  <si>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</si>
  <si>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</si>
  <si>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</si>
  <si>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</si>
  <si>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</si>
  <si>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</si>
  <si>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</si>
  <si>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</si>
  <si>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</si>
  <si>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</si>
  <si>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</si>
  <si>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</si>
  <si>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</si>
  <si>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</si>
  <si>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</si>
  <si>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</si>
  <si>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</si>
  <si>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</si>
  <si>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</si>
  <si>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</si>
  <si>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</si>
  <si>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</si>
  <si>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</si>
  <si>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</si>
  <si>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</si>
  <si>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</si>
  <si>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</si>
  <si>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</si>
  <si>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</si>
  <si>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</si>
  <si>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</si>
  <si>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</si>
  <si>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</si>
  <si>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</si>
  <si>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</si>
  <si>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</si>
  <si>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</si>
  <si>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</si>
  <si>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</si>
  <si>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</si>
  <si>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</si>
  <si>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</si>
  <si>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</si>
  <si>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</si>
  <si>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</si>
  <si>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</si>
  <si>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</si>
  <si>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</si>
  <si>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</si>
  <si>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</si>
  <si>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</si>
  <si>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</si>
  <si>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</si>
  <si>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</si>
  <si>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</si>
  <si>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</si>
  <si>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</si>
  <si>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</si>
  <si>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</si>
  <si>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</si>
  <si>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</si>
  <si>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</si>
  <si>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</si>
  <si>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</si>
  <si>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</si>
  <si>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</si>
  <si>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</si>
  <si>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</si>
  <si>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</si>
  <si>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</si>
  <si>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</si>
  <si>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</si>
  <si>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</si>
  <si>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</si>
  <si>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</si>
  <si>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</si>
  <si>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</si>
  <si>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</si>
  <si>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</si>
  <si>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</si>
  <si>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</si>
  <si>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</si>
  <si>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</si>
  <si>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</si>
  <si>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</si>
  <si>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</si>
  <si>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</si>
  <si>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</si>
  <si>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</si>
  <si>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</si>
  <si>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</si>
  <si>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</si>
  <si>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</si>
  <si>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</si>
  <si>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</si>
  <si>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</si>
  <si>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</si>
  <si>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</si>
  <si>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</si>
  <si>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</si>
  <si>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</si>
  <si>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</si>
  <si>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</si>
  <si>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</si>
  <si>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</si>
  <si>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</si>
  <si>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</si>
  <si>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</si>
  <si>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</si>
  <si>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</si>
  <si>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</si>
  <si>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</si>
  <si>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</si>
  <si>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</si>
  <si>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</si>
  <si>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</si>
  <si>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</si>
  <si>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</si>
  <si>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</si>
  <si>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</si>
  <si>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</si>
  <si>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</si>
  <si>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</si>
  <si>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</si>
  <si>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</si>
  <si>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</si>
  <si>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</si>
  <si>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</si>
  <si>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</si>
  <si>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</si>
  <si>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</si>
  <si>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</si>
  <si>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</si>
  <si>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</si>
  <si>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</si>
  <si>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</si>
  <si>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</si>
  <si>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</si>
  <si>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</si>
  <si>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</si>
  <si>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</si>
  <si>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</si>
  <si>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</si>
  <si>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</si>
  <si>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</si>
  <si>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</si>
  <si>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</si>
  <si>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</si>
  <si>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</si>
  <si>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</si>
  <si>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</si>
  <si>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</si>
  <si>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</si>
  <si>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</si>
  <si>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</si>
  <si>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</si>
  <si>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</si>
  <si>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</si>
  <si>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</si>
  <si>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</si>
  <si>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</si>
  <si>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</si>
  <si>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</si>
  <si>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</si>
  <si>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</si>
  <si>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</si>
  <si>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</si>
  <si>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</si>
  <si>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</si>
  <si>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</si>
  <si>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</si>
  <si>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</si>
  <si>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</si>
  <si>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</si>
  <si>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</si>
  <si>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</si>
  <si>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</si>
  <si>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</si>
  <si>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</si>
  <si>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</si>
  <si>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</si>
  <si>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</si>
  <si>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</si>
  <si>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</si>
  <si>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</si>
  <si>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</si>
  <si>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</si>
  <si>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</si>
  <si>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</si>
  <si>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</si>
  <si>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</si>
  <si>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</si>
  <si>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</si>
  <si>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</si>
  <si>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</si>
  <si>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</si>
  <si>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</si>
  <si>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</si>
  <si>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</si>
  <si>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</si>
  <si>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</si>
  <si>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</si>
  <si>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</si>
  <si>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</si>
  <si>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</si>
  <si>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</si>
  <si>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</si>
  <si>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</si>
  <si>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</si>
  <si>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</si>
  <si>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</si>
  <si>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</si>
  <si>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</si>
  <si>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</si>
  <si>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</si>
  <si>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</si>
  <si>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</si>
  <si>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</si>
  <si>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</si>
  <si>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</si>
  <si>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</si>
  <si>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</si>
  <si>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</si>
  <si>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</si>
  <si>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</si>
  <si>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</si>
  <si>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</si>
  <si>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</si>
  <si>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</si>
  <si>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</si>
  <si>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</si>
  <si>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</si>
  <si>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</si>
  <si>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</si>
  <si>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</si>
  <si>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</si>
  <si>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</si>
  <si>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</si>
  <si>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</si>
  <si>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</si>
  <si>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</si>
  <si>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</si>
  <si>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</si>
  <si>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</si>
  <si>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</si>
  <si>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</si>
  <si>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</si>
  <si>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</si>
  <si>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</si>
  <si>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</si>
  <si>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</si>
  <si>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</si>
  <si>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</si>
  <si>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</si>
  <si>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</si>
  <si>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</si>
  <si>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</si>
  <si>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</si>
  <si>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</si>
  <si>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</si>
  <si>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</si>
  <si>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</si>
  <si>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</si>
  <si>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</si>
  <si>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</si>
  <si>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</si>
  <si>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</si>
  <si>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</si>
  <si>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</si>
  <si>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</si>
  <si>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</si>
  <si>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</si>
  <si>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</si>
  <si>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</si>
  <si>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</si>
  <si>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</si>
  <si>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</si>
  <si>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</si>
  <si>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</si>
  <si>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</si>
  <si>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</si>
  <si>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</si>
  <si>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</si>
  <si>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</si>
  <si>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</si>
  <si>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</si>
  <si>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</si>
  <si>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</si>
  <si>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</si>
  <si>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</si>
  <si>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</si>
  <si>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</si>
  <si>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</si>
  <si>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</si>
  <si>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</si>
  <si>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</si>
  <si>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</si>
  <si>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</si>
  <si>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</si>
  <si>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</si>
  <si>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</si>
  <si>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</si>
  <si>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</si>
  <si>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</si>
  <si>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</si>
  <si>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</si>
  <si>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</si>
  <si>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</si>
  <si>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</si>
  <si>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</si>
  <si>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</si>
  <si>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</si>
  <si>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</si>
  <si>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</si>
  <si>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</si>
  <si>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</si>
  <si>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</si>
  <si>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</si>
  <si>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</si>
  <si>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</si>
  <si>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</si>
  <si>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</si>
  <si>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</si>
  <si>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</si>
  <si>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</si>
  <si>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</si>
  <si>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</si>
  <si>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</si>
  <si>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</si>
  <si>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</si>
  <si>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</si>
  <si>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</si>
  <si>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</si>
  <si>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</si>
  <si>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</si>
  <si>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</si>
  <si>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</si>
  <si>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</si>
  <si>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</si>
  <si>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</si>
  <si>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</si>
  <si>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</si>
  <si>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</si>
  <si>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</si>
  <si>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</si>
  <si>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</si>
  <si>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</si>
  <si>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</si>
  <si>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</si>
  <si>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</si>
  <si>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</si>
  <si>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</si>
  <si>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</si>
  <si>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</si>
  <si>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</si>
  <si>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</si>
  <si>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</si>
  <si>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</si>
  <si>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</si>
  <si>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</si>
  <si>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</si>
  <si>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</si>
  <si>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</si>
  <si>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</si>
  <si>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</si>
  <si>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</si>
  <si>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</si>
  <si>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</si>
  <si>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</si>
  <si>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</si>
  <si>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</si>
  <si>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</si>
  <si>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</si>
  <si>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</si>
  <si>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</si>
  <si>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</si>
  <si>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</si>
  <si>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</si>
  <si>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</si>
  <si>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</si>
  <si>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</si>
  <si>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</si>
  <si>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</si>
  <si>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</si>
  <si>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</si>
  <si>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</si>
  <si>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</si>
  <si>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</si>
  <si>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</si>
  <si>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</si>
  <si>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</si>
  <si>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</si>
  <si>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</si>
  <si>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</si>
  <si>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</si>
  <si>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</si>
  <si>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</si>
  <si>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</si>
  <si>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</si>
  <si>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</si>
  <si>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</si>
  <si>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</si>
  <si>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</si>
  <si>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</si>
  <si>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</si>
  <si>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</si>
  <si>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</si>
  <si>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</si>
  <si>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</si>
  <si>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</si>
  <si>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</si>
  <si>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</si>
  <si>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</si>
  <si>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</si>
  <si>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</si>
  <si>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</si>
  <si>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</si>
  <si>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</si>
  <si>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</si>
  <si>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</si>
  <si>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</si>
  <si>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</si>
  <si>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</si>
  <si>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</si>
  <si>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</si>
  <si>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</si>
  <si>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</si>
  <si>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</si>
  <si>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</si>
  <si>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</si>
  <si>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</si>
  <si>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</si>
  <si>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</si>
  <si>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</si>
  <si>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</si>
  <si>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</si>
  <si>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</si>
  <si>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</si>
  <si>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</si>
  <si>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</si>
  <si>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</si>
  <si>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</si>
  <si>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</si>
  <si>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</si>
  <si>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</si>
  <si>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</si>
  <si>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</si>
  <si>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</si>
  <si>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</si>
  <si>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</si>
  <si>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</si>
  <si>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</si>
  <si>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</si>
  <si>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</si>
  <si>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</si>
  <si>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</si>
  <si>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</si>
  <si>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</si>
  <si>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</si>
  <si>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</si>
  <si>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</si>
  <si>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</si>
  <si>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</si>
  <si>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</si>
  <si>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</si>
  <si>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</si>
  <si>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</si>
  <si>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</si>
  <si>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</si>
  <si>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</si>
  <si>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</si>
  <si>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</si>
  <si>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</si>
  <si>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</si>
  <si>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</si>
  <si>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</si>
  <si>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</si>
  <si>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</si>
  <si>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</si>
  <si>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</si>
  <si>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</si>
  <si>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</si>
  <si>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</si>
  <si>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</si>
  <si>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</si>
  <si>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</si>
  <si>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</si>
  <si>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</si>
  <si>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</si>
  <si>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</si>
  <si>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</si>
  <si>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</si>
  <si>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</si>
  <si>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</si>
  <si>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</si>
  <si>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</si>
  <si>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</si>
  <si>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</si>
  <si>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</si>
  <si>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</si>
  <si>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</si>
  <si>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</si>
  <si>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</si>
  <si>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</si>
  <si>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</si>
  <si>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</si>
  <si>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</si>
  <si>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</si>
  <si>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</si>
  <si>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</si>
  <si>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</si>
  <si>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</si>
  <si>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</si>
  <si>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</si>
  <si>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</si>
  <si>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</si>
  <si>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</si>
  <si>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</si>
  <si>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</si>
  <si>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</si>
  <si>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</si>
  <si>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</si>
  <si>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</si>
  <si>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</si>
  <si>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</si>
  <si>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</si>
  <si>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</si>
  <si>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</si>
  <si>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</si>
  <si>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</si>
  <si>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</si>
  <si>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</si>
  <si>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</si>
  <si>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</si>
  <si>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</si>
  <si>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</si>
  <si>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</si>
  <si>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</si>
  <si>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</si>
  <si>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</si>
  <si>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</si>
  <si>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</si>
  <si>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</si>
  <si>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</si>
  <si>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</si>
  <si>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</si>
  <si>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</si>
  <si>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</si>
  <si>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</si>
  <si>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</si>
  <si>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</si>
  <si>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</si>
  <si>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</si>
  <si>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</si>
  <si>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</si>
  <si>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</si>
  <si>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</si>
  <si>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</si>
  <si>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</si>
  <si>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</si>
  <si>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</si>
  <si>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</si>
  <si>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</si>
  <si>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</si>
  <si>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</si>
  <si>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</si>
  <si>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</si>
  <si>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</si>
  <si>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</si>
  <si>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</si>
  <si>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</si>
  <si>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</si>
  <si>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</si>
  <si>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</si>
  <si>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</si>
  <si>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</si>
  <si>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</si>
  <si>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</si>
  <si>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</si>
  <si>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</si>
  <si>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</si>
  <si>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</si>
  <si>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</si>
  <si>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</si>
  <si>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</si>
  <si>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</si>
  <si>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</si>
  <si>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</si>
  <si>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</si>
  <si>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</si>
  <si>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</si>
  <si>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</si>
  <si>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</si>
  <si>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</si>
  <si>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</si>
  <si>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</si>
  <si>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</si>
  <si>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</si>
  <si>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</si>
  <si>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</si>
  <si>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</si>
  <si>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</si>
  <si>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</si>
  <si>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</si>
  <si>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</si>
  <si>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</si>
  <si>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</si>
  <si>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</si>
  <si>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</si>
  <si>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</si>
  <si>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</si>
  <si>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</si>
  <si>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</si>
  <si>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</si>
  <si>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</si>
  <si>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</si>
  <si>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</si>
  <si>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</si>
  <si>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</si>
  <si>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</si>
  <si>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</si>
  <si>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</si>
  <si>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</si>
  <si>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</si>
  <si>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</si>
  <si>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</si>
  <si>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</si>
  <si>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</si>
  <si>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</si>
  <si>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</si>
  <si>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</si>
  <si>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</si>
  <si>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</si>
  <si>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</si>
  <si>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</si>
  <si>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</si>
  <si>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</si>
  <si>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</si>
  <si>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</si>
  <si>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</si>
  <si>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</si>
  <si>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</si>
  <si>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</si>
  <si>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</si>
  <si>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</si>
  <si>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</si>
  <si>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</si>
  <si>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</si>
  <si>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</si>
  <si>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</si>
  <si>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</si>
  <si>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</si>
  <si>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</si>
  <si>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</si>
  <si>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</si>
  <si>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</si>
  <si>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</si>
  <si>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</si>
  <si>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</si>
  <si>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</si>
  <si>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</si>
  <si>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</si>
  <si>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</si>
  <si>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</si>
  <si>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</si>
  <si>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</si>
  <si>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</si>
  <si>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</si>
  <si>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</si>
  <si>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</si>
  <si>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</si>
  <si>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</si>
  <si>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</si>
  <si>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</si>
  <si>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</si>
  <si>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</si>
  <si>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</si>
  <si>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</si>
  <si>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</si>
  <si>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</si>
  <si>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</si>
  <si>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</si>
  <si>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</si>
  <si>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</si>
  <si>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</si>
  <si>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</si>
  <si>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</si>
  <si>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</si>
  <si>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</si>
  <si>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</si>
  <si>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</si>
  <si>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</si>
  <si>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</si>
  <si>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</si>
  <si>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</si>
  <si>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</si>
  <si>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</si>
  <si>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</si>
  <si>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</si>
  <si>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</si>
  <si>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</si>
  <si>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</si>
  <si>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</si>
  <si>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</si>
  <si>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</si>
  <si>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</si>
  <si>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</si>
  <si>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</si>
  <si>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</si>
  <si>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</si>
  <si>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</si>
  <si>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</si>
  <si>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</si>
  <si>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</si>
  <si>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</si>
  <si>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</si>
  <si>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</si>
  <si>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</si>
  <si>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</si>
  <si>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</si>
  <si>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</si>
  <si>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</si>
  <si>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</si>
  <si>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</si>
  <si>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</si>
  <si>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</si>
  <si>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</si>
  <si>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</si>
  <si>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</si>
  <si>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</si>
  <si>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</si>
  <si>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</si>
  <si>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</si>
  <si>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</si>
  <si>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</si>
  <si>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</si>
  <si>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</si>
  <si>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</si>
  <si>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</si>
  <si>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</si>
  <si>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</si>
  <si>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</si>
  <si>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</si>
  <si>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</si>
  <si>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</si>
  <si>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</si>
  <si>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</si>
  <si>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</si>
  <si>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</si>
  <si>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</si>
  <si>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</si>
  <si>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</si>
  <si>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</si>
  <si>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</si>
  <si>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</si>
  <si>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</si>
  <si>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</si>
  <si>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</si>
  <si>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</si>
  <si>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</si>
  <si>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</si>
  <si>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</si>
  <si>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</si>
  <si>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</si>
  <si>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</si>
  <si>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</si>
  <si>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</si>
  <si>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</si>
  <si>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</si>
  <si>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</si>
  <si>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</si>
  <si>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</si>
  <si>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</si>
  <si>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</si>
  <si>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</si>
  <si>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</si>
  <si>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</si>
  <si>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</si>
  <si>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</si>
  <si>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</si>
  <si>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</si>
  <si>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</si>
  <si>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</si>
  <si>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</si>
  <si>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</si>
  <si>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</si>
  <si>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</si>
  <si>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</si>
  <si>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</si>
  <si>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</si>
  <si>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</si>
  <si>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</si>
  <si>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</si>
  <si>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</si>
  <si>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</si>
  <si>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</si>
  <si>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</si>
  <si>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</si>
  <si>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</si>
  <si>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</si>
  <si>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</si>
  <si>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</si>
  <si>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</si>
  <si>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</si>
  <si>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</si>
  <si>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</si>
  <si>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</si>
  <si>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</si>
  <si>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</si>
  <si>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</si>
  <si>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</si>
  <si>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</si>
  <si>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</si>
  <si>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</si>
  <si>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</si>
  <si>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</si>
  <si>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</si>
  <si>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</si>
  <si>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</si>
  <si>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</si>
  <si>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</si>
  <si>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</si>
  <si>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</si>
  <si>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</si>
  <si>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</si>
  <si>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</si>
  <si>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</si>
  <si>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</si>
  <si>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</si>
  <si>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</si>
  <si>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</si>
  <si>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</si>
  <si>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</si>
  <si>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</si>
  <si>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</si>
  <si>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</si>
  <si>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</si>
  <si>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</si>
  <si>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</si>
  <si>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</si>
  <si>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</si>
  <si>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</si>
  <si>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</si>
  <si>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</si>
  <si>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</si>
  <si>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</si>
  <si>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</si>
  <si>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</si>
  <si>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</si>
  <si>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</si>
  <si>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</si>
  <si>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</si>
  <si>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</si>
  <si>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</si>
  <si>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</si>
  <si>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</si>
  <si>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</si>
  <si>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</si>
  <si>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</si>
  <si>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</si>
  <si>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</si>
  <si>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</si>
  <si>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</si>
  <si>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</si>
  <si>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</si>
  <si>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</si>
  <si>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</si>
  <si>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</si>
  <si>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</si>
  <si>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</si>
  <si>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</si>
  <si>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</si>
  <si>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</si>
  <si>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</si>
  <si>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</si>
  <si>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</si>
  <si>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</si>
  <si>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</si>
  <si>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</si>
  <si>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</si>
  <si>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</si>
  <si>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</si>
  <si>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</si>
  <si>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</si>
  <si>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</si>
  <si>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</si>
  <si>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</si>
  <si>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</si>
  <si>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</si>
  <si>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</si>
  <si>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</si>
  <si>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</si>
  <si>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</si>
  <si>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</si>
  <si>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</si>
  <si>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</si>
  <si>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</si>
  <si>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</si>
  <si>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</si>
  <si>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</si>
  <si>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</si>
  <si>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</si>
  <si>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</si>
  <si>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</si>
  <si>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</si>
  <si>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</si>
  <si>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</si>
  <si>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</si>
  <si>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</si>
  <si>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</si>
  <si>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</si>
  <si>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</si>
  <si>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</si>
  <si>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</si>
  <si>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</si>
  <si>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</si>
  <si>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</si>
  <si>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</si>
  <si>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</si>
  <si>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</si>
  <si>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</si>
  <si>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</si>
  <si>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</si>
  <si>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</si>
  <si>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</si>
  <si>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</si>
  <si>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</si>
  <si>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</si>
  <si>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</si>
  <si>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</si>
  <si>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</si>
  <si>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</si>
  <si>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</si>
  <si>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</si>
  <si>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</si>
  <si>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</si>
  <si>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</si>
  <si>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</si>
  <si>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</si>
  <si>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</si>
  <si>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</si>
  <si>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</si>
  <si>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</si>
  <si>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</si>
  <si>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</si>
  <si>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</si>
  <si>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</si>
  <si>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</si>
  <si>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</si>
  <si>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</si>
  <si>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</si>
  <si>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</si>
  <si>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</si>
  <si>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</si>
  <si>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</si>
  <si>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</si>
  <si>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</si>
  <si>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</si>
  <si>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</si>
  <si>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</si>
  <si>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</si>
  <si>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</si>
  <si>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</si>
  <si>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</si>
  <si>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</si>
  <si>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</si>
  <si>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</si>
  <si>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</si>
  <si>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</si>
  <si>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</si>
  <si>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</si>
  <si>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</si>
  <si>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</si>
  <si>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</si>
  <si>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</si>
  <si>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</si>
  <si>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</si>
  <si>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</si>
  <si>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</si>
  <si>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</si>
  <si>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</si>
  <si>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</si>
  <si>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</si>
  <si>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</si>
  <si>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</si>
  <si>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</si>
  <si>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</si>
  <si>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</si>
  <si>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</si>
  <si>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</si>
  <si>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</si>
  <si>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</si>
  <si>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</si>
  <si>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</si>
  <si>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</si>
  <si>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</si>
  <si>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</si>
  <si>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</si>
  <si>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</si>
  <si>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</si>
  <si>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</si>
  <si>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</si>
  <si>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</si>
  <si>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</si>
  <si>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</si>
  <si>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</si>
  <si>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</si>
  <si>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</si>
  <si>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</si>
  <si>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</si>
  <si>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</si>
  <si>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</si>
  <si>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</si>
  <si>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</si>
  <si>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</si>
  <si>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</si>
  <si>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</si>
  <si>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</si>
  <si>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</si>
  <si>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</si>
  <si>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</si>
  <si>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</si>
  <si>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</si>
  <si>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</si>
  <si>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</si>
  <si>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</si>
  <si>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</si>
  <si>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</si>
  <si>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</si>
  <si>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</si>
  <si>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</si>
  <si>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</si>
  <si>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</si>
  <si>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</si>
  <si>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</si>
  <si>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</si>
  <si>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</si>
  <si>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</si>
  <si>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</si>
  <si>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</si>
  <si>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</si>
  <si>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</si>
  <si>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</si>
  <si>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</si>
  <si>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</si>
  <si>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</si>
  <si>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</si>
  <si>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</si>
  <si>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</si>
  <si>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</si>
  <si>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</si>
  <si>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</si>
  <si>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</si>
  <si>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</si>
  <si>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</si>
  <si>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</si>
  <si>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</si>
  <si>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</si>
  <si>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</si>
  <si>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</si>
  <si>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</si>
  <si>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</si>
  <si>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</si>
  <si>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</si>
  <si>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</si>
  <si>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</si>
  <si>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</si>
  <si>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</si>
  <si>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</si>
  <si>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</si>
  <si>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</si>
  <si>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</si>
  <si>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</si>
  <si>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</si>
  <si>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</si>
  <si>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</si>
  <si>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</si>
  <si>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</si>
  <si>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</si>
  <si>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</si>
  <si>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</si>
  <si>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</si>
  <si>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</si>
  <si>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</si>
  <si>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</si>
  <si>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</si>
  <si>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</si>
  <si>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</si>
  <si>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</si>
  <si>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</si>
  <si>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</si>
  <si>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</si>
  <si>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</si>
  <si>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</si>
  <si>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</si>
  <si>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</si>
  <si>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</si>
  <si>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</si>
  <si>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</si>
  <si>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</si>
  <si>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</si>
  <si>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</si>
  <si>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</si>
  <si>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</si>
  <si>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</si>
  <si>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</si>
  <si>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</si>
  <si>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</si>
  <si>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</si>
  <si>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</si>
  <si>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</si>
  <si>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</si>
  <si>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</si>
  <si>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</si>
  <si>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</si>
  <si>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</si>
  <si>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</si>
  <si>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</si>
  <si>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</si>
  <si>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</si>
  <si>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</si>
  <si>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</si>
  <si>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</si>
  <si>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</si>
  <si>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</si>
  <si>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</si>
  <si>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</si>
  <si>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</si>
  <si>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</si>
  <si>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</si>
  <si>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</si>
  <si>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</si>
  <si>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</si>
  <si>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</si>
  <si>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</si>
  <si>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</si>
  <si>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</si>
  <si>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</si>
  <si>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</si>
  <si>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</si>
  <si>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</si>
  <si>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</si>
  <si>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</si>
  <si>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</si>
  <si>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</si>
  <si>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</si>
  <si>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</si>
  <si>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</si>
  <si>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</si>
  <si>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</si>
  <si>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</si>
  <si>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</si>
  <si>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</si>
  <si>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</si>
  <si>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</si>
  <si>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</si>
  <si>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</si>
  <si>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</si>
  <si>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</si>
  <si>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</si>
  <si>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</si>
  <si>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</si>
  <si>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</si>
  <si>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</si>
  <si>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</si>
  <si>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</si>
  <si>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</si>
  <si>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</si>
  <si>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</si>
  <si>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</si>
  <si>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</si>
  <si>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</si>
  <si>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</si>
  <si>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</si>
  <si>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</si>
  <si>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</si>
  <si>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</si>
  <si>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</si>
  <si>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</si>
  <si>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</si>
  <si>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</si>
  <si>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</si>
  <si>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</si>
  <si>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</si>
  <si>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</si>
  <si>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</si>
  <si>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</si>
  <si>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</si>
  <si>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</si>
  <si>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</si>
  <si>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</si>
  <si>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</si>
  <si>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</si>
  <si>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</si>
  <si>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</si>
  <si>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</si>
  <si>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</si>
  <si>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</si>
  <si>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</si>
  <si>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</si>
  <si>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</si>
  <si>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</si>
  <si>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</si>
  <si>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</si>
  <si>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</si>
  <si>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</si>
  <si>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</si>
  <si>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</si>
  <si>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</si>
  <si>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</si>
  <si>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</si>
  <si>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</si>
  <si>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</si>
  <si>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</si>
  <si>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</si>
  <si>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</si>
  <si>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</si>
  <si>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</si>
  <si>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</si>
  <si>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</si>
  <si>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</si>
  <si>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</si>
  <si>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</si>
  <si>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</si>
  <si>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</si>
  <si>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</si>
  <si>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</si>
  <si>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</si>
  <si>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</si>
  <si>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</si>
  <si>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</si>
  <si>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</si>
  <si>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</si>
  <si>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</si>
  <si>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</si>
  <si>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</si>
  <si>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</si>
  <si>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</si>
  <si>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</si>
  <si>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</si>
  <si>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</si>
  <si>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</si>
  <si>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</si>
  <si>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</si>
  <si>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</si>
  <si>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</si>
  <si>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</si>
  <si>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</si>
  <si>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</si>
  <si>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</si>
  <si>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</si>
  <si>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</si>
  <si>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</si>
  <si>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</si>
  <si>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</si>
  <si>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</si>
  <si>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</si>
  <si>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</si>
  <si>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</si>
  <si>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</si>
  <si>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</si>
  <si>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</si>
  <si>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</si>
  <si>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</si>
  <si>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</si>
  <si>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</si>
  <si>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</si>
  <si>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</si>
  <si>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</si>
  <si>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</si>
  <si>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</si>
  <si>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</si>
  <si>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</si>
  <si>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</si>
  <si>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</si>
  <si>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</si>
  <si>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</si>
  <si>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</si>
  <si>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</si>
  <si>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</si>
  <si>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</si>
  <si>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</si>
  <si>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</si>
  <si>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</si>
  <si>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</si>
  <si>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</si>
  <si>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</si>
  <si>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</si>
  <si>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</si>
  <si>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</si>
  <si>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</si>
  <si>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</si>
  <si>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</si>
  <si>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</si>
  <si>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</si>
  <si>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</si>
  <si>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</si>
  <si>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</si>
  <si>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</si>
  <si>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</si>
  <si>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</si>
  <si>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</si>
  <si>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</si>
  <si>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</si>
  <si>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</si>
  <si>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</si>
  <si>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</si>
  <si>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</si>
  <si>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</si>
  <si>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</si>
  <si>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</si>
  <si>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</si>
  <si>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</si>
  <si>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</si>
  <si>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</si>
  <si>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</si>
  <si>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</si>
  <si>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</si>
  <si>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</si>
  <si>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</si>
  <si>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</si>
  <si>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</si>
  <si>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</si>
  <si>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</si>
  <si>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</si>
  <si>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</si>
  <si>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</si>
  <si>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</si>
  <si>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</si>
  <si>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</si>
  <si>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</si>
  <si>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</si>
  <si>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</si>
  <si>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</si>
  <si>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</si>
  <si>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</si>
  <si>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</si>
  <si>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</si>
  <si>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</si>
  <si>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</si>
  <si>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</si>
  <si>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</si>
  <si>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</si>
  <si>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</si>
  <si>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</si>
  <si>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</si>
  <si>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</si>
  <si>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</si>
  <si>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</si>
  <si>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</si>
  <si>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</si>
  <si>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</si>
  <si>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</si>
  <si>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</si>
  <si>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</si>
  <si>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</si>
  <si>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</si>
  <si>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</si>
  <si>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</si>
  <si>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</si>
  <si>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</si>
  <si>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</si>
  <si>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</si>
  <si>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</si>
  <si>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</si>
  <si>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</si>
  <si>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</si>
  <si>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</si>
  <si>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</si>
  <si>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</si>
  <si>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</si>
  <si>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</si>
  <si>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</si>
  <si>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</si>
  <si>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</si>
  <si>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</si>
  <si>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</si>
  <si>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</si>
  <si>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</si>
  <si>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</si>
  <si>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</si>
  <si>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</si>
  <si>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</si>
  <si>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</si>
  <si>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</si>
  <si>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</si>
  <si>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</si>
  <si>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</si>
  <si>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</si>
  <si>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</si>
  <si>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</si>
  <si>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</si>
  <si>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</si>
  <si>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</si>
  <si>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</si>
  <si>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</si>
  <si>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</si>
  <si>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</si>
  <si>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</si>
  <si>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</si>
  <si>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</si>
  <si>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</si>
  <si>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</si>
  <si>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</si>
  <si>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</si>
  <si>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</si>
  <si>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</si>
  <si>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</si>
  <si>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</si>
  <si>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</si>
  <si>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</si>
  <si>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</si>
  <si>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</si>
  <si>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</si>
  <si>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</si>
  <si>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</si>
  <si>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</si>
  <si>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</si>
  <si>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</si>
  <si>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</si>
  <si>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</si>
  <si>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</si>
  <si>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</si>
  <si>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</si>
  <si>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</si>
  <si>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</si>
  <si>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</si>
  <si>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</si>
  <si>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</si>
  <si>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</si>
  <si>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</si>
  <si>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</si>
  <si>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</si>
  <si>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</si>
  <si>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</si>
  <si>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</si>
  <si>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</si>
  <si>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</si>
  <si>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</si>
  <si>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</si>
  <si>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</si>
  <si>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</si>
  <si>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</si>
  <si>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</si>
  <si>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</si>
  <si>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</si>
  <si>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</si>
  <si>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</si>
  <si>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</si>
  <si>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</si>
  <si>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</si>
  <si>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</si>
  <si>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</si>
  <si>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</si>
  <si>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</si>
  <si>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</si>
  <si>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</si>
  <si>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</si>
  <si>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</si>
  <si>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</si>
  <si>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</si>
  <si>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</si>
  <si>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</si>
  <si>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</si>
  <si>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</si>
  <si>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</si>
  <si>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</si>
  <si>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</si>
  <si>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</si>
  <si>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</si>
  <si>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</si>
  <si>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</si>
  <si>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</si>
  <si>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</si>
  <si>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</si>
  <si>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</si>
  <si>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</si>
  <si>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</si>
  <si>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</si>
  <si>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</si>
  <si>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</si>
  <si>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</si>
  <si>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</si>
  <si>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</si>
  <si>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</si>
  <si>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</si>
  <si>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</si>
  <si>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</si>
  <si>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</si>
  <si>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</si>
  <si>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</si>
  <si>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</si>
  <si>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</si>
  <si>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</si>
  <si>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</si>
  <si>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</si>
  <si>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</si>
  <si>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</si>
  <si>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</si>
  <si>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</si>
  <si>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</si>
  <si>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</si>
  <si>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</si>
  <si>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</si>
  <si>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</si>
  <si>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</si>
  <si>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</si>
  <si>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</si>
  <si>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</si>
  <si>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</si>
  <si>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</si>
  <si>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</si>
  <si>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</si>
  <si>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</si>
  <si>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</si>
  <si>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</si>
  <si>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</si>
  <si>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</si>
  <si>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</si>
  <si>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</si>
  <si>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</si>
  <si>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</si>
  <si>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</si>
  <si>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</si>
  <si>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</si>
  <si>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</si>
  <si>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</si>
  <si>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</si>
  <si>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</si>
  <si>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</si>
  <si>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</si>
  <si>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</si>
  <si>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</si>
  <si>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</si>
  <si>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</si>
  <si>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</si>
  <si>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</si>
  <si>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</si>
  <si>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</si>
  <si>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</si>
  <si>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</si>
  <si>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</si>
  <si>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</si>
  <si>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</si>
  <si>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</si>
  <si>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</si>
  <si>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</si>
  <si>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</si>
  <si>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</si>
  <si>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</si>
  <si>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</si>
  <si>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</si>
  <si>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</si>
  <si>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</si>
  <si>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</si>
  <si>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</si>
  <si>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</si>
  <si>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</si>
  <si>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</si>
  <si>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</si>
  <si>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</si>
  <si>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</si>
  <si>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</si>
  <si>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</si>
  <si>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</si>
  <si>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</si>
  <si>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</si>
  <si>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</si>
  <si>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</si>
  <si>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</si>
  <si>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</si>
  <si>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</si>
  <si>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</si>
  <si>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</si>
  <si>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</si>
  <si>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</si>
  <si>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</si>
  <si>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</si>
  <si>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</si>
  <si>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</si>
  <si>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</si>
  <si>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</si>
  <si>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</si>
  <si>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</si>
  <si>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</si>
  <si>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</si>
  <si>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</si>
  <si>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</si>
  <si>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</si>
  <si>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</si>
  <si>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</si>
  <si>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</si>
  <si>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</si>
  <si>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</si>
  <si>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</si>
  <si>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</si>
  <si>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</si>
  <si>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</si>
  <si>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</si>
  <si>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</si>
  <si>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</si>
  <si>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</si>
  <si>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</si>
  <si>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</si>
  <si>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</si>
  <si>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</si>
  <si>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</si>
  <si>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</si>
  <si>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</si>
  <si>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</si>
  <si>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</si>
  <si>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</si>
  <si>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</si>
  <si>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</si>
  <si>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</si>
  <si>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</si>
  <si>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</si>
  <si>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</si>
  <si>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</si>
  <si>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</si>
  <si>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</si>
  <si>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</si>
  <si>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</si>
  <si>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</si>
  <si>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</si>
  <si>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</si>
  <si>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</si>
  <si>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</si>
  <si>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</si>
  <si>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</si>
  <si>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</si>
  <si>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</si>
  <si>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</si>
  <si>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</si>
  <si>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</si>
  <si>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</si>
  <si>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</si>
  <si>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</si>
  <si>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</si>
  <si>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</si>
  <si>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</si>
  <si>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</si>
  <si>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</si>
  <si>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</si>
  <si>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</si>
  <si>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</si>
  <si>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</si>
  <si>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</si>
  <si>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</si>
  <si>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</si>
  <si>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</si>
  <si>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</si>
  <si>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</si>
  <si>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</si>
  <si>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</si>
  <si>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</si>
  <si>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</si>
  <si>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</si>
  <si>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</si>
  <si>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</si>
  <si>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</si>
  <si>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</si>
  <si>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</si>
  <si>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</si>
  <si>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</si>
  <si>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</si>
  <si>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</si>
  <si>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</si>
  <si>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</si>
  <si>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</si>
  <si>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</si>
  <si>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</si>
  <si>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</si>
  <si>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</si>
  <si>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</si>
  <si>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</si>
  <si>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</si>
  <si>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</si>
  <si>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</si>
  <si>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</si>
  <si>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</si>
  <si>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</si>
  <si>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</si>
  <si>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</si>
  <si>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</si>
  <si>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</si>
  <si>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</si>
  <si>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</si>
  <si>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</si>
  <si>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</si>
  <si>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</si>
  <si>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</si>
  <si>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</si>
  <si>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</si>
  <si>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</si>
  <si>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</si>
  <si>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</si>
  <si>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</si>
  <si>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</si>
  <si>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</si>
  <si>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</si>
  <si>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</si>
  <si>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</si>
  <si>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</si>
  <si>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</si>
  <si>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</si>
  <si>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</si>
  <si>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</si>
  <si>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</si>
  <si>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</si>
  <si>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</si>
  <si>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</si>
  <si>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</si>
  <si>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</si>
  <si>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</si>
  <si>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</si>
  <si>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</si>
  <si>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</si>
  <si>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</si>
  <si>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</si>
  <si>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</si>
  <si>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</si>
  <si>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</si>
  <si>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</si>
  <si>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</si>
  <si>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</si>
  <si>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</si>
  <si>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</si>
  <si>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</si>
  <si>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</si>
  <si>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</si>
  <si>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</si>
  <si>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</si>
  <si>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</si>
  <si>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</si>
  <si>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</si>
  <si>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</si>
  <si>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</si>
  <si>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</si>
  <si>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</si>
  <si>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</si>
  <si>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</si>
  <si>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</si>
  <si>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</si>
  <si>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</si>
  <si>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</si>
  <si>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</si>
  <si>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</si>
  <si>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</si>
  <si>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</si>
  <si>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</si>
  <si>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</si>
  <si>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</si>
  <si>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</si>
  <si>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</si>
  <si>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</si>
  <si>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</si>
  <si>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</si>
  <si>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</si>
  <si>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</si>
  <si>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</si>
  <si>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</si>
  <si>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</si>
  <si>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</si>
  <si>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</si>
  <si>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</si>
  <si>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</si>
  <si>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</si>
  <si>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</si>
  <si>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</si>
  <si>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</si>
  <si>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</si>
  <si>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</si>
  <si>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</si>
  <si>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</si>
  <si>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</si>
  <si>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</si>
  <si>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</si>
  <si>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</si>
  <si>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</si>
  <si>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</si>
  <si>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</si>
  <si>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</si>
  <si>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</si>
  <si>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</si>
  <si>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</si>
  <si>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</si>
  <si>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</si>
  <si>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</si>
  <si>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</si>
  <si>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</si>
  <si>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</si>
  <si>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</si>
  <si>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</si>
  <si>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</si>
  <si>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</si>
  <si>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</si>
  <si>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</si>
  <si>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</si>
  <si>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</si>
  <si>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</si>
  <si>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</si>
  <si>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</si>
  <si>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</si>
  <si>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</si>
  <si>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</si>
  <si>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</si>
  <si>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</si>
  <si>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</si>
  <si>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</si>
  <si>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</si>
  <si>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</si>
  <si>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</si>
  <si>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</si>
  <si>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</si>
  <si>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</si>
  <si>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</si>
  <si>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</si>
  <si>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</si>
  <si>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</si>
  <si>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</si>
  <si>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</si>
  <si>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</si>
  <si>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</si>
  <si>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</si>
  <si>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</si>
  <si>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</si>
  <si>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</si>
  <si>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</si>
  <si>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</si>
  <si>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</si>
  <si>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</si>
  <si>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</si>
  <si>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</si>
  <si>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</si>
  <si>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</si>
  <si>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</si>
  <si>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</si>
  <si>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</si>
  <si>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</si>
  <si>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</si>
  <si>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</si>
  <si>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</si>
  <si>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</si>
  <si>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</si>
  <si>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</si>
  <si>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</si>
  <si>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</si>
  <si>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</si>
  <si>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</si>
  <si>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</si>
  <si>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</si>
  <si>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</si>
  <si>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</si>
  <si>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</si>
  <si>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</si>
  <si>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</si>
  <si>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</si>
  <si>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</si>
  <si>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</si>
  <si>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</si>
  <si>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</si>
  <si>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</si>
  <si>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</si>
  <si>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</si>
  <si>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</si>
  <si>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</si>
  <si>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</si>
  <si>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</si>
  <si>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</si>
  <si>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</si>
  <si>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</si>
  <si>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</si>
  <si>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</si>
  <si>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</si>
  <si>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</si>
  <si>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</si>
  <si>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</si>
  <si>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</si>
  <si>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</si>
  <si>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</si>
  <si>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</si>
  <si>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</si>
  <si>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</si>
  <si>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</si>
  <si>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</si>
  <si>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</si>
  <si>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</si>
  <si>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</si>
  <si>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</si>
  <si>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</si>
  <si>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</si>
  <si>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</si>
  <si>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</si>
  <si>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</si>
  <si>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</si>
  <si>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</si>
  <si>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</si>
  <si>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</si>
  <si>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</si>
  <si>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</si>
  <si>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</si>
  <si>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</si>
  <si>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</si>
  <si>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</si>
  <si>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</si>
  <si>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</si>
  <si>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</si>
  <si>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</si>
  <si>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</si>
  <si>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</si>
  <si>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</si>
  <si>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</si>
  <si>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</si>
  <si>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</si>
  <si>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</si>
  <si>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</si>
  <si>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</si>
  <si>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</si>
  <si>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</si>
  <si>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</si>
  <si>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</si>
  <si>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</si>
  <si>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</si>
  <si>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</si>
  <si>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</si>
  <si>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</si>
  <si>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</si>
  <si>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</si>
  <si>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</si>
  <si>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</si>
  <si>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</si>
  <si>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</si>
  <si>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</si>
  <si>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</si>
  <si>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</si>
  <si>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</si>
  <si>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</si>
  <si>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</si>
  <si>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</si>
  <si>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</si>
  <si>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</si>
  <si>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</si>
  <si>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</si>
  <si>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</si>
  <si>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</si>
  <si>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</si>
  <si>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</si>
  <si>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</si>
  <si>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</si>
  <si>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</si>
  <si>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</si>
  <si>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</si>
  <si>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</si>
  <si>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</si>
  <si>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</si>
  <si>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</si>
  <si>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</si>
  <si>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</si>
  <si>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</si>
  <si>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</si>
  <si>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</si>
  <si>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</si>
  <si>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</si>
  <si>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</si>
  <si>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</si>
  <si>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</si>
  <si>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</si>
  <si>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</si>
  <si>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</si>
  <si>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</si>
  <si>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</si>
  <si>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</si>
  <si>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</si>
  <si>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</si>
  <si>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</si>
  <si>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</si>
  <si>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</si>
  <si>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</si>
  <si>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</si>
  <si>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</si>
  <si>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</si>
  <si>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</si>
  <si>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</si>
  <si>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</si>
  <si>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</si>
  <si>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</si>
  <si>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</si>
  <si>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</si>
  <si>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</si>
  <si>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</si>
  <si>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</si>
  <si>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</si>
  <si>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</si>
  <si>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</si>
  <si>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</si>
  <si>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</si>
  <si>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</si>
  <si>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</si>
  <si>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</si>
  <si>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</si>
  <si>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</si>
  <si>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</si>
  <si>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</si>
  <si>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</si>
  <si>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</si>
  <si>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</si>
  <si>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</si>
  <si>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</si>
  <si>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</si>
  <si>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</si>
  <si>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</si>
  <si>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</si>
  <si>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</si>
  <si>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</si>
  <si>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</si>
  <si>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</si>
  <si>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</si>
  <si>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</si>
  <si>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</si>
  <si>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</si>
  <si>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</si>
  <si>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</si>
  <si>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</si>
  <si>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</si>
  <si>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</si>
  <si>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</si>
  <si>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</si>
  <si>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</si>
  <si>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</si>
  <si>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</si>
  <si>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</si>
  <si>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</si>
  <si>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</si>
  <si>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</si>
  <si>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</si>
  <si>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</si>
  <si>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</si>
  <si>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</si>
  <si>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</si>
  <si>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</si>
  <si>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</si>
  <si>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</si>
  <si>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</si>
  <si>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</si>
  <si>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</si>
  <si>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</si>
  <si>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</si>
  <si>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</si>
  <si>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</si>
  <si>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</si>
  <si>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</si>
  <si>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</si>
  <si>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</si>
  <si>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</si>
  <si>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</si>
  <si>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</si>
  <si>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</si>
  <si>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</si>
  <si>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</si>
  <si>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</si>
  <si>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</si>
  <si>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</si>
  <si>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</si>
  <si>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</si>
  <si>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</si>
  <si>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</si>
  <si>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</si>
  <si>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</si>
  <si>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</si>
  <si>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</si>
  <si>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</si>
  <si>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</si>
  <si>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</si>
  <si>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</si>
  <si>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</si>
  <si>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</si>
  <si>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</si>
  <si>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</si>
  <si>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</si>
  <si>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</si>
  <si>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</si>
  <si>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</si>
  <si>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</si>
  <si>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</si>
  <si>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</si>
  <si>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</si>
  <si>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</si>
  <si>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</si>
  <si>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</si>
  <si>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</si>
  <si>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</si>
  <si>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</si>
  <si>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</si>
  <si>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</si>
  <si>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</si>
  <si>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</si>
  <si>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</si>
  <si>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</si>
  <si>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</si>
  <si>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</si>
  <si>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</si>
  <si>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</si>
  <si>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</si>
  <si>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</si>
  <si>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</si>
  <si>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</si>
  <si>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</si>
  <si>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</si>
  <si>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</si>
  <si>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</si>
  <si>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</si>
  <si>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</si>
  <si>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</si>
  <si>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</si>
  <si>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</si>
  <si>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</si>
  <si>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</si>
  <si>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</si>
  <si>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</si>
  <si>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</si>
  <si>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</si>
  <si>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</si>
  <si>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</si>
  <si>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</si>
  <si>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</si>
  <si>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</si>
  <si>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</si>
  <si>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</si>
  <si>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</si>
  <si>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</si>
  <si>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</si>
  <si>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</si>
  <si>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</si>
  <si>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</si>
  <si>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</si>
  <si>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</si>
  <si>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</si>
  <si>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</si>
  <si>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</si>
  <si>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</si>
  <si>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</si>
  <si>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</si>
  <si>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</si>
  <si>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</si>
  <si>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</si>
  <si>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</si>
  <si>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</si>
  <si>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</si>
  <si>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</si>
  <si>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</si>
  <si>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</si>
  <si>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</si>
  <si>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</si>
  <si>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</si>
  <si>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</si>
  <si>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</si>
  <si>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</si>
  <si>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</si>
  <si>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</si>
  <si>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</si>
  <si>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</si>
  <si>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</si>
  <si>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</si>
  <si>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</si>
  <si>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</si>
  <si>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</si>
  <si>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</si>
  <si>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</si>
  <si>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</si>
  <si>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</si>
  <si>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</si>
  <si>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</si>
  <si>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</si>
  <si>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</si>
  <si>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</si>
  <si>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</si>
  <si>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</si>
  <si>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</si>
  <si>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</si>
  <si>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</si>
  <si>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</si>
  <si>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</si>
  <si>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</si>
  <si>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</si>
  <si>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</si>
  <si>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</si>
  <si>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</si>
  <si>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</si>
  <si>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</si>
  <si>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</si>
  <si>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</si>
  <si>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</si>
  <si>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</si>
  <si>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</si>
  <si>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</si>
  <si>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</si>
  <si>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</si>
  <si>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</si>
  <si>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</si>
  <si>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</si>
  <si>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</si>
  <si>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</si>
  <si>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</si>
  <si>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</si>
  <si>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</si>
  <si>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</si>
  <si>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</si>
  <si>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</si>
  <si>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</si>
  <si>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</si>
  <si>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</si>
  <si>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</si>
  <si>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</si>
  <si>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</si>
  <si>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</si>
  <si>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</si>
  <si>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</si>
  <si>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</si>
  <si>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</si>
  <si>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</si>
  <si>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</si>
  <si>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</si>
  <si>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</si>
  <si>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</si>
  <si>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</si>
  <si>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</si>
  <si>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</si>
  <si>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</si>
  <si>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</si>
  <si>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</si>
  <si>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</si>
  <si>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</si>
  <si>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</si>
  <si>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</si>
  <si>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</si>
  <si>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</si>
  <si>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</si>
  <si>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</si>
  <si>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</si>
  <si>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</si>
  <si>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</si>
  <si>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</si>
  <si>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</si>
  <si>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</si>
  <si>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</si>
  <si>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</si>
  <si>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</si>
  <si>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</si>
  <si>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</si>
  <si>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</si>
  <si>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</si>
  <si>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</si>
  <si>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</si>
  <si>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</si>
  <si>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</si>
  <si>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</si>
  <si>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</si>
  <si>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</si>
  <si>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</si>
  <si>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</si>
  <si>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</si>
  <si>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</si>
  <si>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</si>
  <si>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</si>
  <si>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</si>
  <si>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</si>
  <si>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</si>
  <si>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</si>
  <si>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</si>
  <si>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</si>
  <si>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</si>
  <si>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</si>
  <si>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</si>
  <si>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</si>
  <si>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</si>
  <si>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</si>
  <si>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</si>
  <si>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</si>
  <si>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</si>
  <si>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</si>
  <si>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</si>
  <si>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</si>
  <si>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</si>
  <si>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</si>
  <si>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</si>
  <si>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</si>
  <si>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</si>
  <si>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</si>
  <si>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</si>
  <si>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</si>
  <si>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</si>
  <si>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</si>
  <si>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</si>
  <si>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</si>
  <si>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</si>
  <si>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</si>
  <si>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</si>
  <si>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</si>
  <si>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</si>
  <si>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</si>
  <si>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</si>
  <si>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</si>
  <si>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</si>
  <si>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</si>
  <si>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</si>
  <si>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</si>
  <si>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</si>
  <si>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</si>
  <si>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</si>
  <si>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</si>
  <si>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</si>
  <si>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</si>
  <si>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</si>
  <si>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</si>
  <si>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</si>
  <si>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</si>
  <si>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</si>
  <si>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</si>
  <si>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</si>
  <si>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</si>
  <si>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</si>
  <si>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</si>
  <si>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</si>
  <si>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</si>
  <si>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</si>
  <si>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</si>
  <si>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</si>
  <si>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</si>
  <si>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</si>
  <si>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</si>
  <si>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</si>
  <si>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</si>
  <si>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</si>
  <si>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</si>
  <si>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</si>
  <si>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</si>
  <si>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</si>
  <si>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</si>
  <si>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</si>
  <si>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</si>
  <si>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</si>
  <si>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</si>
  <si>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</si>
  <si>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</si>
  <si>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</si>
  <si>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</si>
  <si>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</si>
  <si>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</si>
  <si>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</si>
  <si>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</si>
  <si>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</si>
  <si>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</si>
  <si>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</si>
  <si>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</si>
  <si>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</si>
  <si>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</si>
  <si>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</si>
  <si>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</si>
  <si>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</si>
  <si>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</si>
  <si>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</si>
  <si>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</si>
  <si>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</si>
  <si>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</si>
  <si>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</si>
  <si>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</si>
  <si>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</si>
  <si>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</si>
  <si>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</si>
  <si>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</si>
  <si>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</si>
  <si>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</si>
  <si>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</si>
  <si>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</si>
  <si>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</si>
  <si>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</si>
  <si>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</si>
  <si>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</si>
  <si>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</si>
  <si>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</si>
  <si>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</si>
  <si>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</si>
  <si>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</si>
  <si>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</si>
  <si>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</si>
  <si>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</si>
  <si>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</si>
  <si>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</si>
  <si>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</si>
  <si>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</si>
  <si>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</si>
  <si>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</si>
  <si>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</si>
  <si>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</si>
  <si>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</si>
  <si>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</si>
  <si>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</si>
  <si>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</si>
  <si>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</si>
  <si>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</si>
  <si>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</si>
  <si>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</si>
  <si>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</si>
  <si>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</si>
  <si>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</si>
  <si>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</si>
  <si>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</si>
  <si>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</si>
  <si>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</si>
  <si>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</si>
  <si>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</si>
  <si>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</si>
  <si>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</si>
  <si>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</si>
  <si>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</si>
  <si>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</si>
  <si>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</si>
  <si>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</si>
  <si>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</si>
  <si>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</si>
  <si>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</si>
  <si>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</si>
  <si>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</si>
  <si>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</si>
  <si>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</si>
  <si>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</si>
  <si>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</si>
  <si>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</si>
  <si>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</si>
  <si>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</si>
  <si>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</si>
  <si>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</si>
  <si>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</si>
  <si>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</si>
  <si>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</si>
  <si>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</si>
  <si>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</si>
  <si>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</si>
  <si>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</si>
  <si>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</si>
  <si>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</si>
  <si>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</si>
  <si>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</si>
  <si>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</si>
  <si>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</si>
  <si>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</si>
  <si>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</si>
  <si>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</si>
  <si>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</si>
  <si>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</si>
  <si>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</si>
  <si>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</si>
  <si>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</si>
  <si>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</si>
  <si>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</si>
  <si>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</si>
  <si>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</si>
  <si>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</si>
  <si>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</si>
  <si>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</si>
  <si>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</si>
  <si>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</si>
  <si>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</si>
  <si>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</si>
  <si>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</si>
  <si>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</si>
  <si>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</si>
  <si>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</si>
  <si>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</si>
  <si>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</si>
  <si>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</si>
  <si>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</si>
  <si>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</si>
  <si>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</si>
  <si>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</si>
  <si>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</si>
  <si>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</si>
  <si>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</si>
  <si>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</si>
  <si>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</si>
  <si>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</si>
  <si>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</si>
  <si>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</si>
  <si>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</si>
  <si>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</si>
  <si>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</si>
  <si>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</si>
  <si>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</si>
  <si>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</si>
  <si>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</si>
  <si>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</si>
  <si>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</si>
  <si>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</si>
  <si>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</si>
  <si>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</si>
  <si>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</si>
  <si>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</si>
  <si>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</si>
  <si>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</si>
  <si>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</si>
  <si>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</si>
  <si>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</si>
  <si>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</si>
  <si>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</si>
  <si>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</si>
  <si>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</si>
  <si>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</si>
  <si>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</si>
  <si>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</si>
  <si>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</si>
  <si>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</si>
  <si>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</si>
  <si>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</si>
  <si>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</si>
  <si>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</si>
  <si>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</si>
  <si>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</si>
  <si>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</si>
  <si>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</si>
  <si>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</si>
  <si>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</si>
  <si>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</si>
  <si>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</si>
  <si>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</si>
  <si>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</si>
  <si>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</si>
  <si>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</si>
  <si>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</si>
  <si>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</si>
  <si>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</si>
  <si>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</si>
  <si>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</si>
  <si>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</si>
  <si>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</si>
  <si>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</si>
  <si>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</si>
  <si>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</si>
  <si>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</si>
  <si>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</si>
  <si>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</si>
  <si>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</si>
  <si>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</si>
  <si>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</si>
  <si>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</si>
  <si>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</si>
  <si>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</si>
  <si>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</si>
  <si>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</si>
  <si>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</si>
  <si>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</si>
  <si>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</si>
  <si>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</si>
  <si>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</si>
  <si>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</si>
  <si>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</si>
  <si>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</si>
  <si>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</si>
  <si>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</si>
  <si>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</si>
  <si>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</si>
  <si>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</si>
  <si>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</si>
  <si>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</si>
  <si>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</si>
  <si>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</si>
  <si>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</si>
  <si>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</si>
  <si>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</si>
  <si>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</si>
  <si>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</si>
  <si>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</si>
  <si>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</si>
  <si>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</si>
  <si>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</si>
  <si>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</si>
  <si>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</si>
  <si>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</si>
  <si>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</si>
  <si>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</si>
  <si>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</si>
  <si>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</si>
  <si>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</si>
  <si>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</si>
  <si>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</si>
  <si>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</si>
  <si>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</si>
  <si>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</si>
  <si>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</si>
  <si>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</si>
  <si>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</si>
  <si>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</si>
  <si>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</si>
  <si>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</si>
  <si>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</si>
  <si>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</si>
  <si>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</si>
  <si>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</si>
  <si>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</si>
  <si>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</si>
  <si>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</si>
  <si>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</si>
  <si>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</si>
  <si>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</si>
  <si>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</si>
  <si>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</si>
  <si>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</si>
  <si>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</si>
  <si>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</si>
  <si>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</si>
  <si>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</si>
  <si>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</si>
  <si>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</si>
  <si>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</si>
  <si>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</si>
  <si>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</si>
  <si>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</si>
  <si>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</si>
  <si>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</si>
  <si>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</si>
  <si>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</si>
  <si>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</si>
  <si>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</si>
  <si>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</si>
  <si>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</si>
  <si>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</si>
  <si>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</si>
  <si>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</si>
  <si>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</si>
  <si>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</si>
  <si>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</si>
  <si>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</si>
  <si>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</si>
  <si>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</si>
  <si>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</si>
  <si>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</si>
  <si>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</si>
  <si>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</si>
  <si>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</si>
  <si>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</si>
  <si>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</si>
  <si>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</si>
  <si>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</si>
  <si>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</si>
  <si>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</si>
  <si>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</si>
  <si>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</si>
  <si>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</si>
  <si>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</si>
  <si>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</si>
  <si>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</si>
  <si>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</si>
  <si>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</si>
  <si>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</si>
  <si>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</si>
  <si>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</si>
  <si>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</si>
  <si>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</si>
  <si>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</si>
  <si>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</si>
  <si>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</si>
  <si>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</si>
  <si>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</si>
  <si>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</si>
  <si>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</si>
  <si>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</si>
  <si>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</si>
  <si>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</si>
  <si>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</si>
  <si>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</si>
  <si>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</si>
  <si>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</si>
  <si>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</si>
  <si>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</si>
  <si>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</si>
  <si>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</si>
  <si>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</si>
  <si>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</si>
  <si>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</si>
  <si>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</si>
  <si>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</si>
  <si>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</si>
  <si>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</si>
  <si>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</si>
  <si>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</si>
  <si>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</si>
  <si>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</si>
  <si>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</si>
  <si>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</si>
  <si>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</si>
  <si>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</si>
  <si>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</si>
  <si>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</si>
  <si>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</si>
  <si>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</si>
  <si>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</si>
  <si>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</si>
  <si>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</si>
  <si>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</si>
  <si>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</si>
  <si>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</si>
  <si>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</si>
  <si>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</si>
  <si>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</si>
  <si>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</si>
  <si>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</si>
  <si>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</si>
  <si>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</si>
  <si>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</si>
  <si>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</si>
  <si>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</si>
  <si>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</si>
  <si>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</si>
  <si>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</si>
  <si>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</si>
  <si>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</si>
  <si>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</si>
  <si>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</si>
  <si>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</si>
  <si>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</si>
  <si>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</si>
  <si>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</si>
  <si>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</si>
  <si>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</si>
  <si>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</si>
  <si>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</si>
  <si>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</si>
  <si>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</si>
  <si>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</si>
  <si>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</si>
  <si>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</si>
  <si>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</si>
  <si>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</si>
  <si>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</si>
  <si>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</si>
  <si>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</si>
  <si>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</si>
  <si>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</si>
  <si>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</si>
  <si>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</si>
  <si>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</si>
  <si>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</si>
  <si>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</si>
  <si>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</si>
  <si>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</si>
  <si>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</si>
  <si>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</si>
  <si>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</si>
  <si>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</si>
  <si>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</si>
  <si>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</si>
  <si>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</si>
  <si>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</si>
  <si>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</si>
  <si>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</si>
  <si>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</si>
  <si>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</si>
  <si>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</si>
  <si>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</si>
  <si>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</si>
  <si>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</si>
  <si>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</si>
  <si>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</si>
  <si>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</si>
  <si>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</si>
  <si>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</si>
  <si>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</si>
  <si>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</si>
  <si>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</si>
  <si>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</si>
  <si>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</si>
  <si>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</si>
  <si>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</si>
  <si>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</si>
  <si>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</si>
  <si>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</si>
  <si>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</si>
  <si>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</si>
  <si>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</si>
  <si>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</si>
  <si>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</si>
  <si>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</si>
  <si>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</si>
  <si>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</si>
  <si>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</si>
  <si>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</si>
  <si>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</si>
  <si>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</si>
  <si>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</si>
  <si>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</si>
  <si>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</si>
  <si>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</si>
  <si>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</si>
  <si>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</si>
  <si>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</si>
  <si>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</si>
  <si>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</si>
  <si>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</si>
  <si>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</si>
  <si>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</si>
  <si>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</si>
  <si>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</si>
  <si>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</si>
  <si>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</si>
  <si>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</si>
  <si>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</si>
  <si>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</si>
  <si>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</si>
  <si>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</si>
  <si>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</si>
  <si>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</si>
  <si>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</si>
  <si>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</si>
  <si>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</si>
  <si>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</si>
  <si>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</si>
  <si>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</si>
  <si>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</si>
  <si>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</si>
  <si>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</si>
  <si>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</si>
  <si>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</si>
  <si>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</si>
  <si>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</si>
  <si>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</si>
  <si>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</si>
  <si>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</si>
  <si>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</si>
  <si>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</si>
  <si>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</si>
  <si>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</si>
  <si>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</si>
  <si>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</si>
  <si>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</si>
  <si>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</si>
  <si>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</si>
  <si>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</si>
  <si>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</si>
  <si>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</si>
  <si>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</si>
  <si>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</si>
  <si>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</si>
  <si>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</si>
  <si>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</si>
  <si>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</si>
  <si>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</si>
  <si>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</si>
  <si>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</si>
  <si>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</si>
  <si>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</si>
  <si>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</si>
  <si>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</si>
  <si>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</si>
  <si>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</si>
  <si>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</si>
  <si>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</si>
  <si>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</si>
  <si>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</si>
  <si>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</si>
  <si>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</si>
  <si>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</si>
  <si>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</si>
  <si>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</si>
  <si>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</si>
  <si>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</si>
  <si>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</si>
  <si>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</si>
  <si>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</si>
  <si>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</si>
  <si>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</si>
  <si>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</si>
  <si>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</si>
  <si>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</si>
  <si>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</si>
  <si>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</si>
  <si>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</si>
  <si>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</si>
  <si>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</si>
  <si>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</si>
  <si>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</si>
  <si>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</si>
  <si>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</si>
  <si>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</si>
  <si>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</si>
  <si>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</si>
  <si>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</si>
  <si>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</si>
  <si>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</si>
  <si>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</si>
  <si>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</si>
  <si>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</si>
  <si>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</si>
  <si>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</si>
  <si>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</si>
  <si>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</si>
  <si>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</si>
  <si>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</si>
  <si>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</si>
  <si>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</si>
  <si>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</si>
  <si>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</si>
  <si>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</si>
  <si>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</si>
  <si>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</si>
  <si>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</si>
  <si>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</si>
  <si>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</si>
  <si>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</si>
  <si>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</si>
  <si>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</si>
  <si>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</si>
  <si>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</si>
  <si>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</si>
  <si>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</si>
  <si>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</si>
  <si>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</si>
  <si>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</si>
  <si>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</si>
  <si>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</si>
  <si>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</si>
  <si>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</si>
  <si>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</si>
  <si>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</si>
  <si>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</si>
  <si>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</si>
  <si>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</si>
  <si>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</si>
  <si>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</si>
  <si>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</si>
  <si>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</si>
  <si>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</si>
  <si>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</si>
  <si>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</si>
  <si>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</si>
  <si>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</si>
  <si>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</si>
  <si>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</si>
  <si>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</si>
  <si>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</si>
  <si>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</si>
  <si>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</si>
  <si>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</si>
  <si>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</si>
  <si>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</si>
  <si>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</si>
  <si>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</si>
  <si>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</si>
  <si>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</si>
  <si>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</si>
  <si>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</si>
  <si>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</si>
  <si>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</si>
  <si>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</si>
  <si>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</si>
  <si>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</si>
  <si>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</si>
  <si>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</si>
  <si>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</si>
  <si>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</si>
  <si>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</si>
  <si>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</si>
  <si>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</si>
  <si>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</si>
  <si>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</si>
  <si>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</si>
  <si>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</si>
  <si>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</si>
  <si>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</si>
  <si>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</si>
  <si>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</si>
  <si>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</si>
  <si>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</si>
  <si>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</si>
  <si>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</si>
  <si>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</si>
  <si>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</si>
  <si>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</si>
  <si>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</si>
  <si>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</si>
  <si>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</si>
  <si>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</si>
  <si>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</si>
  <si>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</si>
  <si>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</si>
  <si>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</si>
  <si>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</si>
  <si>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</si>
  <si>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</si>
  <si>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</si>
  <si>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</si>
  <si>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</si>
  <si>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</si>
  <si>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</si>
  <si>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</si>
  <si>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</si>
  <si>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</si>
  <si>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</si>
  <si>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</si>
  <si>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</si>
  <si>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</si>
  <si>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</si>
  <si>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</si>
  <si>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</si>
  <si>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</si>
  <si>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</si>
  <si>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</si>
  <si>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</si>
  <si>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</si>
  <si>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</si>
  <si>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</si>
  <si>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</si>
  <si>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</si>
  <si>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</si>
  <si>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</si>
  <si>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</si>
  <si>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</si>
  <si>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</si>
  <si>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</si>
  <si>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</si>
  <si>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</si>
  <si>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</si>
  <si>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</si>
  <si>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</si>
  <si>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</si>
  <si>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</si>
  <si>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</si>
  <si>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</si>
  <si>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</si>
  <si>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</si>
  <si>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</si>
  <si>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</si>
  <si>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</si>
  <si>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</si>
  <si>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</si>
  <si>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</si>
  <si>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</si>
  <si>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</si>
  <si>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</si>
  <si>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</si>
  <si>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</si>
  <si>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</si>
  <si>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</si>
  <si>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</si>
  <si>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</si>
  <si>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</si>
  <si>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</si>
  <si>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</si>
  <si>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</si>
  <si>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</si>
  <si>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</si>
  <si>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</si>
  <si>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</si>
  <si>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</si>
  <si>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</si>
  <si>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</si>
  <si>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</si>
  <si>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</si>
  <si>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</si>
  <si>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</si>
  <si>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</si>
  <si>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</si>
  <si>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</si>
  <si>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</si>
  <si>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</si>
  <si>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</si>
  <si>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</si>
  <si>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</si>
  <si>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</si>
  <si>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</si>
  <si>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</si>
  <si>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</si>
  <si>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</si>
  <si>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</si>
  <si>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</si>
  <si>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</si>
  <si>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</si>
  <si>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</si>
  <si>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</si>
  <si>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</si>
  <si>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</si>
  <si>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</si>
  <si>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</si>
  <si>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</si>
  <si>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</si>
  <si>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</si>
  <si>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</si>
  <si>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</si>
  <si>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</si>
  <si>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</si>
  <si>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</si>
  <si>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</si>
  <si>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</si>
  <si>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</si>
  <si>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</si>
  <si>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</si>
  <si>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</si>
  <si>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</si>
  <si>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</si>
  <si>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</si>
  <si>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</si>
  <si>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</si>
  <si>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</si>
  <si>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</si>
  <si>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</si>
  <si>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</si>
  <si>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</si>
  <si>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</si>
  <si>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</si>
  <si>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</si>
  <si>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</si>
  <si>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</si>
  <si>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</si>
  <si>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</si>
  <si>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</si>
  <si>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</si>
  <si>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</si>
  <si>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</si>
  <si>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</si>
  <si>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</si>
  <si>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</si>
  <si>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</si>
  <si>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</si>
  <si>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</si>
  <si>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</si>
  <si>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</si>
  <si>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</si>
  <si>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</si>
  <si>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</si>
  <si>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</si>
  <si>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</si>
  <si>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</si>
  <si>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</si>
  <si>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</si>
  <si>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</si>
  <si>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</si>
  <si>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</si>
  <si>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</si>
  <si>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</si>
  <si>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</si>
  <si>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</si>
  <si>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</si>
  <si>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</si>
  <si>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</si>
  <si>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</si>
  <si>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</si>
  <si>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</si>
  <si>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</si>
  <si>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</si>
  <si>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</si>
  <si>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</si>
  <si>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</si>
  <si>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</si>
  <si>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</si>
  <si>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</si>
  <si>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</si>
  <si>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</si>
  <si>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</si>
  <si>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</si>
  <si>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</si>
  <si>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</si>
  <si>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</si>
  <si>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</si>
  <si>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</si>
  <si>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</si>
  <si>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</si>
  <si>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</si>
  <si>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</si>
  <si>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</si>
  <si>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</si>
  <si>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</si>
  <si>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</si>
  <si>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</si>
  <si>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</si>
  <si>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</si>
  <si>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</si>
  <si>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</si>
  <si>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</si>
  <si>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</si>
  <si>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</si>
  <si>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</si>
  <si>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</si>
  <si>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</si>
  <si>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</si>
  <si>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</si>
  <si>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</si>
  <si>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</si>
  <si>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</si>
  <si>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</si>
  <si>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</si>
  <si>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</si>
  <si>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</si>
  <si>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</si>
  <si>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</si>
  <si>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</si>
  <si>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</si>
  <si>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</si>
  <si>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</si>
  <si>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</si>
  <si>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</si>
  <si>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</si>
  <si>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</si>
  <si>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</si>
  <si>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</si>
  <si>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</si>
  <si>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</si>
  <si>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</si>
  <si>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</si>
  <si>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</si>
  <si>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</si>
  <si>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</si>
  <si>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</si>
  <si>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</si>
  <si>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</si>
  <si>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</si>
  <si>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</si>
  <si>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</si>
  <si>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</si>
  <si>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</si>
  <si>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</si>
  <si>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</si>
  <si>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</si>
  <si>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</si>
  <si>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</si>
  <si>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</si>
  <si>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</si>
  <si>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</si>
  <si>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</si>
  <si>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</si>
  <si>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</si>
  <si>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</si>
  <si>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</si>
  <si>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</si>
  <si>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</si>
  <si>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</si>
  <si>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</si>
  <si>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</si>
  <si>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</si>
  <si>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</si>
  <si>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</si>
  <si>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</si>
  <si>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</si>
  <si>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</si>
  <si>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</si>
  <si>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</si>
  <si>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</si>
  <si>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</si>
  <si>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</si>
  <si>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</si>
  <si>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</si>
  <si>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</si>
  <si>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</si>
  <si>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</si>
  <si>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</si>
  <si>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</si>
  <si>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</si>
  <si>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</si>
  <si>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</si>
  <si>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</si>
  <si>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</si>
  <si>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</si>
  <si>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</si>
  <si>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</si>
  <si>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</si>
  <si>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</si>
  <si>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</si>
  <si>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</si>
  <si>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</si>
  <si>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</si>
  <si>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</si>
  <si>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</si>
  <si>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</si>
  <si>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</si>
  <si>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</si>
  <si>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</si>
  <si>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</si>
  <si>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</si>
  <si>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</si>
  <si>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</si>
  <si>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</si>
  <si>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</si>
  <si>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</si>
  <si>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</si>
  <si>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</si>
  <si>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</si>
  <si>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</si>
  <si>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</si>
  <si>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</si>
  <si>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</si>
  <si>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</si>
  <si>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</si>
  <si>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</si>
  <si>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</si>
  <si>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</si>
  <si>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</si>
  <si>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</si>
  <si>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</si>
  <si>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</si>
  <si>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</si>
  <si>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</si>
  <si>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</si>
  <si>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</si>
  <si>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</si>
  <si>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</si>
  <si>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</si>
  <si>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</si>
  <si>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</si>
  <si>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</si>
  <si>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</si>
  <si>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</si>
  <si>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</si>
  <si>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</si>
  <si>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</si>
  <si>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</si>
  <si>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</si>
  <si>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</si>
  <si>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</si>
  <si>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</si>
  <si>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</si>
  <si>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</si>
  <si>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</si>
  <si>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</si>
  <si>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</si>
  <si>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</si>
  <si>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</si>
  <si>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</si>
  <si>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</si>
  <si>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</si>
  <si>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</si>
  <si>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</si>
  <si>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</si>
  <si>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</si>
  <si>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</si>
  <si>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</si>
  <si>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</si>
  <si>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</si>
  <si>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</si>
  <si>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</si>
  <si>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</si>
  <si>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</si>
  <si>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</si>
  <si>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</si>
  <si>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</si>
  <si>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</si>
  <si>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</si>
  <si>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</si>
  <si>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</si>
  <si>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</si>
  <si>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</si>
  <si>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</si>
  <si>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</si>
  <si>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</si>
  <si>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</si>
  <si>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</si>
  <si>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</si>
  <si>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</si>
  <si>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</si>
  <si>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</si>
  <si>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</si>
  <si>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</si>
  <si>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</si>
  <si>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</si>
  <si>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</si>
  <si>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</si>
  <si>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</si>
  <si>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</si>
  <si>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</si>
  <si>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</si>
  <si>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</si>
  <si>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</si>
  <si>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</si>
  <si>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</si>
  <si>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</si>
  <si>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</si>
  <si>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</si>
  <si>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</si>
  <si>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</si>
  <si>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</si>
  <si>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</si>
  <si>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</si>
  <si>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</si>
  <si>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</si>
  <si>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</si>
  <si>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</si>
  <si>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</si>
  <si>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</si>
  <si>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</si>
  <si>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</si>
  <si>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</si>
  <si>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</si>
  <si>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</si>
  <si>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</si>
  <si>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</si>
  <si>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</si>
  <si>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</si>
  <si>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</si>
  <si>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</si>
  <si>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</si>
  <si>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</si>
  <si>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</si>
  <si>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</si>
  <si>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</si>
  <si>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</si>
  <si>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</si>
  <si>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</si>
  <si>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</si>
  <si>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</si>
  <si>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</si>
  <si>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</si>
  <si>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</si>
  <si>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</si>
  <si>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</si>
  <si>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</si>
  <si>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</si>
  <si>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</si>
  <si>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</si>
  <si>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</si>
  <si>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</si>
  <si>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</si>
  <si>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</si>
  <si>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</si>
  <si>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</si>
  <si>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</si>
  <si>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</si>
  <si>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</si>
  <si>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</si>
  <si>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</si>
  <si>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</si>
  <si>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</si>
  <si>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</si>
  <si>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</si>
  <si>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</si>
  <si>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</si>
  <si>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</si>
  <si>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</si>
  <si>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</si>
  <si>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</si>
  <si>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</si>
  <si>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</si>
  <si>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</si>
  <si>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</si>
  <si>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</si>
  <si>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</si>
  <si>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</si>
  <si>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</si>
  <si>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</si>
  <si>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</si>
  <si>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</si>
  <si>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</si>
  <si>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</si>
  <si>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</si>
  <si>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</si>
  <si>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</si>
  <si>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</si>
  <si>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</si>
  <si>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</si>
  <si>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</si>
  <si>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</si>
  <si>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</si>
  <si>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</si>
  <si>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</si>
  <si>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</si>
  <si>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</si>
  <si>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</si>
  <si>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</si>
  <si>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</si>
  <si>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</si>
  <si>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</si>
  <si>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</si>
  <si>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</si>
  <si>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</si>
  <si>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</si>
  <si>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</si>
  <si>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</si>
  <si>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</si>
  <si>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</si>
  <si>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</si>
  <si>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</si>
  <si>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</si>
  <si>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</si>
  <si>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</si>
  <si>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</si>
  <si>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</si>
  <si>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</si>
  <si>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</si>
  <si>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</si>
  <si>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</si>
  <si>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</si>
  <si>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</si>
  <si>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</si>
  <si>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</si>
  <si>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</si>
  <si>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</si>
  <si>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</si>
  <si>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</si>
  <si>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</si>
  <si>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</si>
  <si>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</si>
  <si>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</si>
  <si>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</si>
  <si>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</si>
  <si>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</si>
  <si>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</si>
  <si>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</si>
  <si>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</si>
  <si>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</si>
  <si>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</si>
  <si>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</si>
  <si>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</si>
  <si>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</si>
  <si>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</si>
  <si>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</si>
  <si>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</si>
  <si>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</si>
  <si>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</si>
  <si>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</si>
  <si>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</si>
  <si>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</si>
  <si>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</si>
  <si>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</si>
  <si>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</si>
  <si>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</si>
  <si>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</si>
  <si>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</si>
  <si>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</si>
  <si>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</si>
  <si>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</si>
  <si>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</si>
  <si>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</si>
  <si>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</si>
  <si>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</si>
  <si>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</si>
  <si>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</si>
  <si>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</si>
  <si>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</si>
  <si>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</si>
  <si>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</si>
  <si>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</si>
  <si>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</si>
  <si>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</si>
  <si>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</si>
  <si>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</si>
  <si>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</si>
  <si>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</si>
  <si>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</si>
  <si>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</si>
  <si>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</si>
  <si>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</si>
  <si>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</si>
  <si>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</si>
  <si>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</si>
  <si>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</si>
  <si>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</si>
  <si>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</si>
  <si>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</si>
  <si>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</si>
  <si>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</si>
  <si>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</si>
  <si>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</si>
  <si>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</si>
  <si>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</si>
  <si>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</si>
  <si>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</si>
  <si>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</si>
  <si>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</si>
  <si>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</si>
  <si>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</si>
  <si>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</si>
  <si>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</si>
  <si>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</si>
  <si>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</si>
  <si>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</si>
  <si>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</si>
  <si>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</si>
  <si>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</si>
  <si>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</si>
  <si>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</si>
  <si>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</si>
  <si>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</si>
  <si>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</si>
  <si>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</si>
  <si>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</si>
  <si>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</si>
  <si>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</si>
  <si>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</si>
  <si>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</si>
  <si>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</si>
  <si>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</si>
  <si>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</si>
  <si>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</si>
  <si>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</si>
  <si>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</si>
  <si>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</si>
  <si>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</si>
  <si>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</si>
  <si>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</si>
  <si>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</si>
  <si>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</si>
  <si>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</si>
  <si>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</si>
  <si>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</si>
  <si>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</si>
  <si>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</si>
  <si>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</si>
  <si>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</si>
  <si>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</si>
  <si>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</si>
  <si>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</si>
  <si>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</si>
  <si>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</si>
  <si>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</si>
  <si>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</si>
  <si>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</si>
  <si>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</si>
  <si>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</si>
  <si>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</si>
  <si>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</si>
  <si>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</si>
  <si>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</si>
  <si>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</si>
  <si>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</si>
  <si>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</si>
  <si>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</si>
  <si>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</si>
  <si>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</si>
  <si>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</si>
  <si>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</si>
  <si>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</si>
  <si>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</si>
  <si>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</si>
  <si>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</si>
  <si>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</si>
  <si>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</si>
  <si>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</si>
  <si>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</si>
  <si>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</si>
  <si>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</si>
  <si>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</si>
  <si>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</si>
  <si>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</si>
  <si>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</si>
  <si>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</si>
  <si>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</si>
  <si>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</si>
  <si>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</si>
  <si>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</si>
  <si>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</si>
  <si>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</si>
  <si>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</si>
  <si>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</si>
  <si>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</si>
  <si>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</si>
  <si>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</si>
  <si>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</si>
  <si>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</si>
  <si>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</si>
  <si>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</si>
  <si>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</si>
  <si>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</si>
  <si>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</si>
  <si>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</si>
  <si>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</si>
  <si>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</si>
  <si>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</si>
  <si>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</si>
  <si>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</si>
  <si>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</si>
  <si>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</si>
  <si>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</si>
  <si>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</si>
  <si>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</si>
  <si>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</si>
  <si>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</si>
  <si>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</si>
  <si>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</si>
  <si>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</si>
  <si>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</si>
  <si>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</si>
  <si>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</si>
  <si>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</si>
  <si>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</si>
  <si>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</si>
  <si>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</si>
  <si>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</si>
  <si>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</si>
  <si>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</si>
  <si>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</si>
  <si>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</si>
  <si>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</si>
  <si>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</si>
  <si>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</si>
  <si>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</si>
  <si>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</si>
  <si>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</si>
  <si>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</si>
  <si>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</si>
  <si>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</si>
  <si>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</si>
  <si>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</si>
  <si>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</si>
  <si>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</si>
  <si>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</si>
  <si>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</si>
  <si>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</si>
  <si>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</si>
  <si>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</si>
  <si>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</si>
  <si>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</si>
  <si>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</si>
  <si>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</si>
  <si>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</si>
  <si>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</si>
  <si>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</si>
  <si>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</si>
  <si>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</si>
  <si>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</si>
  <si>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</si>
  <si>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</si>
  <si>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</si>
  <si>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</si>
  <si>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</si>
  <si>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</si>
  <si>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</si>
  <si>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</si>
  <si>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</si>
  <si>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</si>
  <si>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</si>
  <si>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</si>
  <si>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</si>
  <si>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</si>
  <si>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</si>
  <si>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</si>
  <si>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</si>
  <si>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</si>
  <si>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</si>
  <si>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</si>
  <si>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</si>
  <si>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</si>
  <si>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</si>
  <si>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</si>
  <si>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</si>
  <si>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</si>
  <si>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</si>
  <si>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</si>
  <si>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</si>
  <si>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</si>
  <si>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</si>
  <si>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</si>
  <si>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</si>
  <si>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</si>
  <si>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</si>
  <si>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</si>
  <si>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</si>
  <si>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</si>
  <si>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</si>
  <si>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</si>
  <si>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</si>
  <si>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</si>
  <si>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</si>
  <si>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</si>
  <si>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</si>
  <si>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</si>
  <si>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</si>
  <si>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</si>
  <si>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</si>
  <si>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</si>
  <si>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</si>
  <si>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</si>
  <si>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</si>
  <si>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</si>
  <si>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</si>
  <si>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</si>
  <si>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</si>
  <si>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</si>
  <si>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</si>
  <si>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</si>
  <si>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</si>
  <si>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</si>
  <si>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</si>
  <si>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</si>
  <si>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</si>
  <si>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</si>
  <si>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</si>
  <si>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</si>
  <si>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</si>
  <si>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</si>
  <si>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</si>
  <si>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</si>
  <si>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</si>
  <si>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</si>
  <si>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</si>
  <si>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</si>
  <si>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</si>
  <si>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</si>
  <si>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</si>
  <si>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</si>
  <si>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</si>
  <si>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</si>
  <si>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</si>
  <si>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</si>
  <si>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</si>
  <si>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</si>
  <si>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</si>
  <si>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</si>
  <si>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</si>
  <si>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</si>
  <si>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</si>
  <si>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</si>
  <si>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</si>
  <si>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</si>
  <si>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</si>
  <si>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</si>
  <si>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</si>
  <si>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</si>
  <si>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</si>
  <si>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</si>
  <si>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</si>
  <si>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</si>
  <si>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</si>
  <si>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</si>
  <si>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</si>
  <si>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</si>
  <si>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</si>
  <si>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</si>
  <si>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</si>
  <si>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</si>
  <si>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</si>
  <si>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</si>
  <si>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</si>
  <si>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</si>
  <si>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</si>
  <si>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</si>
  <si>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</si>
  <si>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</si>
  <si>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</si>
  <si>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</si>
  <si>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</si>
  <si>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</si>
  <si>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</si>
  <si>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</si>
  <si>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</si>
  <si>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</si>
  <si>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</si>
  <si>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</si>
  <si>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</si>
  <si>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</si>
  <si>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</si>
  <si>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</si>
  <si>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</si>
  <si>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</si>
  <si>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</si>
  <si>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</si>
  <si>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</si>
  <si>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</si>
  <si>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</si>
  <si>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</si>
  <si>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</si>
  <si>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</si>
  <si>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</si>
  <si>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</si>
  <si>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</si>
  <si>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</si>
  <si>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</si>
  <si>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</si>
  <si>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</si>
  <si>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</si>
  <si>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</si>
  <si>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</si>
  <si>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</si>
  <si>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</si>
  <si>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</si>
  <si>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</si>
  <si>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</si>
  <si>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</si>
  <si>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</si>
  <si>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</si>
  <si>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</si>
  <si>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</si>
  <si>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</si>
  <si>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</si>
  <si>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</si>
  <si>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</si>
  <si>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</si>
  <si>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</si>
  <si>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</si>
  <si>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</si>
  <si>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</si>
  <si>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</si>
  <si>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</si>
  <si>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</si>
  <si>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</si>
  <si>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</si>
  <si>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</si>
  <si>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</si>
  <si>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</si>
  <si>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</si>
  <si>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</si>
  <si>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</si>
  <si>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</si>
  <si>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</si>
  <si>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</si>
  <si>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</si>
  <si>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</si>
  <si>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</si>
  <si>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</si>
  <si>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</si>
  <si>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</si>
  <si>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</si>
  <si>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</si>
  <si>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</si>
  <si>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</si>
  <si>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</si>
  <si>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</si>
  <si>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</si>
  <si>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</si>
  <si>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</si>
  <si>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</si>
  <si>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</si>
  <si>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</si>
  <si>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</si>
  <si>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</si>
  <si>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</si>
  <si>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</si>
  <si>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</si>
  <si>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</si>
  <si>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</si>
  <si>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</si>
  <si>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</si>
  <si>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</si>
  <si>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</si>
  <si>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</si>
  <si>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</si>
  <si>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</si>
  <si>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</si>
  <si>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</si>
  <si>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</si>
  <si>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</si>
  <si>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</si>
  <si>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</si>
  <si>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</si>
  <si>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</si>
  <si>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</si>
  <si>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</si>
  <si>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</si>
  <si>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</si>
  <si>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</si>
  <si>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</si>
  <si>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</si>
  <si>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</si>
  <si>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</si>
  <si>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</si>
  <si>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</si>
  <si>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</si>
  <si>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</si>
  <si>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</si>
  <si>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</si>
  <si>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</si>
  <si>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</si>
  <si>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</si>
  <si>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</si>
  <si>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</si>
  <si>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</si>
  <si>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</si>
  <si>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</si>
  <si>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</si>
  <si>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</si>
  <si>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</si>
  <si>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</si>
  <si>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</si>
  <si>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</si>
  <si>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</si>
  <si>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</si>
  <si>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</si>
  <si>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</si>
  <si>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</si>
  <si>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</si>
  <si>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</si>
  <si>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</si>
  <si>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</si>
  <si>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</si>
  <si>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</si>
  <si>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</si>
  <si>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</si>
  <si>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</si>
  <si>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</si>
  <si>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</si>
  <si>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</si>
  <si>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</si>
  <si>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</si>
  <si>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</si>
  <si>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</si>
  <si>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</si>
  <si>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</si>
  <si>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</si>
  <si>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</si>
  <si>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</si>
  <si>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</si>
  <si>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</si>
  <si>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</si>
  <si>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</si>
  <si>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</si>
  <si>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</si>
  <si>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</si>
  <si>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</si>
  <si>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</si>
  <si>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</si>
  <si>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</si>
  <si>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</si>
  <si>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</si>
  <si>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</si>
  <si>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</si>
  <si>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</si>
  <si>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</si>
  <si>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</si>
  <si>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</si>
  <si>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</si>
  <si>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</si>
  <si>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</si>
  <si>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</si>
  <si>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</si>
  <si>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</si>
  <si>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</si>
  <si>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</si>
  <si>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</si>
  <si>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</si>
  <si>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</si>
  <si>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</si>
  <si>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</si>
  <si>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</si>
  <si>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</si>
  <si>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</si>
  <si>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</si>
  <si>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</si>
  <si>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</si>
  <si>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</si>
  <si>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</si>
  <si>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</si>
  <si>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</si>
  <si>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</si>
  <si>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</si>
  <si>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</si>
  <si>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</si>
  <si>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</si>
  <si>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</si>
  <si>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</si>
  <si>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</si>
  <si>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</si>
  <si>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</si>
  <si>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</si>
  <si>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</si>
  <si>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</si>
  <si>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</si>
  <si>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</si>
  <si>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</si>
  <si>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</si>
  <si>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</si>
  <si>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</si>
  <si>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</si>
  <si>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</si>
  <si>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</si>
  <si>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</si>
  <si>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</si>
  <si>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</si>
  <si>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</si>
  <si>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</si>
  <si>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</si>
  <si>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</si>
  <si>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</si>
  <si>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</si>
  <si>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</si>
  <si>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</si>
  <si>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</si>
  <si>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</si>
  <si>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</si>
  <si>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</si>
  <si>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</si>
  <si>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</si>
  <si>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</si>
  <si>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</si>
  <si>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</si>
  <si>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</si>
  <si>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</si>
  <si>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</si>
  <si>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</si>
  <si>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</si>
  <si>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</si>
  <si>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</si>
  <si>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</si>
  <si>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</si>
  <si>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</si>
  <si>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</si>
  <si>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</si>
  <si>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</si>
  <si>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</si>
  <si>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</si>
  <si>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</si>
  <si>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</si>
  <si>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</si>
  <si>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</si>
  <si>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</si>
  <si>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</si>
  <si>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</si>
  <si>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</si>
  <si>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</si>
  <si>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</si>
  <si>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</si>
  <si>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</si>
  <si>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</si>
  <si>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</si>
  <si>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</si>
  <si>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</si>
  <si>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</si>
  <si>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</si>
  <si>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</si>
  <si>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</si>
  <si>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</si>
  <si>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</si>
  <si>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</si>
  <si>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</si>
  <si>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</si>
  <si>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</si>
  <si>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</si>
  <si>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</si>
  <si>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</si>
  <si>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</si>
  <si>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</si>
  <si>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</si>
  <si>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</si>
  <si>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</si>
  <si>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</si>
  <si>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</si>
  <si>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</si>
  <si>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</si>
  <si>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</si>
  <si>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</si>
  <si>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</si>
  <si>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</si>
  <si>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</si>
  <si>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</si>
  <si>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</si>
  <si>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</si>
  <si>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</si>
  <si>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</si>
  <si>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</si>
  <si>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</si>
  <si>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</si>
  <si>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</si>
  <si>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</si>
  <si>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</si>
  <si>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</si>
  <si>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</si>
  <si>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</si>
  <si>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</si>
  <si>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</si>
  <si>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</si>
  <si>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</si>
  <si>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</si>
  <si>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</si>
  <si>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</si>
  <si>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</si>
  <si>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</si>
  <si>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</si>
  <si>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</si>
  <si>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</si>
  <si>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</si>
  <si>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</si>
  <si>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</si>
  <si>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</si>
  <si>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</si>
  <si>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</si>
  <si>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</si>
  <si>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</si>
  <si>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</si>
  <si>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</si>
  <si>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</si>
  <si>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</si>
  <si>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</si>
  <si>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</si>
  <si>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</si>
  <si>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</si>
  <si>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</si>
  <si>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</si>
  <si>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</si>
  <si>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</si>
  <si>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</si>
  <si>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</si>
  <si>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</si>
  <si>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</si>
  <si>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</si>
  <si>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</si>
  <si>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</si>
  <si>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</si>
  <si>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</si>
  <si>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</si>
  <si>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</si>
  <si>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</si>
  <si>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</si>
  <si>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</si>
  <si>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</si>
  <si>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</si>
  <si>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</si>
  <si>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</si>
  <si>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</si>
  <si>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</si>
  <si>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</si>
  <si>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</si>
  <si>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</si>
  <si>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</si>
  <si>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</si>
  <si>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</si>
  <si>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</si>
  <si>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</si>
  <si>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</si>
  <si>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</si>
  <si>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</si>
  <si>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</si>
  <si>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</si>
  <si>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</si>
  <si>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</si>
  <si>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</si>
  <si>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</si>
  <si>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</si>
  <si>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</si>
  <si>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</si>
  <si>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</si>
  <si>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</si>
  <si>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</si>
  <si>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</si>
  <si>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</si>
  <si>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</si>
  <si>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</si>
  <si>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</si>
  <si>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</si>
  <si>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</si>
  <si>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</si>
  <si>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</si>
  <si>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</si>
  <si>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</si>
  <si>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</si>
  <si>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</si>
  <si>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</si>
  <si>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</si>
  <si>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</si>
  <si>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</si>
  <si>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</si>
  <si>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</si>
  <si>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</si>
  <si>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</si>
  <si>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</si>
  <si>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</si>
  <si>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</si>
  <si>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</si>
  <si>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</si>
  <si>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</si>
  <si>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</si>
  <si>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</si>
  <si>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</si>
  <si>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</si>
  <si>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</si>
  <si>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</si>
  <si>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</si>
  <si>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</si>
  <si>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</si>
  <si>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</si>
  <si>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</si>
  <si>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</si>
  <si>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</si>
  <si>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</si>
  <si>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</si>
  <si>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</si>
  <si>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</si>
  <si>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</si>
  <si>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</si>
  <si>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</si>
  <si>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</si>
  <si>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</si>
  <si>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</si>
  <si>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</si>
  <si>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</si>
  <si>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</si>
  <si>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</si>
  <si>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</si>
  <si>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</si>
  <si>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</si>
  <si>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</si>
  <si>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</si>
  <si>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</si>
  <si>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</si>
  <si>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</si>
  <si>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</si>
  <si>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</si>
  <si>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</si>
  <si>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</si>
  <si>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</si>
  <si>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</si>
  <si>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</si>
  <si>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</si>
  <si>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</si>
  <si>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</si>
  <si>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</si>
  <si>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</si>
  <si>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</si>
  <si>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</si>
  <si>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</si>
  <si>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</si>
  <si>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</si>
  <si>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</si>
  <si>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</si>
  <si>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</si>
  <si>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</si>
  <si>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</si>
  <si>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</si>
  <si>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</si>
  <si>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</si>
  <si>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</si>
  <si>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</si>
  <si>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</si>
  <si>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</si>
  <si>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</si>
  <si>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</si>
  <si>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</si>
  <si>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</si>
  <si>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</si>
  <si>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</si>
  <si>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</si>
  <si>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</si>
  <si>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</si>
  <si>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</si>
  <si>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</si>
  <si>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</si>
  <si>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</si>
  <si>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</si>
  <si>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</si>
  <si>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</si>
  <si>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</si>
  <si>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</si>
  <si>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</si>
  <si>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</si>
  <si>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</si>
  <si>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</si>
  <si>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</si>
  <si>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</si>
  <si>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</si>
  <si>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</si>
  <si>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</si>
  <si>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</si>
  <si>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</si>
  <si>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</si>
  <si>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</si>
  <si>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</si>
  <si>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</si>
  <si>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</si>
  <si>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</si>
  <si>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</si>
  <si>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</si>
  <si>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</si>
  <si>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</si>
  <si>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</si>
  <si>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</si>
  <si>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</si>
  <si>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</si>
  <si>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</si>
  <si>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</si>
  <si>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</si>
  <si>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</si>
  <si>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</si>
  <si>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</si>
  <si>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</si>
  <si>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</si>
  <si>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</si>
  <si>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</si>
  <si>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</si>
  <si>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</si>
  <si>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</si>
  <si>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</si>
  <si>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</si>
  <si>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</si>
  <si>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</si>
  <si>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</si>
  <si>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</si>
  <si>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</si>
  <si>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</si>
  <si>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</si>
  <si>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</si>
  <si>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</si>
  <si>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</si>
  <si>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</si>
  <si>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</si>
  <si>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</si>
  <si>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</si>
  <si>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</si>
  <si>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</si>
  <si>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</si>
  <si>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</si>
  <si>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</si>
  <si>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</si>
  <si>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</si>
  <si>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</si>
  <si>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</si>
  <si>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</si>
  <si>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</si>
  <si>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</si>
  <si>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</si>
  <si>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</si>
  <si>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</si>
  <si>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</si>
  <si>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</si>
  <si>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</si>
  <si>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</si>
  <si>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</si>
  <si>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</si>
  <si>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</si>
  <si>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</si>
  <si>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</si>
  <si>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</si>
  <si>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</si>
  <si>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</si>
  <si>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</si>
  <si>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</si>
  <si>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</si>
  <si>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</si>
  <si>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</si>
  <si>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</si>
  <si>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</si>
  <si>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</si>
  <si>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</si>
  <si>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</si>
  <si>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</si>
  <si>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</si>
  <si>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</si>
  <si>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</si>
  <si>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</si>
  <si>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</si>
  <si>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</si>
  <si>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</si>
  <si>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</si>
  <si>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</si>
  <si>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</si>
  <si>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</si>
  <si>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</si>
  <si>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</si>
  <si>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</si>
  <si>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</si>
  <si>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</si>
  <si>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</si>
  <si>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</si>
  <si>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</si>
  <si>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</si>
  <si>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</si>
  <si>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</si>
  <si>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</si>
  <si>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</si>
  <si>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</si>
  <si>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</si>
  <si>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</si>
  <si>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</si>
  <si>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</si>
  <si>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</si>
  <si>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</si>
  <si>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</si>
  <si>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</si>
  <si>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</si>
  <si>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</si>
  <si>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</si>
  <si>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</si>
  <si>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</si>
  <si>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</si>
  <si>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</si>
  <si>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</si>
  <si>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</si>
  <si>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</si>
  <si>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</si>
  <si>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</si>
  <si>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</si>
  <si>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</si>
  <si>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</si>
  <si>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</si>
  <si>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</si>
  <si>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</si>
  <si>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</si>
  <si>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</si>
  <si>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</si>
  <si>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</si>
  <si>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</si>
  <si>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</si>
  <si>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</si>
  <si>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</si>
  <si>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</si>
  <si>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</si>
  <si>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</si>
  <si>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</si>
  <si>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</si>
  <si>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</si>
  <si>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</si>
  <si>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</si>
  <si>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</si>
  <si>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</si>
  <si>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</si>
  <si>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</si>
  <si>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</si>
  <si>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</si>
  <si>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</si>
  <si>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</si>
  <si>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</si>
  <si>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</si>
  <si>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</si>
  <si>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</si>
  <si>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</si>
  <si>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</si>
  <si>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</si>
  <si>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</si>
  <si>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</si>
  <si>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</si>
  <si>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</si>
  <si>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</si>
  <si>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</si>
  <si>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</si>
  <si>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</si>
  <si>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</si>
  <si>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</si>
  <si>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</si>
  <si>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</si>
  <si>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</si>
  <si>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</si>
  <si>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</si>
  <si>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</si>
  <si>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</si>
  <si>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</si>
  <si>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</si>
  <si>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</si>
  <si>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</si>
  <si>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</si>
  <si>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</si>
  <si>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</si>
  <si>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</si>
  <si>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</si>
  <si>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</si>
  <si>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</si>
  <si>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</si>
  <si>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</si>
  <si>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</si>
  <si>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</si>
  <si>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</si>
  <si>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</si>
  <si>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</si>
  <si>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</si>
  <si>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</si>
  <si>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</si>
  <si>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</si>
  <si>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</si>
  <si>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</si>
  <si>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</si>
  <si>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</si>
  <si>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</si>
  <si>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</si>
  <si>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</si>
  <si>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</si>
  <si>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</si>
  <si>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</si>
  <si>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</si>
  <si>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</si>
  <si>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</si>
  <si>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</si>
  <si>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</si>
  <si>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</si>
  <si>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</si>
  <si>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</si>
  <si>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</si>
  <si>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</si>
  <si>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</si>
  <si>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</si>
  <si>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</si>
  <si>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</si>
  <si>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</si>
  <si>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</si>
  <si>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</si>
  <si>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</si>
  <si>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</si>
  <si>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</si>
  <si>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</si>
  <si>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</si>
  <si>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</si>
  <si>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</si>
  <si>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</si>
  <si>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</si>
  <si>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</si>
  <si>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</si>
  <si>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</si>
  <si>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</si>
  <si>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</si>
  <si>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</si>
  <si>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</si>
  <si>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</si>
  <si>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</si>
  <si>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</si>
  <si>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</si>
  <si>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</si>
  <si>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</si>
  <si>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</si>
  <si>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</si>
  <si>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</si>
  <si>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</si>
  <si>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</si>
  <si>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</si>
  <si>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</si>
  <si>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</si>
  <si>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</si>
  <si>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</si>
  <si>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</si>
  <si>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</si>
  <si>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</si>
  <si>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</si>
  <si>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</si>
  <si>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</si>
  <si>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</si>
  <si>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</si>
  <si>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</si>
  <si>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</si>
  <si>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</si>
  <si>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</si>
  <si>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</si>
  <si>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</si>
  <si>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</si>
  <si>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</si>
  <si>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</si>
  <si>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</si>
  <si>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</si>
  <si>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</si>
  <si>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</si>
  <si>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</si>
  <si>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</si>
  <si>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</si>
  <si>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</si>
  <si>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</si>
  <si>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</si>
  <si>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</si>
  <si>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</si>
  <si>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</si>
  <si>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</si>
  <si>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</si>
  <si>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</si>
  <si>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</si>
  <si>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</si>
  <si>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</si>
  <si>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</si>
  <si>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</si>
  <si>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</si>
  <si>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</si>
  <si>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</si>
  <si>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</si>
  <si>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</si>
  <si>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</si>
  <si>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</si>
  <si>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</si>
  <si>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</si>
  <si>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</si>
  <si>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</si>
  <si>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</si>
  <si>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</si>
  <si>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</si>
  <si>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</si>
  <si>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</si>
  <si>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</si>
  <si>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</si>
  <si>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</si>
  <si>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</si>
  <si>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</si>
  <si>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</si>
  <si>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</si>
  <si>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</si>
  <si>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</si>
  <si>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</si>
  <si>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</si>
  <si>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</si>
  <si>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</si>
  <si>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</si>
  <si>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</si>
  <si>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</si>
  <si>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</si>
  <si>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</si>
  <si>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</si>
  <si>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</si>
  <si>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</si>
  <si>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</si>
  <si>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</si>
  <si>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</si>
  <si>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</si>
  <si>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</si>
  <si>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</si>
  <si>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</si>
  <si>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</si>
  <si>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</si>
  <si>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</si>
  <si>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</si>
  <si>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</si>
  <si>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</si>
  <si>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</si>
  <si>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</si>
  <si>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</si>
  <si>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</si>
  <si>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</si>
  <si>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</si>
  <si>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</si>
  <si>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</si>
  <si>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</si>
  <si>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</si>
  <si>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</si>
  <si>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</si>
  <si>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</si>
  <si>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</si>
  <si>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</si>
  <si>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</si>
  <si>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</si>
  <si>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</si>
  <si>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</si>
  <si>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</si>
  <si>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</si>
  <si>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</si>
  <si>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</si>
  <si>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</si>
  <si>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</si>
  <si>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</si>
  <si>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</si>
  <si>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</si>
  <si>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</si>
  <si>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</si>
  <si>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</si>
  <si>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</si>
  <si>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</si>
  <si>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</si>
  <si>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</si>
  <si>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</si>
  <si>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</si>
  <si>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</si>
  <si>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</si>
  <si>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</si>
  <si>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</si>
  <si>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</si>
  <si>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</si>
  <si>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</si>
  <si>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</si>
  <si>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</si>
  <si>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</si>
  <si>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</si>
  <si>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</si>
  <si>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</si>
  <si>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</si>
  <si>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</si>
  <si>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</si>
  <si>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</si>
  <si>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</si>
  <si>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</si>
  <si>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</si>
  <si>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</si>
  <si>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</si>
  <si>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</si>
  <si>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</si>
  <si>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</si>
  <si>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</si>
  <si>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</si>
  <si>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</si>
  <si>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</si>
  <si>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</si>
  <si>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</si>
  <si>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</si>
  <si>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</si>
  <si>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</si>
  <si>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</si>
  <si>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</si>
  <si>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</si>
  <si>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</si>
  <si>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</si>
  <si>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</si>
  <si>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</si>
  <si>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</si>
  <si>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</si>
  <si>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</si>
  <si>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</si>
  <si>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</si>
  <si>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</si>
  <si>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</si>
  <si>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</si>
  <si>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</si>
  <si>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</si>
  <si>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</si>
  <si>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</si>
  <si>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</si>
  <si>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</si>
  <si>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</si>
  <si>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</si>
  <si>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</si>
  <si>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</si>
  <si>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</si>
  <si>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</si>
  <si>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</si>
  <si>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</si>
  <si>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</si>
  <si>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</si>
  <si>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</si>
  <si>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</si>
  <si>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</si>
  <si>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</si>
  <si>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</si>
  <si>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</si>
  <si>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</si>
  <si>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</si>
  <si>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</si>
  <si>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</si>
  <si>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</si>
  <si>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</si>
  <si>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</si>
  <si>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</si>
  <si>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</si>
  <si>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</si>
  <si>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</si>
  <si>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</si>
  <si>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</si>
  <si>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</si>
  <si>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</si>
  <si>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</si>
  <si>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</si>
  <si>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</si>
  <si>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</si>
  <si>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</si>
  <si>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</si>
  <si>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</si>
  <si>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</si>
  <si>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</si>
  <si>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</si>
  <si>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</si>
  <si>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</si>
  <si>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</si>
  <si>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</si>
  <si>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</si>
  <si>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</si>
  <si>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</si>
  <si>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</si>
  <si>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</si>
  <si>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</si>
  <si>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</si>
  <si>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</si>
  <si>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</si>
  <si>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</si>
  <si>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</si>
  <si>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</si>
  <si>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</si>
  <si>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</si>
  <si>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</si>
  <si>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</si>
  <si>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</si>
  <si>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</si>
  <si>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</si>
  <si>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</si>
  <si>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</si>
  <si>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</si>
  <si>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</si>
  <si>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</si>
  <si>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</si>
  <si>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</si>
  <si>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</si>
  <si>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</si>
  <si>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</si>
  <si>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</si>
  <si>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</si>
  <si>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</si>
  <si>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</si>
  <si>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</si>
  <si>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</si>
  <si>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</si>
  <si>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</si>
  <si>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</si>
  <si>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</si>
  <si>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</si>
  <si>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</si>
  <si>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</si>
  <si>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</si>
  <si>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</si>
  <si>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</si>
  <si>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</si>
  <si>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</si>
  <si>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</si>
  <si>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</si>
  <si>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</si>
  <si>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</si>
  <si>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</si>
  <si>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</si>
  <si>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</si>
  <si>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</si>
  <si>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</si>
  <si>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</si>
  <si>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</si>
  <si>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</si>
  <si>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</si>
  <si>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</si>
  <si>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</si>
  <si>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</si>
  <si>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</si>
  <si>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</si>
  <si>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</si>
  <si>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</si>
  <si>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</si>
  <si>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</si>
  <si>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</si>
  <si>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</si>
  <si>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</si>
  <si>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</si>
  <si>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</si>
  <si>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</si>
  <si>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</si>
  <si>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</si>
  <si>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</si>
  <si>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</si>
  <si>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</si>
  <si>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</si>
  <si>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</si>
  <si>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</si>
  <si>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</si>
  <si>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</si>
  <si>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</si>
  <si>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</si>
  <si>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</si>
  <si>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</si>
  <si>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</si>
  <si>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</si>
  <si>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</si>
  <si>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</si>
  <si>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</si>
  <si>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</si>
  <si>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</si>
  <si>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</si>
  <si>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</si>
  <si>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</si>
  <si>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</si>
  <si>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</si>
  <si>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</si>
  <si>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</si>
  <si>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</si>
  <si>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</si>
  <si>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</si>
  <si>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</si>
  <si>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</si>
  <si>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</si>
  <si>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</si>
  <si>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</si>
  <si>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</si>
  <si>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</si>
  <si>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</si>
  <si>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</si>
  <si>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</si>
  <si>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</si>
  <si>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</si>
  <si>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</si>
  <si>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</si>
  <si>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</si>
  <si>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</si>
  <si>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</si>
  <si>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</si>
  <si>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</si>
  <si>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</si>
  <si>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</si>
  <si>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</si>
  <si>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</si>
  <si>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</si>
  <si>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</si>
  <si>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</si>
  <si>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</si>
  <si>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</si>
  <si>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</si>
  <si>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</si>
  <si>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</si>
  <si>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</si>
  <si>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</si>
  <si>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</si>
  <si>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</si>
  <si>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</si>
  <si>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</si>
  <si>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</si>
  <si>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</si>
  <si>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</si>
  <si>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</si>
  <si>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</si>
  <si>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</si>
  <si>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</si>
  <si>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</si>
  <si>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</si>
  <si>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</si>
  <si>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</si>
  <si>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</si>
  <si>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</si>
  <si>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</si>
  <si>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</si>
  <si>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</si>
  <si>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</si>
  <si>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</si>
  <si>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</si>
  <si>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</si>
  <si>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</si>
  <si>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</si>
  <si>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</si>
  <si>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</si>
  <si>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</si>
  <si>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</si>
  <si>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</si>
  <si>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</si>
  <si>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</si>
  <si>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</si>
  <si>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</si>
  <si>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</si>
  <si>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</si>
  <si>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</si>
  <si>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</si>
  <si>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</si>
  <si>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</si>
  <si>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</si>
  <si>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</si>
  <si>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</si>
  <si>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</si>
  <si>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</si>
  <si>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</si>
  <si>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</si>
  <si>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</si>
  <si>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</si>
  <si>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</si>
  <si>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</si>
  <si>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</si>
  <si>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</si>
  <si>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</si>
  <si>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</si>
  <si>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</si>
  <si>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</si>
  <si>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</si>
  <si>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</si>
  <si>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</si>
  <si>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</si>
  <si>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</si>
  <si>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</si>
  <si>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</si>
  <si>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</si>
  <si>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</si>
  <si>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</si>
  <si>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</si>
  <si>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</si>
  <si>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</si>
  <si>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</si>
  <si>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</si>
  <si>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</si>
  <si>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</si>
  <si>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</si>
  <si>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</si>
  <si>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</si>
  <si>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</si>
  <si>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</si>
  <si>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</si>
  <si>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</si>
  <si>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</si>
  <si>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</si>
  <si>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</si>
  <si>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</si>
  <si>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</si>
  <si>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</si>
  <si>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</si>
  <si>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</si>
  <si>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</si>
  <si>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</si>
  <si>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</si>
  <si>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</si>
  <si>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</si>
  <si>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</si>
  <si>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</si>
  <si>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</si>
  <si>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</si>
  <si>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</si>
  <si>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</si>
  <si>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</si>
  <si>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</si>
  <si>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</si>
  <si>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</si>
  <si>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</si>
  <si>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</si>
  <si>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</si>
  <si>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</si>
  <si>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</si>
  <si>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</si>
  <si>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</si>
  <si>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</si>
  <si>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</si>
  <si>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</si>
  <si>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</si>
  <si>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</si>
  <si>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</si>
  <si>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</si>
  <si>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</si>
  <si>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</si>
  <si>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</si>
  <si>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</si>
  <si>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</si>
  <si>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</si>
  <si>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</si>
  <si>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</si>
  <si>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</si>
  <si>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</si>
  <si>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</si>
  <si>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</si>
  <si>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</si>
  <si>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</si>
  <si>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</si>
  <si>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</si>
  <si>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</si>
  <si>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</si>
  <si>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</si>
  <si>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</si>
  <si>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</si>
  <si>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</si>
  <si>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</si>
  <si>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</si>
  <si>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</si>
  <si>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</si>
  <si>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</si>
  <si>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</si>
  <si>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</si>
  <si>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</si>
  <si>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</si>
  <si>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</si>
  <si>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</si>
  <si>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</si>
  <si>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</si>
  <si>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</si>
  <si>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</si>
  <si>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</si>
  <si>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</si>
  <si>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</si>
  <si>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</si>
  <si>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</si>
  <si>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</si>
  <si>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</si>
  <si>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</si>
  <si>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</si>
  <si>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</si>
  <si>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</si>
  <si>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</si>
  <si>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</si>
  <si>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</si>
  <si>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</si>
  <si>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</si>
  <si>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</si>
  <si>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</si>
  <si>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</si>
  <si>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</si>
  <si>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</si>
  <si>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</si>
  <si>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</si>
  <si>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</si>
  <si>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</si>
  <si>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</si>
  <si>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</si>
  <si>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</si>
  <si>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</si>
  <si>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</si>
  <si>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</si>
  <si>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</si>
  <si>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</si>
  <si>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</si>
  <si>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</si>
  <si>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</si>
  <si>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</si>
  <si>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</si>
  <si>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</si>
  <si>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</si>
  <si>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</si>
  <si>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</si>
  <si>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</si>
  <si>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</si>
  <si>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</si>
  <si>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</si>
  <si>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</si>
  <si>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</si>
  <si>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</si>
  <si>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</si>
  <si>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</si>
  <si>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</si>
  <si>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</si>
  <si>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</si>
  <si>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</si>
  <si>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</si>
  <si>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</si>
  <si>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</si>
  <si>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</si>
  <si>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</si>
  <si>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</si>
  <si>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</si>
  <si>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</si>
  <si>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</si>
  <si>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</si>
  <si>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</si>
  <si>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</si>
  <si>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</si>
  <si>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</si>
  <si>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</si>
  <si>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</si>
  <si>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</si>
  <si>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</si>
  <si>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</si>
  <si>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</si>
  <si>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</si>
  <si>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</si>
  <si>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</si>
  <si>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</si>
  <si>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</si>
  <si>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</si>
  <si>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</si>
  <si>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</si>
  <si>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</si>
  <si>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</si>
  <si>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</si>
  <si>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</si>
  <si>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</si>
  <si>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</si>
  <si>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</si>
  <si>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</si>
  <si>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</si>
  <si>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</si>
  <si>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</si>
  <si>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</si>
  <si>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</si>
  <si>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</si>
  <si>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</si>
  <si>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</si>
  <si>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</si>
  <si>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</si>
  <si>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</si>
  <si>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</si>
  <si>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</si>
  <si>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</si>
  <si>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</si>
  <si>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</si>
  <si>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</si>
  <si>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</si>
  <si>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</si>
  <si>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</si>
  <si>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</si>
  <si>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</si>
  <si>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</si>
  <si>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</si>
  <si>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</si>
  <si>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</si>
  <si>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</si>
  <si>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</si>
  <si>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</si>
  <si>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</si>
  <si>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</si>
  <si>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</si>
  <si>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</si>
  <si>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</si>
  <si>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</si>
  <si>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</si>
  <si>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</si>
  <si>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</si>
  <si>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</si>
  <si>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</si>
  <si>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</si>
  <si>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</si>
  <si>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</si>
  <si>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</si>
  <si>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</si>
  <si>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</si>
  <si>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</si>
  <si>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</si>
  <si>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</si>
  <si>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</si>
  <si>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</si>
  <si>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</si>
  <si>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</si>
  <si>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</si>
  <si>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</si>
  <si>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</si>
  <si>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</si>
  <si>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</si>
  <si>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</si>
  <si>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</si>
  <si>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</si>
  <si>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</si>
  <si>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</si>
  <si>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</si>
  <si>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</si>
  <si>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</si>
  <si>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</si>
  <si>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</si>
  <si>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</si>
  <si>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</si>
  <si>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</si>
  <si>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</si>
  <si>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</si>
  <si>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</si>
  <si>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</si>
  <si>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</si>
  <si>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</si>
  <si>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</si>
  <si>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</si>
  <si>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</si>
  <si>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</si>
  <si>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</si>
  <si>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</si>
  <si>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</si>
  <si>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</si>
  <si>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</si>
  <si>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</si>
  <si>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</si>
  <si>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</si>
  <si>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</si>
  <si>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</si>
  <si>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</si>
  <si>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</si>
  <si>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</si>
  <si>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</si>
  <si>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</si>
  <si>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</si>
  <si>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</si>
  <si>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</si>
  <si>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</si>
  <si>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</si>
  <si>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</si>
  <si>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</si>
  <si>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</si>
  <si>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</si>
  <si>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</si>
  <si>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</si>
  <si>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</si>
  <si>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</si>
  <si>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</si>
  <si>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</si>
  <si>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</si>
  <si>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</si>
  <si>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</si>
  <si>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</si>
  <si>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</si>
  <si>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</si>
  <si>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</si>
  <si>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</si>
  <si>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</si>
  <si>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</si>
  <si>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</si>
  <si>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</si>
  <si>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</si>
  <si>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</si>
  <si>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</si>
  <si>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</si>
  <si>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</si>
  <si>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</si>
  <si>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</si>
  <si>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</si>
  <si>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</si>
  <si>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</si>
  <si>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</si>
  <si>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</si>
  <si>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</si>
  <si>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</si>
  <si>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</si>
  <si>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</si>
  <si>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</si>
  <si>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</si>
  <si>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</si>
  <si>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</si>
  <si>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</si>
  <si>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</si>
  <si>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</si>
  <si>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</si>
  <si>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</si>
  <si>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</si>
  <si>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</si>
  <si>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</si>
  <si>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</si>
  <si>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</si>
  <si>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</si>
  <si>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</si>
  <si>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</si>
  <si>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</si>
  <si>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</si>
  <si>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</si>
  <si>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</si>
  <si>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</si>
  <si>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</si>
  <si>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</si>
  <si>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</si>
  <si>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</si>
  <si>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</si>
  <si>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</si>
  <si>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</si>
  <si>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</si>
  <si>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</si>
  <si>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</si>
  <si>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</si>
  <si>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</si>
  <si>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</si>
  <si>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</si>
  <si>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</si>
  <si>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</si>
  <si>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</si>
  <si>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</si>
  <si>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</si>
  <si>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</si>
  <si>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</si>
  <si>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</si>
  <si>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</si>
  <si>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</si>
  <si>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</si>
  <si>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</si>
  <si>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</si>
  <si>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</si>
  <si>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</si>
  <si>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</si>
  <si>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</si>
  <si>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</si>
  <si>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</si>
  <si>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</si>
  <si>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</si>
  <si>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</si>
  <si>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</si>
  <si>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</si>
  <si>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</si>
  <si>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</si>
  <si>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</si>
  <si>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</si>
  <si>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</si>
  <si>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</si>
  <si>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</si>
  <si>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</si>
  <si>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</si>
  <si>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</si>
  <si>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</si>
  <si>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</si>
  <si>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</si>
  <si>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</si>
  <si>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</si>
  <si>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</si>
  <si>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</si>
  <si>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</si>
  <si>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</si>
  <si>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</si>
  <si>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</si>
  <si>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</si>
  <si>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</si>
  <si>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</si>
  <si>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</si>
  <si>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</si>
  <si>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</si>
  <si>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</si>
  <si>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</si>
  <si>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</si>
  <si>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</si>
  <si>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</si>
  <si>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</si>
  <si>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</si>
  <si>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</si>
  <si>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</si>
  <si>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</si>
  <si>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</si>
  <si>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</si>
  <si>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</si>
  <si>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</si>
  <si>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</si>
  <si>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</si>
  <si>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</si>
  <si>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</si>
  <si>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</si>
  <si>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</si>
  <si>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</si>
  <si>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</si>
  <si>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</si>
  <si>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</si>
  <si>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</si>
  <si>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</si>
  <si>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</si>
  <si>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</si>
  <si>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</si>
  <si>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</si>
  <si>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</si>
  <si>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</si>
  <si>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</si>
  <si>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</si>
  <si>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</si>
  <si>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</si>
  <si>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</si>
  <si>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</si>
  <si>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</si>
  <si>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</si>
  <si>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</si>
  <si>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</si>
  <si>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</si>
  <si>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</si>
  <si>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</si>
  <si>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</si>
  <si>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</si>
  <si>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</si>
  <si>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</si>
  <si>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</si>
  <si>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</si>
  <si>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</si>
  <si>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</si>
  <si>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</si>
  <si>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</si>
  <si>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</si>
  <si>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</si>
  <si>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</si>
  <si>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</si>
  <si>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</si>
  <si>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</si>
  <si>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</si>
  <si>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</si>
  <si>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</si>
  <si>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</si>
  <si>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</si>
  <si>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</si>
  <si>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</si>
  <si>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</si>
  <si>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</si>
  <si>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</si>
  <si>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</si>
  <si>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</si>
  <si>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</si>
  <si>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</si>
  <si>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</si>
  <si>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</si>
  <si>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</si>
  <si>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</si>
  <si>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</si>
  <si>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</si>
  <si>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</si>
  <si>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</si>
  <si>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</si>
  <si>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</si>
  <si>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</si>
  <si>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</si>
  <si>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</si>
  <si>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</si>
  <si>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</si>
  <si>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</si>
  <si>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</si>
  <si>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</si>
  <si>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</si>
  <si>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</si>
  <si>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</si>
  <si>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</si>
  <si>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</si>
  <si>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</si>
  <si>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</si>
  <si>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</si>
  <si>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</si>
  <si>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</si>
  <si>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</si>
  <si>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</si>
  <si>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</si>
  <si>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</si>
  <si>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</si>
  <si>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</si>
  <si>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</si>
  <si>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</si>
  <si>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</si>
  <si>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</si>
  <si>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</si>
  <si>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</si>
  <si>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</si>
  <si>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</si>
  <si>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</si>
  <si>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</si>
  <si>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</si>
  <si>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</si>
  <si>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</si>
  <si>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</si>
  <si>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</si>
  <si>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</si>
  <si>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</si>
  <si>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</si>
  <si>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</si>
  <si>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</si>
  <si>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</si>
  <si>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</si>
  <si>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</si>
  <si>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</si>
  <si>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</si>
  <si>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</si>
  <si>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</si>
  <si>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</si>
  <si>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</si>
  <si>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</si>
  <si>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</si>
  <si>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</si>
  <si>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</si>
  <si>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</si>
  <si>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</si>
  <si>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</si>
  <si>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</si>
  <si>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</si>
  <si>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</si>
  <si>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</si>
  <si>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</si>
  <si>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</si>
  <si>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</si>
  <si>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</si>
  <si>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</si>
  <si>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</si>
  <si>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</si>
  <si>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</si>
  <si>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</si>
  <si>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</si>
  <si>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</si>
  <si>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</si>
  <si>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</si>
  <si>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</si>
  <si>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</si>
  <si>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</si>
  <si>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</si>
  <si>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</si>
  <si>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</si>
  <si>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</si>
  <si>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</si>
  <si>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</si>
  <si>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</si>
  <si>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</si>
  <si>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</si>
  <si>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</si>
  <si>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</si>
  <si>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</si>
  <si>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</si>
  <si>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</si>
  <si>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</si>
  <si>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</si>
  <si>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</si>
  <si>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</si>
  <si>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</si>
  <si>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</si>
  <si>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</si>
  <si>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</si>
  <si>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</si>
  <si>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</si>
  <si>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</si>
  <si>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</si>
  <si>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</si>
  <si>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</si>
  <si>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</si>
  <si>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</si>
  <si>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</si>
  <si>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</si>
  <si>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</si>
  <si>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</si>
  <si>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</si>
  <si>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</si>
  <si>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</si>
  <si>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</si>
  <si>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</si>
  <si>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</si>
  <si>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</si>
  <si>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</si>
  <si>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</si>
  <si>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</si>
  <si>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</si>
  <si>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</si>
  <si>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</si>
  <si>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</si>
  <si>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</si>
  <si>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</si>
  <si>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</si>
  <si>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</si>
  <si>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</si>
  <si>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</si>
  <si>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</si>
  <si>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</si>
  <si>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</si>
  <si>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</si>
  <si>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</si>
  <si>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</si>
  <si>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</si>
  <si>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</si>
  <si>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</si>
  <si>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</si>
  <si>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</si>
  <si>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</si>
  <si>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</si>
  <si>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</si>
  <si>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</si>
  <si>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</si>
  <si>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</si>
  <si>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</si>
  <si>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</si>
  <si>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</si>
  <si>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</si>
  <si>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</si>
  <si>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</si>
  <si>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</si>
  <si>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</si>
  <si>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</si>
  <si>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</si>
  <si>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</si>
  <si>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</si>
  <si>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</si>
  <si>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</si>
  <si>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</si>
  <si>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</si>
  <si>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</si>
  <si>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</si>
  <si>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</si>
  <si>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</si>
  <si>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</si>
  <si>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</si>
  <si>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</si>
  <si>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</si>
  <si>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</si>
  <si>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</si>
  <si>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</si>
  <si>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</si>
  <si>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</si>
  <si>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</si>
  <si>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</si>
  <si>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</si>
  <si>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</si>
  <si>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</si>
  <si>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</si>
  <si>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</si>
  <si>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</si>
  <si>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</si>
  <si>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</si>
  <si>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</si>
  <si>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</si>
  <si>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</si>
  <si>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</si>
  <si>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</si>
  <si>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</si>
  <si>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</si>
  <si>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</si>
  <si>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</si>
  <si>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</si>
  <si>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</si>
  <si>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</si>
  <si>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</si>
  <si>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</si>
  <si>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</si>
  <si>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</si>
  <si>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</si>
  <si>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</si>
  <si>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</si>
  <si>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</si>
  <si>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</si>
  <si>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</si>
  <si>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</si>
  <si>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</si>
  <si>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</si>
  <si>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</si>
  <si>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</si>
  <si>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</si>
  <si>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</si>
  <si>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</si>
  <si>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</si>
  <si>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</si>
  <si>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</si>
  <si>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</si>
  <si>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</si>
  <si>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</si>
  <si>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</si>
  <si>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</si>
  <si>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</si>
  <si>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</si>
  <si>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</si>
  <si>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</si>
  <si>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</si>
  <si>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</si>
  <si>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</si>
  <si>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</si>
  <si>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</si>
  <si>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</si>
  <si>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</si>
  <si>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</si>
  <si>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</si>
  <si>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</si>
  <si>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</si>
  <si>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</si>
  <si>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</si>
  <si>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</si>
  <si>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</si>
  <si>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</si>
  <si>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</si>
  <si>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</si>
  <si>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</si>
  <si>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</si>
  <si>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</si>
  <si>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</si>
  <si>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</si>
  <si>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</si>
  <si>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</si>
  <si>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</si>
  <si>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</si>
  <si>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</si>
  <si>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</si>
  <si>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</si>
  <si>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</si>
  <si>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</si>
  <si>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</si>
  <si>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</si>
  <si>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</si>
  <si>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</si>
  <si>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</si>
  <si>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</si>
  <si>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</si>
  <si>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</si>
  <si>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</si>
  <si>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</si>
  <si>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</si>
  <si>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</si>
  <si>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</si>
  <si>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</si>
  <si>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</si>
  <si>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</si>
  <si>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</si>
  <si>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</si>
  <si>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</si>
  <si>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</si>
  <si>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</si>
  <si>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</si>
  <si>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</si>
  <si>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</si>
  <si>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</si>
  <si>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</si>
  <si>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</si>
  <si>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</si>
  <si>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</si>
  <si>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</si>
  <si>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</si>
  <si>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</si>
  <si>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</si>
  <si>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</si>
  <si>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</si>
  <si>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</si>
  <si>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</si>
  <si>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</si>
  <si>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</si>
  <si>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</si>
  <si>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</si>
  <si>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</si>
  <si>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</si>
  <si>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</si>
  <si>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</si>
  <si>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</si>
  <si>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</si>
  <si>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</si>
  <si>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</si>
  <si>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</si>
  <si>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</si>
  <si>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</si>
  <si>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</si>
  <si>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</si>
  <si>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</si>
  <si>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</si>
  <si>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</si>
  <si>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</si>
  <si>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</si>
  <si>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</si>
  <si>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</si>
  <si>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</si>
  <si>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</si>
  <si>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</si>
  <si>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</si>
  <si>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</si>
  <si>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</si>
  <si>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</si>
  <si>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</si>
  <si>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</si>
  <si>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</si>
  <si>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</si>
  <si>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</si>
  <si>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</si>
  <si>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</si>
  <si>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</si>
  <si>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</si>
  <si>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</si>
  <si>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</si>
  <si>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</si>
  <si>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</si>
  <si>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</si>
  <si>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</si>
  <si>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</si>
  <si>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</si>
  <si>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</si>
  <si>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</si>
  <si>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</si>
  <si>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</si>
  <si>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</si>
  <si>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</si>
  <si>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</si>
  <si>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</si>
  <si>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</si>
  <si>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</si>
  <si>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</si>
  <si>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</si>
  <si>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</si>
  <si>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</si>
  <si>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</si>
  <si>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</si>
  <si>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</si>
  <si>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</si>
  <si>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</si>
  <si>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</si>
  <si>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</si>
  <si>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</si>
  <si>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</si>
  <si>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</si>
  <si>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</si>
  <si>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</si>
  <si>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</si>
  <si>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</si>
  <si>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</si>
  <si>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</si>
  <si>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</si>
  <si>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</si>
  <si>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</si>
  <si>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</si>
  <si>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</si>
  <si>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</si>
  <si>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</si>
  <si>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</si>
  <si>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</si>
  <si>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</si>
  <si>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</si>
  <si>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</si>
  <si>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</si>
  <si>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</si>
  <si>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</si>
  <si>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</si>
  <si>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</si>
  <si>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</si>
  <si>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</si>
  <si>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</si>
  <si>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</si>
  <si>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</si>
  <si>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</si>
  <si>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</si>
  <si>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</si>
  <si>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</si>
  <si>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</si>
  <si>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</si>
  <si>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</si>
  <si>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</si>
  <si>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</si>
  <si>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</si>
  <si>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</si>
  <si>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</si>
  <si>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</si>
  <si>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</si>
  <si>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</si>
  <si>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</si>
  <si>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</si>
  <si>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</si>
  <si>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</si>
  <si>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</si>
  <si>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</si>
  <si>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</si>
  <si>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</si>
  <si>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</si>
  <si>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</si>
  <si>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</si>
  <si>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</si>
  <si>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</si>
  <si>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</si>
  <si>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</si>
  <si>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</si>
  <si>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</si>
  <si>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</si>
  <si>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</si>
  <si>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</si>
  <si>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</si>
  <si>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</si>
  <si>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</si>
  <si>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</si>
  <si>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</si>
  <si>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</si>
  <si>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</si>
  <si>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</si>
  <si>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</si>
  <si>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</si>
  <si>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</si>
  <si>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</si>
  <si>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</si>
  <si>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</si>
  <si>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</si>
  <si>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</si>
  <si>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</si>
  <si>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</si>
  <si>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</si>
  <si>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</si>
  <si>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</si>
  <si>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</si>
  <si>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</si>
  <si>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</si>
  <si>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</si>
  <si>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</si>
  <si>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</si>
  <si>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</si>
  <si>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</si>
  <si>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</si>
  <si>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</si>
  <si>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</si>
  <si>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</si>
  <si>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</si>
  <si>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</si>
  <si>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</si>
  <si>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</si>
  <si>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</si>
  <si>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</si>
  <si>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</si>
  <si>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</si>
  <si>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</si>
  <si>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</si>
  <si>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</si>
  <si>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</si>
  <si>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</si>
  <si>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</si>
  <si>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</si>
  <si>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</si>
  <si>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</si>
  <si>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</si>
  <si>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</si>
  <si>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</si>
  <si>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</si>
  <si>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</si>
  <si>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</si>
  <si>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</si>
  <si>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</si>
  <si>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</si>
  <si>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</si>
  <si>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</si>
  <si>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</si>
  <si>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</si>
  <si>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</si>
  <si>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</si>
  <si>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</si>
  <si>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</si>
  <si>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</si>
  <si>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</si>
  <si>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</si>
  <si>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</si>
  <si>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</si>
  <si>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</si>
  <si>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</si>
  <si>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</si>
  <si>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</si>
  <si>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</si>
  <si>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</si>
  <si>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</si>
  <si>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</si>
  <si>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</si>
  <si>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</si>
  <si>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</si>
  <si>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</si>
  <si>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</si>
  <si>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</si>
  <si>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</si>
  <si>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</si>
  <si>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</si>
  <si>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</si>
  <si>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</si>
  <si>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</si>
  <si>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</si>
  <si>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</si>
  <si>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</si>
  <si>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</si>
  <si>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</si>
  <si>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</si>
  <si>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</si>
  <si>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</si>
  <si>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</si>
  <si>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</si>
  <si>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</si>
  <si>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</si>
  <si>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</si>
  <si>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</si>
  <si>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</si>
  <si>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</si>
  <si>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</si>
  <si>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</si>
  <si>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</si>
  <si>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</si>
  <si>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</si>
  <si>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</si>
  <si>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</si>
  <si>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</si>
  <si>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</si>
  <si>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</si>
  <si>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</si>
  <si>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</si>
  <si>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</si>
  <si>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</si>
  <si>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</si>
  <si>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</si>
  <si>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</si>
  <si>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</si>
  <si>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</si>
  <si>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</si>
  <si>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</si>
  <si>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</si>
  <si>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</si>
  <si>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</si>
  <si>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</si>
  <si>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</si>
  <si>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</si>
  <si>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</si>
  <si>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</si>
  <si>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</si>
  <si>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</si>
  <si>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</si>
  <si>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</si>
  <si>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</si>
  <si>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</si>
  <si>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</si>
  <si>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</si>
  <si>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</si>
  <si>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</si>
  <si>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</si>
  <si>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</si>
  <si>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</si>
  <si>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</si>
  <si>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</si>
  <si>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</si>
  <si>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</si>
  <si>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</si>
  <si>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</si>
  <si>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</si>
  <si>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</si>
  <si>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</si>
  <si>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</si>
  <si>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</si>
  <si>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</si>
  <si>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</si>
  <si>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</si>
  <si>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</si>
  <si>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</si>
  <si>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</si>
  <si>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</si>
  <si>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</si>
  <si>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</si>
  <si>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</si>
  <si>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</si>
  <si>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</si>
  <si>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</si>
  <si>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</si>
  <si>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</si>
  <si>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</si>
  <si>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</si>
  <si>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</si>
  <si>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</si>
  <si>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</si>
  <si>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</si>
  <si>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</si>
  <si>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</si>
  <si>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</si>
  <si>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</si>
  <si>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</si>
  <si>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</si>
  <si>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</si>
  <si>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</si>
  <si>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</si>
  <si>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</si>
  <si>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</si>
  <si>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</si>
  <si>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</si>
  <si>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</si>
  <si>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</si>
  <si>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</si>
  <si>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</si>
  <si>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</si>
  <si>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</si>
  <si>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</si>
  <si>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</si>
  <si>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</si>
  <si>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</si>
  <si>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</si>
  <si>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</si>
  <si>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</si>
  <si>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</si>
  <si>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</si>
  <si>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</si>
  <si>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</si>
  <si>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</si>
  <si>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</si>
  <si>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</si>
  <si>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</si>
  <si>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</si>
  <si>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</si>
  <si>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</si>
  <si>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</si>
  <si>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</si>
  <si>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</si>
  <si>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</si>
  <si>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</si>
  <si>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</si>
  <si>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</si>
  <si>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</si>
  <si>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</si>
  <si>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</si>
  <si>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</si>
  <si>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</si>
  <si>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</si>
  <si>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</si>
  <si>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</si>
  <si>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</si>
  <si>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</si>
  <si>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</si>
  <si>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</si>
  <si>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</si>
  <si>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</si>
  <si>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</si>
  <si>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</si>
  <si>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</si>
  <si>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</si>
  <si>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</si>
  <si>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</si>
  <si>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</si>
  <si>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</si>
  <si>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</si>
  <si>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</si>
  <si>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</si>
  <si>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</si>
  <si>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</si>
  <si>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</si>
  <si>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</si>
  <si>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</si>
  <si>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</si>
  <si>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</si>
  <si>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</si>
  <si>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</si>
  <si>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</si>
  <si>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</si>
  <si>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</si>
  <si>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</si>
  <si>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</si>
  <si>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</si>
  <si>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</si>
  <si>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</si>
  <si>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</si>
  <si>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</si>
  <si>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</si>
  <si>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</si>
  <si>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</si>
  <si>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</si>
  <si>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</si>
  <si>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</si>
  <si>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</si>
  <si>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</si>
  <si>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</si>
  <si>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</si>
  <si>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</si>
  <si>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</si>
  <si>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</si>
  <si>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</si>
  <si>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</si>
  <si>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</si>
  <si>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</si>
  <si>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</si>
  <si>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</si>
  <si>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</si>
  <si>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</si>
  <si>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</si>
  <si>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</si>
  <si>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</si>
  <si>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</si>
  <si>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</si>
  <si>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</si>
  <si>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</si>
  <si>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</si>
  <si>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</si>
  <si>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</si>
  <si>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</si>
  <si>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</si>
  <si>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</si>
  <si>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</si>
  <si>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</si>
  <si>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</si>
  <si>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</si>
  <si>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</si>
  <si>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</si>
  <si>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</si>
  <si>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</si>
  <si>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</si>
  <si>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</si>
  <si>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</si>
  <si>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</si>
  <si>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</si>
  <si>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</si>
  <si>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</si>
  <si>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</si>
  <si>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</si>
  <si>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</si>
  <si>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</si>
  <si>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</si>
  <si>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</si>
  <si>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</si>
  <si>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</si>
  <si>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</si>
  <si>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</si>
  <si>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</si>
  <si>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</si>
  <si>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</si>
  <si>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</si>
  <si>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</si>
  <si>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</si>
  <si>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</si>
  <si>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</si>
  <si>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</si>
  <si>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</si>
  <si>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</si>
  <si>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</si>
  <si>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</si>
  <si>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</si>
  <si>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</si>
  <si>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</si>
  <si>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</si>
  <si>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</si>
  <si>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</si>
  <si>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</si>
  <si>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</si>
  <si>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</si>
  <si>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</si>
  <si>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</si>
  <si>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</si>
  <si>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</si>
  <si>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</si>
  <si>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</si>
  <si>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</si>
  <si>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</si>
  <si>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</si>
  <si>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</si>
  <si>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</si>
  <si>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</si>
  <si>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</si>
  <si>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</si>
  <si>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</si>
  <si>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</si>
  <si>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</si>
  <si>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</si>
  <si>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</si>
  <si>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</si>
  <si>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</si>
  <si>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</si>
  <si>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</si>
  <si>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</si>
  <si>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</si>
  <si>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</si>
  <si>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</si>
  <si>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</si>
  <si>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</si>
  <si>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</si>
  <si>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</si>
  <si>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</si>
  <si>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</si>
  <si>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</si>
  <si>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</si>
  <si>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</si>
  <si>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</si>
  <si>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</si>
  <si>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</si>
  <si>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</si>
  <si>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</si>
  <si>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</si>
  <si>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</si>
  <si>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</si>
  <si>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</si>
  <si>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</si>
  <si>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</si>
  <si>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</si>
  <si>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</si>
  <si>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</si>
  <si>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</si>
  <si>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</si>
  <si>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</si>
  <si>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</si>
  <si>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</si>
  <si>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</si>
  <si>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</si>
  <si>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</si>
  <si>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</si>
  <si>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</si>
  <si>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</si>
  <si>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</si>
  <si>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</si>
  <si>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</si>
  <si>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</si>
  <si>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</si>
  <si>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</si>
  <si>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</si>
  <si>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</si>
  <si>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</si>
  <si>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</si>
  <si>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</si>
  <si>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</si>
  <si>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</si>
  <si>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</si>
  <si>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</si>
  <si>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</si>
  <si>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</si>
  <si>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</si>
  <si>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</si>
  <si>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</si>
  <si>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</si>
  <si>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</si>
  <si>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</si>
  <si>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</si>
  <si>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</si>
  <si>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</si>
  <si>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</si>
  <si>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</si>
  <si>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</si>
  <si>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</si>
  <si>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</si>
  <si>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</si>
  <si>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</si>
  <si>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</si>
  <si>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</si>
  <si>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</si>
  <si>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</si>
  <si>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</si>
  <si>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</si>
  <si>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</si>
  <si>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</si>
  <si>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</si>
  <si>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</si>
  <si>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</si>
  <si>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</si>
  <si>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</si>
  <si>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</si>
  <si>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</si>
  <si>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</si>
  <si>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</si>
  <si>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</si>
  <si>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</si>
  <si>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</si>
  <si>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</si>
  <si>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</si>
  <si>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</si>
  <si>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</si>
  <si>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</si>
  <si>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</si>
  <si>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</si>
  <si>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</si>
  <si>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</si>
  <si>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</si>
  <si>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</si>
  <si>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</si>
  <si>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</si>
  <si>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</si>
  <si>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</si>
  <si>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</si>
  <si>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</si>
  <si>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</si>
  <si>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</si>
  <si>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</si>
  <si>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</si>
  <si>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</si>
  <si>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</si>
  <si>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</si>
  <si>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</si>
  <si>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</si>
  <si>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</si>
  <si>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</si>
  <si>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</si>
  <si>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</si>
  <si>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</si>
  <si>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</si>
  <si>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</si>
  <si>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</si>
  <si>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</si>
  <si>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</si>
  <si>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</si>
  <si>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</si>
  <si>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</si>
  <si>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</si>
  <si>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</si>
  <si>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</si>
  <si>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</si>
  <si>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</si>
  <si>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</si>
  <si>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</si>
  <si>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</si>
  <si>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</si>
  <si>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</si>
  <si>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</si>
  <si>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</si>
  <si>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</si>
  <si>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</si>
  <si>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</si>
  <si>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</si>
  <si>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</si>
  <si>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</si>
  <si>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</si>
  <si>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</si>
  <si>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</si>
  <si>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</si>
  <si>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</si>
  <si>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</si>
  <si>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</si>
  <si>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</si>
  <si>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</si>
  <si>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</si>
  <si>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</si>
  <si>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</si>
  <si>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</si>
  <si>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</si>
  <si>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</si>
  <si>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</si>
  <si>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</si>
  <si>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</si>
  <si>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</si>
  <si>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</si>
  <si>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</si>
  <si>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</si>
  <si>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</si>
  <si>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</si>
  <si>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</si>
  <si>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</si>
  <si>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</si>
  <si>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</si>
  <si>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</si>
  <si>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</si>
  <si>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</si>
  <si>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</si>
  <si>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</si>
  <si>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</si>
  <si>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</si>
  <si>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</si>
  <si>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</si>
  <si>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</si>
  <si>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</si>
  <si>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</si>
  <si>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</si>
  <si>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</si>
  <si>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</si>
  <si>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</si>
  <si>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</si>
  <si>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</si>
  <si>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</si>
  <si>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</si>
  <si>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</si>
  <si>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</si>
  <si>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</si>
  <si>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</si>
  <si>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</si>
  <si>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</si>
  <si>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</si>
  <si>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</si>
  <si>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</si>
  <si>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</si>
  <si>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</si>
  <si>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</si>
  <si>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</si>
  <si>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</si>
  <si>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</si>
  <si>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</si>
  <si>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</si>
  <si>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</si>
  <si>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</si>
  <si>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</si>
  <si>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</si>
  <si>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</si>
  <si>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</si>
  <si>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</si>
  <si>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</si>
  <si>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</si>
  <si>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</si>
  <si>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</si>
  <si>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</si>
  <si>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</si>
  <si>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</si>
  <si>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</si>
  <si>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</si>
  <si>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</si>
  <si>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</si>
  <si>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</si>
  <si>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</si>
  <si>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</si>
  <si>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</si>
  <si>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</si>
  <si>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</si>
  <si>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</si>
  <si>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</si>
  <si>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</si>
  <si>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</si>
  <si>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</si>
  <si>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</si>
  <si>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</si>
  <si>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</si>
  <si>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</si>
  <si>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</si>
  <si>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</si>
  <si>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</si>
  <si>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</si>
  <si>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</si>
  <si>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</si>
  <si>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</si>
  <si>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</si>
  <si>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</si>
  <si>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</si>
  <si>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</si>
  <si>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</si>
  <si>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</si>
  <si>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</si>
  <si>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</si>
  <si>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</si>
  <si>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</si>
  <si>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</si>
  <si>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</si>
  <si>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</si>
  <si>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</si>
  <si>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</si>
  <si>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</si>
  <si>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</si>
  <si>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</si>
  <si>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</si>
  <si>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</si>
  <si>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</si>
  <si>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</si>
  <si>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</si>
  <si>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</si>
  <si>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</si>
  <si>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</si>
  <si>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</si>
  <si>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</si>
  <si>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</si>
  <si>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</si>
  <si>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</si>
  <si>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</si>
  <si>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</si>
  <si>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</si>
  <si>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</si>
  <si>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</si>
  <si>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</si>
  <si>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</si>
  <si>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</si>
  <si>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</si>
  <si>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</si>
  <si>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</si>
  <si>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</si>
  <si>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</si>
  <si>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</si>
  <si>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</si>
  <si>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</si>
  <si>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</si>
  <si>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</si>
  <si>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</si>
  <si>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</si>
  <si>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</si>
  <si>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</si>
  <si>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</si>
  <si>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</si>
  <si>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</si>
  <si>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</si>
  <si>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</si>
  <si>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</si>
  <si>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</si>
  <si>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</si>
  <si>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</si>
  <si>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</si>
  <si>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</si>
  <si>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</si>
  <si>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</si>
  <si>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</si>
  <si>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</si>
  <si>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</si>
  <si>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</si>
  <si>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</si>
  <si>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</si>
  <si>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</si>
  <si>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</si>
  <si>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</si>
  <si>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</si>
  <si>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</si>
  <si>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</si>
  <si>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</si>
  <si>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</si>
  <si>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</si>
  <si>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</si>
  <si>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</si>
  <si>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</si>
  <si>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</si>
  <si>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</si>
  <si>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</si>
  <si>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</si>
  <si>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</si>
  <si>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</si>
  <si>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</si>
  <si>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</si>
  <si>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</si>
  <si>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</si>
  <si>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</si>
  <si>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</si>
  <si>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</si>
  <si>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</si>
  <si>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</si>
  <si>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</si>
  <si>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</si>
  <si>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</si>
  <si>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</si>
  <si>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</si>
  <si>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</si>
  <si>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</si>
  <si>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</si>
  <si>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</si>
  <si>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</si>
  <si>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</si>
  <si>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</si>
  <si>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</si>
  <si>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</si>
  <si>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</si>
  <si>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</si>
  <si>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</si>
  <si>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</si>
  <si>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</si>
  <si>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</si>
  <si>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</si>
  <si>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</si>
  <si>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</si>
  <si>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</si>
  <si>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</si>
  <si>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</si>
  <si>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</si>
  <si>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</si>
  <si>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</si>
  <si>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</si>
  <si>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</si>
  <si>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</si>
  <si>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</si>
  <si>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</si>
  <si>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</si>
  <si>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</si>
  <si>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</si>
  <si>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</si>
  <si>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</si>
  <si>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</si>
  <si>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</si>
  <si>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</si>
  <si>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</si>
  <si>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</si>
  <si>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</si>
  <si>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</si>
  <si>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</si>
  <si>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</si>
  <si>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</si>
  <si>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</si>
  <si>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</si>
  <si>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</si>
  <si>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</si>
  <si>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</si>
  <si>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</si>
  <si>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</si>
  <si>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</si>
  <si>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</si>
  <si>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</si>
  <si>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</si>
  <si>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</si>
  <si>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</si>
  <si>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</si>
  <si>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</si>
  <si>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</si>
  <si>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</si>
  <si>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</si>
  <si>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</si>
  <si>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</si>
  <si>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</si>
  <si>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</si>
  <si>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</si>
  <si>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</si>
  <si>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</si>
  <si>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</si>
  <si>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</si>
  <si>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</si>
  <si>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</si>
  <si>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</si>
  <si>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</si>
  <si>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</si>
  <si>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</si>
  <si>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</si>
  <si>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</si>
  <si>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</si>
  <si>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</si>
  <si>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</si>
  <si>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</si>
  <si>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</si>
  <si>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</si>
  <si>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</si>
  <si>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</si>
  <si>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</si>
  <si>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</si>
  <si>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</si>
  <si>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</si>
  <si>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</si>
  <si>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</si>
  <si>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</si>
  <si>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</si>
  <si>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</si>
  <si>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</si>
  <si>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</si>
  <si>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</si>
  <si>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</si>
  <si>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</si>
  <si>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</si>
  <si>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</si>
  <si>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</si>
  <si>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</si>
  <si>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</si>
  <si>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</si>
  <si>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</si>
  <si>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</si>
  <si>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</si>
  <si>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</si>
  <si>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</si>
  <si>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</si>
  <si>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</si>
  <si>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</si>
  <si>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</si>
  <si>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</si>
  <si>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</si>
  <si>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</si>
  <si>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</si>
  <si>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</si>
  <si>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</si>
  <si>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</si>
  <si>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</si>
  <si>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</si>
  <si>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</si>
  <si>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</si>
  <si>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</si>
  <si>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</si>
  <si>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</si>
  <si>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</si>
  <si>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</si>
  <si>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</si>
  <si>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</si>
  <si>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</si>
  <si>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</si>
  <si>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</si>
  <si>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</si>
  <si>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</si>
  <si>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</si>
  <si>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</si>
  <si>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</si>
  <si>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</si>
  <si>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</si>
  <si>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</si>
  <si>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</si>
  <si>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</si>
  <si>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</si>
  <si>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</si>
  <si>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</si>
  <si>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</si>
  <si>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</si>
  <si>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</si>
  <si>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</si>
  <si>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</si>
  <si>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</si>
  <si>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</si>
  <si>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</si>
  <si>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</si>
  <si>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</si>
  <si>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</si>
  <si>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</si>
  <si>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</si>
  <si>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</si>
  <si>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</si>
  <si>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</si>
  <si>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</si>
  <si>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</si>
  <si>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</si>
  <si>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</si>
  <si>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</si>
  <si>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</si>
  <si>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</si>
  <si>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</si>
  <si>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</si>
  <si>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</si>
  <si>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</si>
  <si>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</si>
  <si>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</si>
  <si>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</si>
  <si>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</si>
  <si>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</si>
  <si>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</si>
  <si>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</si>
  <si>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</si>
  <si>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</si>
  <si>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</si>
  <si>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</si>
  <si>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</si>
  <si>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</si>
  <si>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</si>
  <si>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</si>
  <si>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</si>
  <si>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</si>
  <si>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</si>
  <si>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</si>
  <si>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</si>
  <si>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</si>
  <si>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</si>
  <si>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</si>
  <si>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</si>
  <si>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</si>
  <si>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</si>
  <si>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</si>
  <si>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</si>
  <si>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</si>
  <si>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</si>
  <si>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</si>
  <si>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</si>
  <si>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</si>
  <si>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</si>
  <si>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</si>
  <si>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</si>
  <si>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</si>
  <si>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</si>
  <si>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</si>
  <si>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</si>
  <si>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</si>
  <si>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</si>
  <si>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</si>
  <si>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</si>
  <si>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</si>
  <si>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</si>
  <si>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</si>
  <si>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</si>
  <si>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</si>
  <si>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</si>
  <si>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</si>
  <si>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</si>
  <si>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</si>
  <si>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</si>
  <si>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</si>
  <si>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</si>
  <si>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</si>
  <si>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</si>
  <si>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</si>
  <si>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</si>
  <si>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</si>
  <si>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</si>
  <si>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</si>
  <si>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</si>
  <si>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</si>
  <si>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</si>
  <si>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</si>
  <si>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</si>
  <si>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</si>
  <si>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</si>
  <si>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</si>
  <si>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</si>
  <si>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</si>
  <si>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</si>
  <si>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</si>
  <si>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</si>
  <si>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</si>
  <si>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</si>
  <si>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</si>
  <si>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</si>
  <si>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</si>
  <si>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</si>
  <si>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</si>
  <si>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</si>
  <si>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</si>
  <si>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</si>
  <si>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</si>
  <si>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</si>
  <si>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</si>
  <si>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</si>
  <si>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</si>
  <si>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</si>
  <si>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</si>
  <si>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</si>
  <si>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</si>
  <si>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</si>
  <si>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</si>
  <si>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</si>
  <si>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</si>
  <si>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</si>
  <si>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</si>
  <si>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</si>
  <si>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</si>
  <si>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</si>
  <si>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</si>
  <si>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</si>
  <si>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</si>
  <si>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</si>
  <si>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</si>
  <si>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</si>
  <si>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</si>
  <si>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</si>
  <si>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</si>
  <si>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</si>
  <si>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</si>
  <si>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</si>
  <si>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</si>
  <si>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</si>
  <si>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</si>
  <si>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</si>
  <si>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</si>
  <si>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</si>
  <si>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</si>
  <si>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</si>
  <si>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</si>
  <si>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</si>
  <si>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</si>
  <si>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</si>
  <si>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</si>
  <si>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</si>
  <si>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</si>
  <si>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</si>
  <si>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</si>
  <si>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</si>
  <si>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</si>
  <si>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</si>
  <si>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</si>
  <si>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</si>
  <si>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</si>
  <si>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</si>
  <si>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</si>
  <si>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</si>
  <si>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</si>
  <si>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</si>
  <si>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</si>
  <si>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</si>
  <si>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</si>
  <si>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</si>
  <si>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</si>
  <si>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</si>
  <si>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</si>
  <si>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</si>
  <si>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</si>
  <si>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</si>
  <si>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</si>
  <si>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</si>
  <si>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</si>
  <si>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</si>
  <si>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</si>
  <si>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</si>
  <si>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</si>
  <si>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</si>
  <si>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</si>
  <si>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</si>
  <si>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</si>
  <si>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</si>
  <si>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</si>
  <si>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</si>
  <si>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</si>
  <si>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</si>
  <si>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</si>
  <si>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</si>
  <si>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</si>
  <si>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</si>
  <si>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</si>
  <si>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</si>
  <si>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</si>
  <si>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</si>
  <si>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</si>
  <si>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</si>
  <si>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</si>
  <si>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</si>
  <si>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</si>
  <si>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</si>
  <si>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</si>
  <si>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</si>
  <si>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</si>
  <si>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</si>
  <si>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</si>
  <si>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</si>
  <si>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</si>
  <si>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</si>
  <si>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</si>
  <si>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</si>
  <si>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</si>
  <si>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</si>
  <si>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</si>
  <si>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</si>
  <si>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</si>
  <si>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</si>
  <si>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</si>
  <si>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</si>
  <si>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</si>
  <si>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</si>
  <si>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</si>
  <si>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</si>
  <si>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</si>
  <si>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</si>
  <si>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</si>
  <si>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</si>
  <si>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</si>
  <si>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</si>
  <si>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</si>
  <si>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</si>
  <si>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</si>
  <si>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</si>
  <si>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</si>
  <si>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</si>
  <si>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</si>
  <si>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</si>
  <si>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</si>
  <si>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</si>
  <si>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</si>
  <si>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</si>
  <si>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</si>
  <si>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</si>
  <si>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</si>
  <si>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</si>
  <si>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</si>
  <si>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</si>
  <si>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</si>
  <si>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</si>
  <si>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</si>
  <si>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</si>
  <si>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</si>
  <si>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</si>
  <si>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</si>
  <si>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</si>
  <si>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</si>
  <si>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</si>
  <si>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</si>
  <si>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</si>
  <si>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</si>
  <si>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</si>
  <si>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</si>
  <si>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</si>
  <si>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</si>
  <si>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</si>
  <si>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</si>
  <si>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</si>
  <si>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</si>
  <si>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</si>
  <si>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</si>
  <si>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</si>
  <si>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</si>
  <si>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</si>
  <si>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</si>
  <si>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</si>
  <si>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</si>
  <si>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</si>
  <si>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</si>
  <si>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</si>
  <si>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</si>
  <si>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</si>
  <si>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</si>
  <si>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</si>
  <si>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</si>
  <si>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</si>
  <si>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</si>
  <si>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</si>
  <si>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</si>
  <si>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</si>
  <si>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</si>
  <si>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</si>
  <si>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</si>
  <si>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</si>
  <si>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</si>
  <si>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</si>
  <si>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</si>
  <si>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</si>
  <si>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</si>
  <si>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</si>
  <si>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</si>
  <si>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</si>
  <si>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</si>
  <si>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</si>
  <si>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</si>
  <si>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</si>
  <si>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</si>
  <si>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</si>
  <si>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</si>
  <si>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</si>
  <si>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</si>
  <si>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</si>
  <si>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</si>
  <si>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</si>
  <si>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</si>
  <si>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</si>
  <si>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</si>
  <si>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</si>
  <si>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</si>
  <si>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</si>
  <si>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</si>
  <si>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</si>
  <si>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</si>
  <si>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</si>
  <si>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</si>
  <si>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</si>
  <si>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</si>
  <si>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</si>
  <si>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</si>
  <si>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</si>
  <si>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</si>
  <si>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</si>
  <si>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</si>
  <si>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</si>
  <si>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</si>
  <si>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</si>
  <si>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</si>
  <si>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</si>
  <si>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</si>
  <si>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</si>
  <si>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</si>
  <si>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</si>
  <si>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</si>
  <si>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</si>
  <si>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</si>
  <si>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</si>
  <si>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</si>
  <si>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</si>
  <si>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</si>
  <si>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</si>
  <si>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</si>
  <si>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</si>
  <si>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</si>
  <si>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</si>
  <si>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</si>
  <si>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</si>
  <si>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</si>
  <si>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</si>
  <si>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</si>
  <si>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</si>
  <si>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</si>
  <si>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</si>
  <si>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</si>
  <si>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</si>
  <si>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</si>
  <si>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</si>
  <si>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</si>
  <si>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</si>
  <si>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</si>
  <si>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</si>
  <si>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</si>
  <si>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</si>
  <si>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</si>
  <si>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</si>
  <si>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</si>
  <si>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</si>
  <si>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</si>
  <si>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</si>
  <si>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</si>
  <si>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</si>
  <si>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</si>
  <si>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</si>
  <si>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</si>
  <si>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</si>
  <si>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</si>
  <si>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</si>
  <si>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</si>
  <si>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</si>
  <si>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</si>
  <si>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</si>
  <si>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</si>
  <si>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</si>
  <si>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</si>
  <si>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</si>
  <si>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</si>
  <si>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</si>
  <si>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</si>
  <si>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</si>
  <si>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</si>
  <si>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</si>
  <si>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</si>
  <si>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</si>
  <si>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</si>
  <si>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</si>
  <si>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</si>
  <si>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</si>
  <si>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</si>
  <si>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</si>
  <si>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</si>
  <si>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</si>
  <si>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</si>
  <si>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</si>
  <si>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</si>
  <si>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</si>
  <si>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</si>
  <si>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</si>
  <si>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</si>
  <si>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</si>
  <si>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</si>
  <si>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</si>
  <si>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</si>
  <si>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</si>
  <si>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</si>
  <si>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</si>
  <si>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</si>
  <si>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</si>
  <si>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</si>
  <si>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</si>
  <si>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</si>
  <si>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</si>
  <si>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</si>
  <si>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</si>
  <si>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</si>
  <si>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</si>
  <si>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</si>
  <si>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</si>
  <si>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</si>
  <si>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</si>
  <si>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</si>
  <si>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</si>
  <si>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</si>
  <si>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</si>
  <si>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</si>
  <si>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</si>
  <si>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</si>
  <si>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</si>
  <si>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</si>
  <si>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</si>
  <si>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</si>
  <si>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</si>
  <si>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</si>
  <si>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</si>
  <si>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</si>
  <si>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</si>
  <si>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</si>
  <si>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</si>
  <si>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</si>
  <si>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</si>
  <si>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</si>
  <si>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</si>
  <si>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</si>
  <si>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</si>
  <si>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</si>
  <si>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</si>
  <si>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</si>
  <si>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</si>
  <si>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</si>
  <si>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</si>
  <si>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</si>
  <si>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</si>
  <si>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</si>
  <si>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</si>
  <si>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</si>
  <si>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</si>
  <si>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</si>
  <si>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</si>
  <si>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</si>
  <si>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</si>
  <si>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</si>
  <si>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</si>
  <si>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</si>
  <si>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</si>
  <si>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</si>
  <si>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</si>
  <si>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</si>
  <si>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</si>
  <si>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</si>
  <si>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</si>
  <si>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</si>
  <si>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</si>
  <si>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</si>
  <si>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</si>
  <si>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</si>
  <si>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</si>
  <si>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</si>
  <si>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</si>
  <si>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</si>
  <si>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</si>
  <si>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</si>
  <si>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</si>
  <si>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</si>
  <si>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</si>
  <si>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</si>
  <si>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</si>
  <si>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</si>
  <si>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</si>
  <si>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</si>
  <si>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</si>
  <si>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</si>
  <si>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</si>
  <si>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</si>
  <si>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</si>
  <si>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</si>
  <si>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</si>
  <si>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</si>
  <si>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</si>
  <si>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</si>
  <si>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</si>
  <si>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</si>
  <si>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</si>
  <si>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</si>
  <si>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</si>
  <si>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</si>
  <si>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</si>
  <si>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</si>
  <si>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</si>
  <si>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</si>
  <si>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</si>
  <si>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</si>
  <si>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</si>
  <si>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</si>
  <si>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</si>
  <si>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</si>
  <si>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</si>
  <si>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</si>
  <si>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</si>
  <si>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</si>
  <si>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</si>
  <si>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</si>
  <si>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</si>
  <si>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</si>
  <si>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</si>
  <si>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</si>
  <si>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</si>
  <si>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</si>
  <si>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</si>
  <si>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</si>
  <si>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</si>
  <si>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</si>
  <si>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</si>
  <si>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</si>
  <si>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</si>
  <si>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</si>
  <si>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</si>
  <si>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</si>
  <si>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</si>
  <si>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</si>
  <si>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</si>
  <si>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</si>
  <si>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</si>
  <si>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</si>
  <si>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</si>
  <si>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</si>
  <si>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</si>
  <si>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</si>
  <si>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</si>
  <si>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</si>
  <si>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</si>
  <si>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</si>
  <si>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</si>
  <si>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</si>
  <si>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</si>
  <si>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</si>
  <si>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</si>
  <si>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</si>
  <si>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</si>
  <si>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</si>
  <si>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</si>
  <si>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</si>
  <si>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</si>
  <si>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</si>
  <si>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</si>
  <si>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</si>
  <si>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</si>
  <si>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</si>
  <si>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</si>
  <si>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</si>
  <si>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</si>
  <si>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</si>
  <si>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</si>
  <si>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</si>
  <si>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</si>
  <si>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</si>
  <si>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</si>
  <si>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</si>
  <si>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</si>
  <si>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</si>
  <si>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</si>
  <si>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</si>
  <si>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</si>
  <si>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</si>
  <si>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</si>
  <si>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</si>
  <si>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</si>
  <si>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</si>
  <si>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</si>
  <si>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</si>
  <si>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</si>
  <si>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</si>
  <si>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</si>
  <si>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</si>
  <si>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</si>
  <si>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</si>
  <si>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</si>
  <si>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</si>
  <si>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</si>
  <si>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</si>
  <si>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</si>
  <si>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</si>
  <si>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</si>
  <si>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</si>
  <si>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</si>
  <si>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</si>
  <si>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</si>
  <si>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</si>
  <si>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</si>
  <si>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</si>
  <si>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</si>
  <si>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</si>
  <si>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</si>
  <si>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</si>
  <si>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</si>
  <si>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</si>
  <si>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</si>
  <si>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</si>
  <si>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</si>
  <si>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</si>
  <si>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</si>
  <si>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</si>
  <si>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</si>
  <si>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</si>
  <si>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</si>
  <si>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</si>
  <si>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</si>
  <si>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</si>
  <si>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</si>
  <si>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</si>
  <si>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</si>
  <si>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</si>
  <si>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</si>
  <si>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</si>
  <si>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</si>
  <si>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</si>
  <si>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</si>
  <si>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</si>
  <si>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</si>
  <si>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</si>
  <si>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</si>
  <si>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</si>
  <si>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</si>
  <si>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</si>
  <si>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</si>
  <si>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</si>
  <si>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</si>
  <si>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</si>
  <si>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</si>
  <si>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</si>
  <si>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</si>
  <si>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</si>
  <si>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</si>
  <si>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</si>
  <si>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</si>
  <si>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</si>
  <si>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</si>
  <si>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</si>
  <si>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</si>
  <si>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</si>
  <si>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</si>
  <si>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</si>
  <si>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</si>
  <si>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</si>
  <si>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</si>
  <si>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</si>
  <si>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</si>
  <si>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</si>
  <si>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</si>
  <si>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</si>
  <si>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</si>
  <si>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</si>
  <si>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</si>
  <si>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</si>
  <si>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</si>
  <si>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</si>
  <si>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</si>
  <si>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</si>
  <si>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</si>
  <si>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</si>
  <si>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</si>
  <si>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</si>
  <si>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</si>
  <si>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</si>
  <si>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</si>
  <si>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</si>
  <si>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</si>
  <si>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</si>
  <si>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</si>
  <si>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</si>
  <si>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</si>
  <si>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</si>
  <si>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</si>
  <si>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</si>
  <si>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</si>
  <si>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</si>
  <si>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</si>
  <si>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</si>
  <si>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</si>
  <si>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</si>
  <si>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</si>
  <si>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</si>
  <si>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</si>
  <si>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</si>
  <si>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</si>
  <si>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</si>
  <si>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</si>
  <si>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</si>
  <si>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</si>
  <si>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</si>
  <si>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</si>
  <si>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</si>
  <si>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</si>
  <si>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</si>
  <si>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</si>
  <si>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</si>
  <si>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</si>
  <si>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</si>
  <si>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</si>
  <si>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</si>
  <si>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</si>
  <si>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</si>
  <si>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</si>
  <si>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</si>
  <si>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</si>
  <si>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</si>
  <si>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</si>
  <si>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</si>
  <si>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</si>
  <si>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</si>
  <si>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</si>
  <si>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</si>
  <si>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</si>
  <si>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</si>
  <si>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</si>
  <si>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</si>
  <si>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</si>
  <si>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</si>
  <si>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</si>
  <si>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</si>
  <si>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</si>
  <si>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</si>
  <si>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</si>
  <si>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</si>
  <si>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</si>
  <si>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</si>
  <si>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</si>
  <si>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</si>
  <si>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</si>
  <si>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</si>
  <si>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</si>
  <si>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</si>
  <si>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</si>
  <si>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</si>
  <si>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</si>
  <si>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</si>
  <si>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</si>
  <si>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</si>
  <si>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</si>
  <si>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</si>
  <si>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</si>
  <si>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</si>
  <si>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</si>
  <si>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</si>
  <si>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</si>
  <si>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</si>
  <si>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</si>
  <si>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</si>
  <si>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</si>
  <si>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</si>
  <si>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</si>
  <si>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</si>
  <si>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</si>
  <si>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</si>
  <si>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</si>
  <si>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</si>
  <si>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</si>
  <si>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</si>
  <si>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</si>
  <si>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</si>
  <si>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</si>
  <si>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</si>
  <si>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</si>
  <si>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</si>
  <si>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</si>
  <si>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</si>
  <si>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</si>
  <si>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</si>
  <si>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</si>
  <si>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</si>
  <si>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</si>
  <si>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</si>
  <si>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</si>
  <si>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</si>
  <si>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</si>
  <si>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</si>
  <si>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</si>
  <si>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</si>
  <si>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</si>
  <si>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</si>
  <si>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</si>
  <si>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</si>
  <si>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</si>
  <si>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</si>
  <si>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</si>
  <si>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</si>
  <si>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</si>
  <si>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</si>
  <si>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</si>
  <si>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</si>
  <si>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</si>
  <si>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</si>
  <si>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</si>
  <si>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</si>
  <si>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</si>
  <si>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</si>
  <si>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</si>
  <si>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</si>
  <si>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</si>
  <si>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</si>
  <si>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</si>
  <si>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</si>
  <si>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</si>
  <si>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</si>
  <si>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</si>
  <si>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</si>
  <si>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</si>
  <si>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</si>
  <si>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</si>
  <si>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</si>
  <si>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</si>
  <si>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</si>
  <si>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</si>
  <si>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</si>
  <si>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</si>
  <si>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</si>
  <si>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</si>
  <si>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</si>
  <si>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</si>
  <si>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</si>
  <si>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</si>
  <si>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</si>
  <si>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</si>
  <si>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</si>
  <si>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</si>
  <si>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</si>
  <si>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</si>
  <si>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</si>
  <si>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</si>
  <si>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</si>
  <si>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</si>
  <si>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</si>
  <si>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</si>
  <si>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</si>
  <si>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</si>
  <si>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</si>
  <si>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</si>
  <si>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</si>
  <si>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</si>
  <si>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</si>
  <si>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</si>
  <si>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</si>
  <si>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</si>
  <si>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</si>
  <si>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</si>
  <si>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</si>
  <si>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</si>
  <si>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</si>
  <si>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</si>
  <si>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</si>
  <si>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</si>
  <si>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</si>
  <si>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</si>
  <si>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</si>
  <si>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</si>
  <si>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</si>
  <si>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</si>
  <si>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</si>
  <si>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</si>
  <si>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</si>
  <si>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</si>
  <si>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</si>
  <si>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</si>
  <si>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</si>
  <si>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</si>
  <si>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</si>
  <si>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</si>
  <si>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</si>
  <si>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</si>
  <si>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</si>
  <si>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</si>
  <si>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</si>
  <si>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</si>
  <si>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</si>
  <si>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</si>
  <si>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</si>
  <si>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</si>
  <si>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</si>
  <si>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</si>
  <si>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</si>
  <si>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</si>
  <si>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</si>
  <si>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</si>
  <si>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</si>
  <si>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</si>
  <si>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</si>
  <si>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</si>
  <si>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</si>
  <si>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</si>
  <si>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</si>
  <si>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</si>
  <si>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</si>
  <si>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</si>
  <si>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</si>
  <si>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</si>
  <si>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</si>
  <si>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</si>
  <si>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</si>
  <si>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</si>
  <si>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</si>
  <si>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</si>
  <si>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</si>
  <si>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</si>
  <si>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</si>
  <si>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</si>
  <si>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</si>
  <si>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</si>
  <si>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</si>
  <si>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</si>
  <si>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</si>
  <si>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</si>
  <si>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</si>
  <si>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</si>
  <si>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</si>
  <si>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</si>
  <si>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</si>
  <si>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</si>
  <si>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</si>
  <si>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</si>
  <si>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</si>
  <si>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</si>
  <si>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</si>
  <si>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</si>
  <si>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</si>
  <si>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</si>
  <si>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</si>
  <si>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</si>
  <si>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</si>
  <si>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</si>
  <si>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</si>
  <si>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</si>
  <si>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</si>
  <si>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</si>
  <si>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</si>
  <si>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</si>
  <si>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</si>
  <si>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</si>
  <si>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</si>
  <si>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</si>
  <si>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</si>
  <si>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</si>
  <si>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</si>
  <si>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</si>
  <si>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</si>
  <si>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</si>
  <si>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</si>
  <si>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</si>
  <si>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</si>
  <si>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</si>
  <si>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</si>
  <si>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</si>
  <si>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</si>
  <si>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</si>
  <si>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</si>
  <si>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</si>
  <si>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</si>
  <si>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</si>
  <si>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</si>
  <si>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</si>
  <si>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</si>
  <si>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</si>
  <si>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</si>
  <si>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</si>
  <si>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</si>
  <si>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</si>
  <si>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</si>
  <si>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</si>
  <si>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</si>
  <si>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</si>
  <si>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</si>
  <si>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</si>
  <si>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</si>
  <si>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</si>
  <si>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</si>
  <si>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</si>
  <si>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</si>
  <si>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</si>
  <si>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</si>
  <si>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</si>
  <si>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</si>
  <si>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</si>
  <si>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</si>
  <si>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</si>
  <si>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</si>
  <si>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</si>
  <si>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</si>
  <si>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</si>
  <si>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</si>
  <si>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</si>
  <si>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</si>
  <si>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</si>
  <si>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</si>
  <si>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</si>
  <si>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</si>
  <si>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</si>
  <si>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</si>
  <si>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</si>
  <si>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</si>
  <si>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</si>
  <si>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</si>
  <si>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</si>
  <si>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</si>
  <si>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</si>
  <si>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</si>
  <si>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</si>
  <si>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</si>
  <si>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</si>
  <si>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</si>
  <si>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</si>
  <si>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</si>
  <si>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</si>
  <si>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</si>
  <si>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</si>
  <si>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</si>
  <si>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</si>
  <si>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</si>
  <si>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</si>
  <si>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</si>
  <si>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</si>
  <si>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</si>
  <si>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</si>
  <si>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</si>
  <si>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</si>
  <si>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</si>
  <si>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</si>
  <si>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</si>
  <si>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</si>
  <si>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</si>
  <si>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</si>
  <si>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</si>
  <si>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</si>
  <si>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</si>
  <si>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</si>
  <si>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</si>
  <si>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</si>
  <si>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</si>
  <si>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</si>
  <si>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</si>
  <si>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</si>
  <si>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</si>
  <si>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</si>
  <si>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</si>
  <si>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</si>
  <si>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</si>
  <si>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</si>
  <si>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</si>
  <si>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</si>
  <si>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</si>
  <si>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</si>
  <si>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</si>
  <si>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</si>
  <si>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</si>
  <si>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</si>
  <si>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</si>
  <si>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</si>
  <si>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</si>
  <si>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</si>
  <si>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</si>
  <si>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</si>
  <si>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</si>
  <si>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</si>
  <si>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</si>
  <si>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</si>
  <si>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</si>
  <si>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</si>
  <si>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</si>
  <si>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</si>
  <si>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</si>
  <si>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</si>
  <si>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</si>
  <si>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</si>
  <si>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</si>
  <si>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</si>
  <si>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</si>
  <si>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</si>
  <si>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</si>
  <si>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</si>
  <si>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</si>
  <si>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</si>
  <si>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</si>
  <si>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</si>
  <si>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</si>
  <si>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</si>
  <si>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</si>
  <si>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</si>
  <si>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</si>
  <si>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</si>
  <si>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</si>
  <si>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</si>
  <si>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</si>
  <si>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</si>
  <si>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</si>
  <si>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</si>
  <si>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</si>
  <si>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</si>
  <si>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</si>
  <si>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</si>
  <si>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</si>
  <si>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</si>
  <si>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</si>
  <si>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</si>
  <si>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</si>
  <si>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</si>
  <si>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</si>
  <si>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</si>
  <si>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</si>
  <si>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</si>
  <si>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</si>
  <si>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</si>
  <si>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</si>
  <si>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</si>
  <si>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</si>
  <si>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</si>
  <si>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</si>
  <si>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</si>
  <si>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</si>
  <si>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</si>
  <si>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</si>
  <si>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</si>
  <si>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</si>
  <si>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</si>
  <si>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</si>
  <si>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</si>
  <si>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</si>
  <si>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</si>
  <si>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</si>
  <si>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</si>
  <si>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</si>
  <si>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</si>
  <si>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</si>
  <si>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</si>
  <si>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</si>
  <si>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</si>
  <si>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</si>
  <si>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</si>
  <si>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</si>
  <si>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</si>
  <si>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</si>
  <si>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</si>
  <si>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</si>
  <si>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</si>
  <si>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</si>
  <si>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</si>
  <si>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</si>
  <si>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</si>
  <si>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</si>
  <si>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</si>
  <si>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</si>
  <si>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</si>
  <si>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</si>
  <si>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</si>
  <si>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</si>
  <si>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</si>
  <si>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</si>
  <si>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</si>
  <si>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</si>
  <si>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</si>
  <si>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</si>
  <si>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</si>
  <si>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</si>
  <si>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</si>
  <si>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</si>
  <si>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</si>
  <si>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</si>
  <si>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</si>
  <si>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</si>
  <si>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</si>
  <si>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</si>
  <si>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</si>
  <si>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</si>
  <si>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</si>
  <si>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</si>
  <si>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</si>
  <si>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</si>
  <si>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</si>
  <si>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</si>
  <si>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</si>
  <si>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</si>
  <si>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</si>
  <si>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</si>
  <si>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</si>
  <si>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</si>
  <si>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</si>
  <si>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</si>
  <si>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</si>
  <si>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</si>
  <si>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</si>
  <si>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</si>
  <si>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</si>
  <si>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</si>
  <si>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</si>
  <si>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</si>
  <si>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</si>
  <si>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</si>
  <si>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</si>
  <si>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</si>
  <si>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</si>
  <si>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</si>
  <si>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</si>
  <si>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</si>
  <si>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</si>
  <si>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</si>
  <si>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</si>
  <si>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</si>
  <si>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</si>
  <si>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</si>
  <si>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</si>
  <si>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</si>
  <si>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</si>
  <si>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</si>
  <si>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</si>
  <si>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</si>
  <si>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</si>
  <si>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</si>
  <si>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</si>
  <si>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</si>
  <si>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</si>
  <si>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</si>
  <si>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</si>
  <si>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</si>
  <si>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</si>
  <si>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</si>
  <si>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</si>
  <si>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</si>
  <si>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</si>
  <si>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</si>
  <si>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</si>
  <si>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</si>
  <si>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</si>
  <si>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</si>
  <si>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</si>
  <si>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</si>
  <si>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</si>
  <si>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</si>
  <si>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</si>
  <si>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</si>
  <si>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</si>
  <si>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</si>
  <si>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</si>
  <si>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</si>
  <si>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</si>
  <si>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</si>
  <si>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</si>
  <si>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</si>
  <si>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</si>
  <si>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</si>
  <si>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</si>
  <si>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</si>
  <si>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</si>
  <si>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</si>
  <si>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</si>
  <si>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</si>
  <si>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</si>
  <si>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</si>
  <si>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</si>
  <si>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</si>
  <si>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</si>
  <si>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</si>
  <si>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</si>
  <si>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</si>
  <si>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</si>
  <si>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</si>
  <si>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</si>
  <si>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</si>
  <si>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</si>
  <si>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</si>
  <si>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</si>
  <si>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</si>
  <si>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</si>
  <si>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</si>
  <si>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</si>
  <si>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</si>
  <si>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</si>
  <si>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</si>
  <si>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</si>
  <si>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</si>
  <si>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</si>
  <si>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</si>
  <si>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</si>
  <si>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</si>
  <si>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</si>
  <si>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</si>
  <si>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</si>
  <si>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</si>
  <si>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</si>
  <si>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</si>
  <si>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</si>
  <si>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</si>
  <si>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</si>
  <si>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</si>
  <si>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</si>
  <si>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</si>
  <si>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</si>
  <si>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</si>
  <si>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</si>
  <si>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</si>
  <si>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</si>
  <si>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</si>
  <si>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</si>
  <si>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</si>
  <si>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</si>
  <si>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</si>
  <si>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</si>
  <si>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</si>
  <si>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</si>
  <si>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</si>
  <si>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</si>
  <si>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</si>
  <si>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</si>
  <si>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</si>
  <si>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</si>
  <si>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</si>
  <si>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</si>
  <si>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</si>
  <si>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</si>
  <si>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</si>
  <si>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</si>
  <si>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</si>
  <si>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</si>
  <si>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</si>
  <si>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</si>
  <si>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</si>
  <si>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</si>
  <si>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</si>
  <si>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</si>
  <si>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</si>
  <si>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</si>
  <si>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</si>
  <si>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</si>
  <si>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</si>
  <si>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</si>
  <si>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</si>
  <si>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</si>
  <si>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</si>
  <si>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</si>
  <si>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</si>
  <si>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</si>
  <si>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</si>
  <si>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</si>
  <si>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</si>
  <si>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</si>
  <si>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</si>
  <si>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</si>
  <si>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</si>
  <si>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</si>
  <si>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</si>
  <si>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</si>
  <si>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</si>
  <si>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</si>
  <si>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</si>
  <si>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</si>
  <si>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</si>
  <si>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</si>
  <si>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</si>
  <si>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</si>
  <si>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</si>
  <si>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</si>
  <si>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</si>
  <si>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</si>
  <si>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</si>
  <si>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</si>
  <si>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</si>
  <si>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</si>
  <si>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</si>
  <si>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</si>
  <si>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</si>
  <si>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</si>
  <si>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</si>
  <si>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</si>
  <si>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</si>
  <si>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</si>
  <si>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</si>
  <si>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</si>
  <si>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</si>
  <si>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</si>
  <si>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</si>
  <si>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</si>
  <si>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</si>
  <si>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</si>
  <si>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</si>
  <si>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</si>
  <si>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</si>
  <si>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</si>
  <si>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</si>
  <si>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</si>
  <si>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</si>
  <si>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</si>
  <si>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</si>
  <si>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</si>
  <si>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</si>
  <si>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</si>
  <si>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</si>
  <si>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</si>
  <si>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</si>
  <si>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</si>
  <si>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</si>
  <si>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</si>
  <si>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</si>
  <si>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</si>
  <si>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</si>
  <si>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</si>
  <si>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</si>
  <si>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</si>
  <si>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</si>
  <si>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</si>
  <si>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</si>
  <si>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</si>
  <si>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</si>
  <si>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</si>
  <si>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</si>
  <si>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</si>
  <si>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</si>
  <si>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</si>
  <si>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</si>
  <si>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</si>
  <si>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</si>
  <si>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</si>
  <si>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</si>
  <si>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</si>
  <si>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</si>
  <si>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</si>
  <si>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</si>
  <si>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</si>
  <si>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</si>
  <si>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</si>
  <si>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</si>
  <si>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</si>
  <si>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</si>
  <si>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</si>
  <si>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</si>
  <si>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</si>
  <si>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</si>
  <si>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</si>
  <si>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</si>
  <si>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</si>
  <si>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</si>
  <si>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</si>
  <si>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</si>
  <si>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</si>
  <si>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</si>
  <si>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</si>
  <si>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</si>
  <si>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</si>
  <si>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</si>
  <si>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</si>
  <si>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</si>
  <si>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</si>
  <si>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</si>
  <si>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</si>
  <si>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</si>
  <si>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</si>
  <si>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</si>
  <si>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</si>
  <si>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</si>
  <si>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</si>
  <si>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</si>
  <si>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</si>
  <si>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</si>
  <si>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</si>
  <si>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</si>
  <si>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</si>
  <si>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</si>
  <si>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</si>
  <si>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</si>
  <si>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</si>
  <si>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</si>
  <si>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</si>
  <si>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</si>
  <si>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</si>
  <si>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</si>
  <si>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</si>
  <si>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</si>
  <si>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</si>
  <si>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</si>
  <si>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</si>
  <si>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</si>
  <si>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</si>
  <si>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</si>
  <si>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</si>
  <si>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</si>
  <si>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</si>
  <si>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</si>
  <si>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</si>
  <si>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</si>
  <si>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</si>
  <si>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</si>
  <si>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</si>
  <si>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</si>
  <si>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</si>
  <si>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</si>
  <si>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</si>
  <si>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</si>
  <si>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</si>
  <si>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</si>
  <si>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</si>
  <si>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</si>
  <si>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</si>
  <si>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</si>
  <si>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</si>
  <si>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</si>
  <si>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</si>
  <si>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</si>
  <si>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</si>
  <si>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</si>
  <si>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</si>
  <si>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</si>
  <si>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</si>
  <si>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</si>
  <si>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</si>
  <si>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</si>
  <si>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</si>
  <si>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</si>
  <si>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</si>
  <si>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</si>
  <si>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</si>
  <si>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</si>
  <si>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</si>
  <si>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</si>
  <si>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</si>
  <si>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</si>
  <si>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</si>
  <si>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</si>
  <si>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</si>
  <si>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</si>
  <si>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</si>
  <si>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</si>
  <si>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</si>
  <si>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</si>
  <si>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</si>
  <si>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</si>
  <si>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</si>
  <si>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</si>
  <si>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</si>
  <si>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</si>
  <si>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</si>
  <si>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</si>
  <si>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</si>
  <si>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</si>
  <si>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</si>
  <si>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</si>
  <si>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</si>
  <si>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</si>
  <si>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</si>
  <si>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</si>
  <si>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</si>
  <si>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</si>
  <si>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</si>
  <si>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</si>
  <si>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</si>
  <si>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</si>
  <si>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</si>
  <si>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</si>
  <si>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</si>
  <si>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</si>
  <si>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</si>
  <si>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</si>
  <si>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</si>
  <si>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</si>
  <si>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</si>
  <si>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</si>
  <si>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</si>
  <si>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</si>
  <si>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</si>
  <si>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</si>
  <si>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</si>
  <si>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</si>
  <si>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</si>
  <si>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</si>
  <si>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</si>
  <si>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</si>
  <si>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</si>
  <si>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</si>
  <si>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</si>
  <si>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</si>
  <si>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</si>
  <si>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</si>
  <si>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</si>
  <si>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</si>
  <si>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</si>
  <si>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</si>
  <si>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</si>
  <si>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</si>
  <si>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</si>
  <si>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</si>
  <si>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</si>
  <si>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</si>
  <si>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</si>
  <si>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</si>
  <si>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</si>
  <si>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</si>
  <si>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</si>
  <si>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</si>
  <si>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</si>
  <si>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</si>
  <si>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</si>
  <si>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</si>
  <si>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</si>
  <si>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</si>
  <si>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</si>
  <si>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</si>
  <si>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</si>
  <si>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</si>
  <si>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</si>
  <si>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</si>
  <si>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</si>
  <si>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</si>
  <si>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</si>
  <si>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</si>
  <si>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</si>
  <si>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</si>
  <si>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</si>
  <si>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</si>
  <si>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</si>
  <si>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</si>
  <si>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</si>
  <si>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</si>
  <si>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</si>
  <si>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</si>
  <si>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</si>
  <si>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</si>
  <si>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</si>
  <si>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</si>
  <si>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</si>
  <si>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</si>
  <si>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</si>
  <si>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</si>
  <si>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</si>
  <si>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</si>
  <si>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</si>
  <si>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</si>
  <si>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</si>
  <si>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</si>
  <si>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</si>
  <si>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</si>
  <si>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</si>
  <si>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</si>
  <si>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</si>
  <si>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</si>
  <si>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</si>
  <si>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</si>
  <si>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</si>
  <si>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</si>
  <si>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</si>
  <si>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</si>
  <si>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</si>
  <si>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</si>
  <si>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</si>
  <si>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</si>
  <si>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</si>
  <si>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</si>
  <si>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</si>
  <si>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</si>
  <si>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</si>
  <si>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</si>
  <si>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</si>
  <si>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</si>
  <si>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</si>
  <si>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</si>
  <si>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</si>
  <si>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</si>
  <si>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</si>
  <si>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</si>
  <si>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</si>
  <si>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</si>
  <si>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</si>
  <si>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</si>
  <si>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</si>
  <si>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</si>
  <si>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</si>
  <si>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</si>
  <si>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</si>
  <si>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</si>
  <si>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</si>
  <si>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</si>
  <si>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</si>
  <si>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</si>
  <si>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</si>
  <si>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</si>
  <si>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</si>
  <si>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</si>
  <si>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</si>
  <si>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</si>
  <si>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</si>
  <si>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</si>
  <si>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</si>
  <si>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</si>
  <si>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</si>
  <si>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</si>
  <si>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</si>
  <si>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</si>
  <si>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</si>
  <si>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</si>
  <si>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</si>
  <si>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</si>
  <si>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</si>
  <si>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</si>
  <si>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</si>
  <si>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</si>
  <si>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</si>
  <si>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</si>
  <si>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</si>
  <si>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</si>
  <si>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</si>
  <si>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</si>
  <si>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</si>
  <si>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</si>
  <si>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</si>
  <si>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</si>
  <si>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</si>
  <si>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</si>
  <si>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</si>
  <si>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</si>
  <si>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</si>
  <si>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</si>
  <si>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</si>
  <si>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</si>
  <si>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</si>
  <si>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</si>
  <si>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</si>
  <si>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</si>
  <si>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</si>
  <si>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</si>
  <si>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</si>
  <si>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</si>
  <si>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</si>
  <si>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</si>
  <si>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</si>
  <si>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</si>
  <si>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</si>
  <si>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</si>
  <si>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</si>
  <si>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</si>
  <si>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</si>
  <si>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</si>
  <si>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</si>
  <si>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</si>
  <si>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</si>
  <si>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</si>
  <si>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</si>
  <si>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</si>
  <si>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</si>
  <si>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</si>
  <si>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</si>
  <si>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</si>
  <si>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</si>
  <si>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</si>
  <si>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</si>
  <si>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</si>
  <si>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</si>
  <si>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</si>
  <si>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</si>
  <si>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</si>
  <si>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</si>
  <si>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</si>
  <si>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</si>
  <si>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</si>
  <si>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</si>
  <si>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</si>
  <si>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</si>
  <si>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</si>
  <si>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</si>
  <si>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</si>
  <si>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</si>
  <si>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</si>
  <si>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</si>
  <si>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</si>
  <si>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</si>
  <si>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</si>
  <si>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</si>
  <si>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</si>
  <si>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</si>
  <si>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</si>
  <si>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</si>
  <si>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</si>
  <si>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</si>
  <si>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</si>
  <si>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</si>
  <si>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</si>
  <si>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</si>
  <si>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</si>
  <si>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</si>
  <si>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</si>
  <si>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</si>
  <si>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</si>
  <si>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</si>
  <si>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</si>
  <si>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</si>
  <si>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</si>
  <si>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</si>
  <si>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</si>
  <si>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</si>
  <si>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</si>
  <si>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</si>
  <si>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</si>
  <si>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</si>
  <si>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</si>
  <si>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</si>
  <si>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</si>
  <si>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</si>
  <si>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</si>
  <si>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</si>
  <si>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</si>
  <si>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</si>
  <si>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</si>
  <si>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</si>
  <si>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</si>
  <si>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</si>
  <si>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</si>
  <si>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</si>
  <si>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</si>
  <si>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</si>
  <si>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</si>
  <si>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</si>
  <si>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</si>
  <si>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</si>
  <si>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</si>
  <si>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</si>
  <si>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</si>
  <si>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</si>
  <si>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</si>
  <si>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</si>
  <si>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</si>
  <si>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</si>
  <si>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</si>
  <si>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</si>
  <si>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</si>
  <si>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</si>
  <si>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</si>
  <si>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</si>
  <si>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</si>
  <si>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</si>
  <si>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</si>
  <si>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</si>
  <si>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</si>
  <si>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</si>
  <si>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</si>
  <si>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</si>
  <si>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</si>
  <si>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</si>
  <si>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</si>
  <si>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</si>
  <si>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</si>
  <si>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</si>
  <si>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</si>
  <si>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</si>
  <si>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</si>
  <si>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</si>
  <si>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</si>
  <si>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</si>
  <si>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</si>
  <si>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</si>
  <si>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</si>
  <si>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</si>
  <si>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</si>
  <si>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</si>
  <si>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</si>
  <si>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</si>
  <si>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</si>
  <si>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</si>
  <si>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</si>
  <si>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</si>
  <si>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</si>
  <si>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</si>
  <si>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</si>
  <si>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</si>
  <si>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</si>
  <si>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</si>
  <si>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</si>
  <si>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</si>
  <si>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</si>
  <si>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</si>
  <si>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</si>
  <si>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</si>
  <si>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</si>
  <si>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</si>
  <si>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</si>
  <si>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</si>
  <si>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</si>
  <si>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</si>
  <si>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</si>
  <si>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</si>
  <si>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</si>
  <si>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</si>
  <si>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</si>
  <si>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</si>
  <si>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</si>
  <si>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</si>
  <si>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</si>
  <si>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</si>
  <si>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</si>
  <si>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</si>
  <si>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</si>
  <si>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</si>
  <si>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</si>
  <si>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</si>
  <si>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</si>
  <si>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</si>
  <si>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</si>
  <si>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</si>
  <si>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</si>
  <si>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</si>
  <si>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</si>
  <si>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</si>
  <si>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</si>
  <si>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</si>
  <si>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</si>
  <si>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</si>
  <si>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</si>
  <si>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</si>
  <si>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</si>
  <si>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</si>
  <si>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</si>
  <si>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</si>
  <si>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</si>
  <si>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</si>
  <si>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</si>
  <si>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</si>
  <si>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</si>
  <si>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</si>
  <si>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</si>
  <si>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</si>
  <si>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</si>
  <si>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</si>
  <si>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</si>
  <si>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</si>
  <si>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</si>
  <si>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</si>
  <si>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</si>
  <si>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</si>
  <si>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</si>
  <si>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</si>
  <si>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</si>
  <si>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</si>
  <si>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</si>
  <si>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</si>
  <si>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</si>
  <si>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</si>
  <si>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</si>
  <si>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</si>
  <si>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</si>
  <si>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</si>
  <si>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</si>
  <si>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</si>
  <si>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</si>
  <si>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</si>
  <si>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</si>
  <si>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</si>
  <si>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</si>
  <si>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</si>
  <si>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</si>
  <si>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</si>
  <si>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</si>
  <si>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</si>
  <si>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</si>
  <si>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</si>
  <si>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</si>
  <si>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</si>
  <si>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</si>
  <si>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</si>
  <si>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</si>
  <si>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</si>
  <si>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</si>
  <si>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</si>
  <si>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</si>
  <si>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</si>
  <si>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</si>
  <si>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</si>
  <si>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</si>
  <si>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</si>
  <si>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</si>
  <si>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</si>
  <si>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</si>
  <si>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</si>
  <si>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</si>
  <si>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</si>
  <si>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</si>
  <si>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</si>
  <si>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</si>
  <si>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</si>
  <si>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</si>
  <si>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</si>
  <si>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</si>
  <si>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</si>
  <si>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</si>
  <si>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</si>
  <si>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</si>
  <si>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</si>
  <si>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</si>
  <si>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</si>
  <si>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</si>
  <si>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</si>
  <si>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</si>
  <si>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</si>
  <si>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</si>
  <si>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</si>
  <si>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</si>
  <si>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</si>
  <si>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</si>
  <si>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</si>
  <si>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</si>
  <si>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</si>
  <si>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</si>
  <si>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</si>
  <si>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</si>
  <si>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</si>
  <si>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</si>
  <si>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</si>
  <si>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</si>
  <si>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</si>
  <si>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</si>
  <si>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</si>
  <si>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</si>
  <si>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</si>
  <si>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</si>
  <si>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</si>
  <si>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</si>
  <si>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</si>
  <si>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</si>
  <si>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</si>
  <si>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</si>
  <si>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</si>
  <si>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</si>
  <si>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</si>
  <si>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</si>
  <si>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</si>
  <si>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</si>
  <si>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</si>
  <si>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</si>
  <si>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</si>
  <si>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</si>
  <si>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</si>
  <si>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</si>
  <si>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</si>
  <si>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</si>
  <si>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</si>
  <si>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</si>
  <si>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</si>
  <si>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</si>
  <si>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</si>
  <si>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</si>
  <si>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</si>
  <si>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</si>
  <si>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</si>
  <si>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</si>
  <si>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</si>
  <si>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</si>
  <si>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</si>
  <si>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</si>
  <si>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</si>
  <si>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</si>
  <si>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</si>
  <si>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</si>
  <si>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</si>
  <si>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</si>
  <si>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</si>
  <si>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</si>
  <si>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</si>
  <si>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</si>
  <si>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</si>
  <si>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</si>
  <si>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</si>
  <si>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</si>
  <si>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</si>
  <si>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</si>
  <si>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</si>
  <si>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</si>
  <si>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</si>
  <si>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</si>
  <si>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</si>
  <si>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</si>
  <si>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</si>
  <si>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</si>
  <si>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</si>
  <si>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</si>
  <si>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</si>
  <si>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</si>
  <si>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</si>
  <si>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</si>
  <si>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</si>
  <si>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</si>
  <si>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</si>
  <si>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</si>
  <si>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</si>
  <si>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</si>
  <si>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</si>
  <si>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</si>
  <si>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</si>
  <si>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</si>
  <si>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</si>
  <si>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</si>
  <si>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</si>
  <si>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</si>
  <si>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</si>
  <si>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</si>
  <si>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</si>
  <si>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</si>
  <si>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</si>
  <si>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</si>
  <si>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</si>
  <si>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</si>
  <si>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</si>
  <si>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</si>
  <si>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</si>
  <si>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</si>
  <si>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</si>
  <si>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</si>
  <si>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</si>
  <si>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</si>
  <si>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</si>
  <si>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</si>
  <si>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</si>
  <si>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</si>
  <si>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</si>
  <si>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</si>
  <si>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</si>
  <si>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</si>
  <si>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</si>
  <si>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</si>
  <si>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</si>
  <si>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</si>
  <si>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</si>
  <si>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</si>
  <si>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</si>
  <si>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</si>
  <si>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</si>
  <si>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</si>
  <si>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</si>
  <si>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</si>
  <si>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</si>
  <si>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</si>
  <si>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</si>
  <si>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</si>
  <si>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</si>
  <si>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</si>
  <si>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</si>
  <si>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</si>
  <si>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</si>
  <si>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</si>
  <si>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</si>
  <si>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</si>
  <si>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</si>
  <si>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</si>
  <si>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</si>
  <si>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</si>
  <si>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</si>
  <si>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</si>
  <si>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</si>
  <si>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</si>
  <si>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</si>
  <si>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</si>
  <si>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</si>
  <si>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</si>
  <si>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</si>
  <si>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</si>
  <si>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</si>
  <si>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</si>
  <si>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</si>
  <si>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</si>
  <si>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</si>
  <si>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</si>
  <si>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</si>
  <si>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</si>
  <si>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</si>
  <si>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</si>
  <si>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</si>
  <si>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</si>
  <si>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</si>
  <si>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</si>
  <si>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</si>
  <si>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</si>
  <si>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</si>
  <si>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</si>
  <si>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</si>
  <si>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</si>
  <si>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</si>
  <si>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</si>
  <si>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</si>
  <si>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</si>
  <si>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</si>
  <si>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</si>
  <si>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</si>
  <si>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</si>
  <si>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</si>
  <si>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</si>
  <si>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</si>
  <si>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</si>
  <si>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</si>
  <si>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</si>
  <si>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</si>
  <si>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</si>
  <si>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</si>
  <si>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</si>
  <si>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</si>
  <si>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</si>
  <si>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</si>
  <si>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</si>
  <si>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</si>
  <si>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</si>
  <si>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</si>
  <si>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</si>
  <si>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</si>
  <si>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</si>
  <si>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</si>
  <si>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</si>
  <si>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</si>
  <si>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</si>
  <si>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</si>
  <si>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</si>
  <si>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</si>
  <si>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</si>
  <si>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</si>
  <si>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</si>
  <si>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</si>
  <si>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</si>
  <si>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</si>
  <si>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</si>
  <si>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</si>
  <si>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</si>
  <si>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</si>
  <si>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</si>
  <si>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</si>
  <si>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</si>
  <si>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</si>
  <si>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</si>
  <si>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</si>
  <si>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</si>
  <si>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</si>
  <si>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</si>
  <si>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</si>
  <si>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</si>
  <si>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</si>
  <si>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</si>
  <si>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</si>
  <si>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</si>
  <si>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</si>
  <si>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</si>
  <si>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</si>
  <si>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</si>
  <si>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</si>
  <si>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</si>
  <si>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</si>
  <si>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</si>
  <si>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</si>
  <si>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</si>
  <si>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</si>
  <si>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</si>
  <si>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</si>
  <si>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</si>
  <si>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</si>
  <si>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</si>
  <si>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</si>
  <si>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</si>
  <si>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</si>
  <si>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</si>
  <si>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</si>
  <si>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</si>
  <si>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</si>
  <si>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</si>
  <si>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</si>
  <si>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</si>
  <si>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</si>
  <si>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</si>
  <si>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</si>
  <si>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</si>
  <si>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</si>
  <si>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</si>
  <si>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</si>
  <si>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</si>
  <si>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</si>
  <si>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</si>
  <si>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</si>
  <si>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</si>
  <si>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</si>
  <si>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</si>
  <si>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</si>
  <si>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</si>
  <si>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</si>
  <si>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</si>
  <si>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</si>
  <si>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</si>
  <si>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</si>
  <si>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</si>
  <si>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</si>
  <si>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</si>
  <si>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</si>
  <si>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</si>
  <si>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</si>
  <si>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</si>
  <si>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</si>
  <si>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</si>
  <si>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</si>
  <si>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</si>
  <si>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</si>
  <si>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</si>
  <si>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</si>
  <si>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</si>
  <si>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</si>
  <si>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</si>
  <si>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</si>
  <si>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</si>
  <si>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</si>
  <si>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</si>
  <si>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</si>
  <si>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</si>
  <si>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</si>
  <si>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</si>
  <si>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</si>
  <si>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</si>
  <si>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</si>
  <si>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</si>
  <si>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</si>
  <si>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</si>
  <si>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</si>
  <si>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</si>
  <si>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</si>
  <si>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</si>
  <si>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</si>
  <si>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</si>
  <si>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</si>
  <si>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</si>
  <si>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</si>
  <si>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</si>
  <si>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</si>
  <si>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</si>
  <si>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</si>
  <si>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</si>
  <si>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</si>
  <si>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</si>
  <si>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</si>
  <si>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</si>
  <si>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</si>
  <si>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</si>
  <si>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</si>
  <si>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</si>
  <si>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</si>
  <si>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</si>
  <si>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</si>
  <si>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</si>
  <si>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</si>
  <si>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</si>
  <si>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</si>
  <si>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</si>
  <si>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</si>
  <si>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</si>
  <si>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</si>
  <si>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</si>
  <si>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</si>
  <si>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</si>
  <si>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</si>
  <si>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</si>
  <si>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</si>
  <si>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</si>
  <si>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</si>
  <si>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</si>
  <si>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</si>
  <si>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</si>
  <si>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</si>
  <si>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</si>
  <si>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</si>
  <si>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</si>
  <si>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</si>
  <si>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</si>
  <si>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</si>
  <si>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</si>
  <si>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</si>
  <si>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</si>
  <si>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</si>
  <si>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</si>
  <si>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</si>
  <si>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</si>
  <si>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</si>
  <si>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</si>
  <si>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</si>
  <si>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</si>
  <si>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</si>
  <si>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</si>
  <si>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</si>
  <si>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</si>
  <si>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</si>
  <si>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</si>
  <si>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</si>
  <si>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</si>
  <si>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</si>
  <si>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</si>
  <si>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</si>
  <si>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</si>
  <si>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</si>
  <si>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</si>
  <si>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</si>
  <si>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</si>
  <si>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</si>
  <si>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</si>
  <si>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</si>
  <si>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</si>
  <si>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</si>
  <si>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</si>
  <si>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</si>
  <si>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</si>
  <si>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</si>
  <si>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</si>
  <si>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</si>
  <si>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</si>
  <si>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</si>
  <si>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</si>
  <si>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</si>
  <si>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</si>
  <si>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</si>
  <si>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</si>
  <si>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</si>
  <si>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</si>
  <si>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</si>
  <si>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</si>
  <si>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</si>
  <si>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</si>
  <si>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</si>
  <si>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</si>
  <si>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</si>
  <si>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</si>
  <si>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</si>
  <si>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</si>
  <si>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</si>
  <si>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</si>
  <si>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</si>
  <si>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</si>
  <si>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</si>
  <si>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</si>
  <si>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</si>
  <si>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</si>
  <si>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</si>
  <si>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</si>
  <si>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</si>
  <si>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</si>
  <si>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</si>
  <si>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</si>
  <si>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</si>
  <si>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</si>
  <si>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</si>
  <si>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</si>
  <si>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</si>
  <si>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</si>
  <si>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</si>
  <si>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</si>
  <si>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</si>
  <si>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</si>
  <si>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</si>
  <si>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</si>
  <si>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</si>
  <si>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</si>
  <si>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</si>
  <si>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</si>
  <si>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</si>
  <si>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</si>
  <si>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</si>
  <si>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</si>
  <si>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</si>
  <si>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</si>
  <si>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</si>
  <si>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</si>
  <si>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</si>
  <si>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</si>
  <si>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</si>
  <si>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</si>
  <si>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</si>
  <si>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</si>
  <si>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</si>
  <si>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</si>
  <si>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</si>
  <si>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</si>
  <si>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</si>
  <si>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</si>
  <si>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</si>
  <si>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</si>
  <si>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</si>
  <si>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</si>
  <si>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</si>
  <si>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</si>
  <si>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</si>
  <si>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</si>
  <si>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</si>
  <si>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</si>
  <si>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</si>
  <si>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</si>
  <si>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</si>
  <si>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</si>
  <si>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</si>
  <si>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</si>
  <si>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</si>
  <si>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</si>
  <si>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</si>
  <si>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</si>
  <si>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</si>
  <si>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</si>
  <si>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</si>
  <si>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</si>
  <si>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</si>
  <si>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</si>
  <si>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</si>
  <si>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</si>
  <si>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</si>
  <si>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</si>
  <si>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</si>
  <si>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</si>
  <si>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</si>
  <si>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</si>
  <si>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</si>
  <si>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</si>
  <si>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</si>
  <si>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</si>
  <si>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</si>
  <si>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</si>
  <si>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</si>
  <si>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</si>
  <si>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</si>
  <si>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</si>
  <si>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</si>
  <si>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</si>
  <si>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</si>
  <si>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</si>
  <si>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</si>
  <si>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</si>
  <si>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</si>
  <si>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</si>
  <si>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</si>
  <si>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</si>
  <si>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</si>
  <si>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</si>
  <si>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</si>
  <si>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</si>
  <si>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</si>
  <si>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</si>
  <si>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</si>
  <si>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</si>
  <si>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</si>
  <si>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</si>
  <si>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</si>
  <si>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</si>
  <si>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</si>
  <si>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</si>
  <si>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</si>
  <si>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</si>
  <si>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</si>
  <si>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</si>
  <si>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</si>
  <si>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</si>
  <si>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</si>
  <si>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</si>
  <si>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</si>
  <si>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</si>
  <si>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</si>
  <si>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</si>
  <si>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</si>
  <si>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</si>
  <si>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</si>
  <si>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</si>
  <si>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</si>
  <si>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</si>
  <si>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</si>
  <si>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</si>
  <si>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</si>
  <si>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</si>
  <si>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</si>
  <si>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</si>
  <si>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</si>
  <si>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</si>
  <si>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</si>
  <si>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</si>
  <si>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</si>
  <si>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</si>
  <si>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</si>
  <si>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</si>
  <si>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</si>
  <si>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</si>
  <si>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</si>
  <si>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</si>
  <si>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</si>
  <si>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</si>
  <si>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</si>
  <si>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</si>
  <si>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</si>
  <si>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</si>
  <si>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</si>
  <si>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</si>
  <si>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</si>
  <si>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</si>
  <si>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</si>
  <si>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</si>
  <si>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</si>
  <si>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</si>
  <si>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</si>
  <si>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</si>
  <si>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</si>
  <si>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</si>
  <si>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</si>
  <si>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</si>
  <si>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</si>
  <si>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</si>
  <si>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</si>
  <si>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</si>
  <si>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</si>
  <si>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</si>
  <si>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</si>
  <si>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</si>
  <si>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</si>
  <si>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</si>
  <si>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</si>
  <si>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</si>
  <si>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</si>
  <si>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</si>
  <si>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</si>
  <si>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</si>
  <si>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</si>
  <si>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</si>
  <si>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</si>
  <si>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</si>
  <si>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</si>
  <si>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</si>
  <si>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</si>
  <si>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</si>
  <si>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</si>
  <si>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</si>
  <si>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</si>
  <si>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</si>
  <si>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</si>
  <si>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</si>
  <si>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</si>
  <si>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</si>
  <si>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</si>
  <si>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</si>
  <si>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</si>
  <si>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</si>
  <si>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</si>
  <si>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</si>
  <si>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</si>
  <si>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</si>
  <si>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</si>
  <si>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</si>
  <si>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</si>
  <si>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</si>
  <si>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</si>
  <si>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</si>
  <si>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</si>
  <si>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</si>
  <si>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</si>
  <si>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</si>
  <si>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</si>
  <si>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</si>
  <si>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</si>
  <si>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</si>
  <si>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</si>
  <si>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</si>
  <si>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</si>
  <si>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</si>
  <si>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</si>
  <si>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</si>
  <si>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</si>
  <si>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</si>
  <si>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</si>
  <si>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</si>
  <si>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</si>
  <si>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</si>
  <si>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</si>
  <si>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</si>
  <si>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</si>
  <si>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</si>
  <si>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</si>
  <si>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</si>
  <si>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</si>
  <si>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</si>
  <si>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</si>
  <si>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</si>
  <si>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</si>
  <si>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</si>
  <si>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</si>
  <si>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</si>
  <si>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</si>
  <si>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</si>
  <si>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</si>
  <si>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</si>
  <si>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</si>
  <si>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</si>
  <si>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</si>
  <si>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</si>
  <si>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</si>
  <si>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</si>
  <si>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</si>
  <si>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</si>
  <si>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</si>
  <si>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</si>
  <si>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</si>
  <si>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</si>
  <si>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</si>
  <si>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</si>
  <si>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</si>
  <si>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</si>
  <si>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</si>
  <si>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</si>
  <si>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</si>
  <si>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</si>
  <si>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</si>
  <si>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</si>
  <si>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</si>
  <si>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</si>
  <si>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</si>
  <si>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</si>
  <si>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</si>
  <si>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</si>
  <si>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</si>
  <si>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</si>
  <si>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</si>
  <si>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</si>
  <si>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</si>
  <si>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</si>
  <si>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</si>
  <si>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</si>
  <si>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</si>
  <si>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</si>
  <si>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</si>
  <si>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</si>
  <si>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</si>
  <si>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</si>
  <si>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</si>
  <si>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</si>
  <si>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</si>
  <si>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</si>
  <si>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</si>
  <si>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</si>
  <si>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</si>
  <si>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</si>
  <si>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</si>
  <si>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</si>
  <si>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</si>
  <si>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</si>
  <si>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</si>
  <si>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</si>
  <si>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</si>
  <si>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</si>
  <si>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</si>
  <si>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</si>
  <si>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</si>
  <si>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</si>
  <si>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</si>
  <si>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</si>
  <si>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</si>
  <si>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</si>
  <si>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</si>
  <si>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</si>
  <si>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</si>
  <si>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</si>
  <si>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</si>
  <si>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</si>
  <si>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</si>
  <si>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</si>
  <si>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</si>
  <si>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</si>
  <si>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</si>
  <si>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</si>
  <si>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</si>
  <si>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</si>
  <si>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</si>
  <si>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</si>
  <si>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</si>
  <si>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</si>
  <si>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</si>
  <si>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</si>
  <si>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</si>
  <si>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</si>
  <si>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</si>
  <si>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</si>
  <si>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</si>
  <si>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</si>
  <si>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</si>
  <si>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</si>
  <si>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</si>
  <si>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</si>
  <si>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</si>
  <si>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</si>
  <si>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</si>
  <si>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</si>
  <si>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</si>
  <si>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</si>
  <si>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</si>
  <si>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</si>
  <si>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</si>
  <si>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</si>
  <si>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</si>
  <si>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</si>
  <si>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</si>
  <si>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</si>
  <si>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</si>
  <si>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</si>
  <si>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</si>
  <si>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</si>
  <si>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</si>
  <si>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</si>
  <si>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</si>
  <si>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</si>
  <si>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</si>
  <si>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</si>
  <si>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</si>
  <si>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</si>
  <si>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</si>
  <si>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</si>
  <si>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</si>
  <si>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</si>
  <si>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</si>
  <si>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</si>
  <si>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</si>
  <si>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</si>
  <si>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</si>
  <si>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</si>
  <si>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</si>
  <si>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</si>
  <si>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</si>
  <si>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</si>
  <si>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</si>
  <si>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</si>
  <si>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</si>
  <si>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</si>
  <si>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</si>
  <si>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</si>
  <si>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</si>
  <si>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</si>
  <si>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</si>
  <si>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</si>
  <si>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</si>
  <si>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</si>
  <si>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</si>
  <si>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</si>
  <si>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</si>
  <si>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</si>
  <si>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</si>
  <si>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</si>
  <si>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</si>
  <si>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</si>
  <si>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</si>
  <si>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</si>
  <si>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</si>
  <si>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</si>
  <si>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</si>
  <si>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</si>
  <si>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</si>
  <si>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</si>
  <si>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</si>
  <si>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</si>
  <si>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</si>
  <si>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</si>
  <si>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</si>
  <si>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</si>
  <si>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</si>
  <si>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</si>
  <si>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</si>
  <si>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</si>
  <si>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</si>
  <si>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</si>
  <si>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</si>
  <si>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</si>
  <si>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</si>
  <si>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</si>
  <si>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</si>
  <si>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</si>
  <si>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</si>
  <si>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</si>
  <si>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</si>
  <si>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</si>
  <si>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</si>
  <si>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</si>
  <si>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</si>
  <si>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</si>
  <si>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</si>
  <si>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</si>
  <si>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</si>
  <si>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</si>
  <si>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</si>
  <si>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</si>
  <si>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</si>
  <si>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</si>
  <si>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</si>
  <si>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</si>
  <si>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</si>
  <si>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</si>
  <si>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</si>
  <si>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</si>
  <si>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</si>
  <si>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</si>
  <si>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</si>
  <si>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</si>
  <si>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</si>
  <si>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</si>
  <si>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</si>
  <si>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</si>
  <si>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</si>
  <si>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</si>
  <si>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</si>
  <si>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</si>
  <si>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</si>
  <si>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</si>
  <si>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</si>
  <si>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</si>
  <si>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</si>
  <si>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</si>
  <si>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</si>
  <si>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</si>
  <si>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</si>
  <si>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</si>
  <si>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</si>
  <si>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</si>
  <si>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</si>
  <si>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</si>
  <si>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</si>
  <si>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</si>
  <si>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</si>
  <si>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</si>
  <si>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</si>
  <si>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</si>
  <si>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</si>
  <si>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</si>
  <si>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</si>
  <si>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</si>
  <si>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</si>
  <si>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</si>
  <si>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</si>
  <si>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</si>
  <si>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</si>
  <si>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</si>
  <si>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</si>
  <si>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</si>
  <si>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</si>
  <si>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</si>
  <si>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</si>
  <si>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</si>
  <si>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</si>
  <si>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</si>
  <si>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</si>
  <si>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</si>
  <si>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</si>
  <si>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</si>
  <si>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</si>
  <si>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</si>
  <si>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</si>
  <si>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</si>
  <si>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</si>
  <si>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</si>
  <si>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</si>
  <si>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</si>
  <si>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</si>
  <si>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</si>
  <si>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</si>
  <si>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</si>
  <si>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</si>
  <si>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</si>
  <si>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</si>
  <si>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</si>
  <si>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</si>
  <si>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</si>
  <si>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</si>
  <si>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</si>
  <si>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</si>
  <si>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</si>
  <si>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</si>
  <si>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</si>
  <si>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</si>
  <si>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</si>
  <si>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</si>
  <si>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</si>
  <si>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</si>
  <si>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</si>
  <si>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</si>
  <si>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</si>
  <si>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</si>
  <si>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</si>
  <si>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</si>
  <si>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</si>
  <si>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</si>
  <si>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</si>
  <si>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</si>
  <si>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</si>
  <si>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</si>
  <si>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</si>
  <si>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</si>
  <si>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</si>
  <si>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</si>
  <si>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</si>
  <si>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</si>
  <si>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</si>
  <si>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</si>
  <si>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</si>
  <si>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</si>
  <si>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</si>
  <si>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</si>
  <si>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</si>
  <si>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</si>
  <si>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</si>
  <si>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</si>
  <si>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</si>
  <si>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</si>
  <si>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</si>
  <si>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</si>
  <si>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</si>
  <si>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</si>
  <si>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</si>
  <si>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</si>
  <si>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</si>
  <si>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</si>
  <si>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</si>
  <si>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</si>
  <si>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</si>
  <si>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</si>
  <si>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</si>
  <si>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</si>
  <si>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</si>
  <si>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</si>
  <si>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</si>
  <si>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</si>
  <si>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</si>
  <si>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</si>
  <si>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</si>
  <si>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</si>
  <si>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</si>
  <si>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</si>
  <si>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</si>
  <si>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</si>
  <si>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</si>
  <si>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</si>
  <si>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</si>
  <si>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</si>
  <si>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</si>
  <si>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</si>
  <si>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</si>
  <si>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</si>
  <si>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</si>
  <si>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</si>
  <si>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</si>
  <si>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</si>
  <si>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</si>
  <si>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</si>
  <si>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</si>
  <si>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</si>
  <si>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</si>
  <si>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</si>
  <si>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</si>
  <si>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</si>
  <si>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</si>
  <si>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</si>
  <si>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</si>
  <si>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</si>
  <si>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</si>
  <si>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</si>
  <si>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</si>
  <si>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</si>
  <si>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</si>
  <si>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</si>
  <si>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</si>
  <si>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</si>
  <si>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</si>
  <si>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</si>
  <si>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</si>
  <si>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</si>
  <si>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</si>
  <si>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</si>
  <si>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</si>
  <si>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</si>
  <si>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</si>
  <si>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</si>
  <si>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</si>
  <si>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</si>
  <si>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</si>
  <si>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</si>
  <si>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</si>
  <si>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</si>
  <si>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</si>
  <si>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</si>
  <si>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</si>
  <si>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</si>
  <si>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</si>
  <si>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</si>
  <si>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</si>
  <si>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</si>
  <si>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</si>
  <si>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</si>
  <si>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</si>
  <si>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</si>
  <si>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</si>
  <si>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</si>
  <si>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</si>
  <si>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</si>
  <si>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</si>
  <si>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</si>
  <si>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</si>
  <si>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</si>
  <si>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</si>
  <si>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</si>
  <si>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</si>
  <si>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</si>
  <si>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</si>
  <si>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</si>
  <si>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</si>
  <si>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</si>
  <si>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</si>
  <si>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</si>
  <si>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</si>
  <si>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</si>
  <si>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</si>
  <si>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</si>
  <si>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</si>
  <si>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</si>
  <si>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</si>
  <si>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</si>
  <si>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</si>
  <si>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</si>
  <si>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</si>
  <si>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</si>
  <si>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</si>
  <si>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</si>
  <si>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</si>
  <si>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</si>
  <si>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</si>
  <si>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</si>
  <si>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</si>
  <si>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</si>
  <si>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</si>
  <si>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</si>
  <si>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</si>
  <si>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</si>
  <si>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</si>
  <si>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</si>
  <si>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</si>
  <si>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</si>
  <si>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</si>
  <si>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</si>
  <si>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</si>
  <si>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</si>
  <si>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</si>
  <si>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</si>
  <si>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</si>
  <si>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</si>
  <si>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</si>
  <si>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</si>
  <si>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</si>
  <si>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</si>
  <si>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</si>
  <si>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</si>
  <si>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</si>
  <si>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</si>
  <si>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</si>
  <si>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</si>
  <si>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</si>
  <si>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</si>
  <si>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</si>
  <si>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</si>
  <si>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</si>
  <si>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</si>
  <si>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</si>
  <si>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</si>
  <si>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</si>
  <si>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</si>
  <si>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</si>
  <si>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</si>
  <si>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</si>
  <si>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</si>
  <si>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</si>
  <si>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</si>
  <si>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</si>
  <si>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</si>
  <si>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</si>
  <si>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</si>
  <si>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</si>
  <si>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</si>
  <si>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</si>
  <si>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</si>
  <si>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</si>
  <si>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</si>
  <si>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</si>
  <si>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</si>
  <si>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</si>
  <si>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</si>
  <si>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</si>
  <si>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</si>
  <si>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</si>
  <si>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</si>
  <si>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</si>
  <si>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</si>
  <si>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</si>
  <si>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</si>
  <si>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</si>
  <si>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</si>
  <si>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</si>
  <si>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</si>
  <si>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</si>
  <si>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</si>
  <si>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</si>
  <si>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</si>
  <si>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</si>
  <si>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</si>
  <si>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</si>
  <si>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</si>
  <si>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</si>
  <si>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</si>
  <si>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</si>
  <si>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</si>
  <si>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</si>
  <si>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</si>
  <si>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</si>
  <si>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</si>
  <si>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</si>
  <si>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</si>
  <si>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</si>
  <si>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</si>
  <si>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</si>
  <si>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</si>
  <si>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</si>
  <si>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</si>
  <si>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</si>
  <si>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</si>
  <si>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</si>
  <si>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</si>
  <si>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</si>
  <si>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</si>
  <si>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</si>
  <si>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</si>
  <si>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</si>
  <si>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</si>
  <si>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</si>
  <si>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</si>
  <si>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</si>
  <si>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</si>
  <si>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</si>
  <si>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</si>
  <si>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</si>
  <si>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</si>
  <si>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</si>
  <si>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</si>
  <si>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</si>
  <si>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</si>
  <si>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</si>
  <si>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</si>
  <si>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</si>
  <si>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</si>
  <si>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</si>
  <si>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</si>
  <si>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</si>
  <si>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</si>
  <si>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</si>
  <si>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</si>
  <si>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</si>
  <si>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</si>
  <si>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</si>
  <si>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</si>
  <si>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</si>
  <si>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</si>
  <si>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</si>
  <si>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</si>
  <si>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</si>
  <si>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</si>
  <si>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</si>
  <si>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</si>
  <si>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</si>
  <si>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</si>
  <si>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</si>
  <si>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</si>
  <si>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</si>
  <si>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</si>
  <si>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</si>
  <si>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</si>
  <si>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</si>
  <si>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</si>
  <si>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</si>
  <si>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</si>
  <si>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</si>
  <si>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</si>
  <si>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</si>
  <si>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</si>
  <si>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</si>
  <si>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</si>
  <si>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</si>
  <si>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</si>
  <si>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</si>
  <si>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</si>
  <si>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</si>
  <si>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</si>
  <si>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</si>
  <si>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</si>
  <si>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</si>
  <si>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</si>
  <si>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</si>
  <si>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</si>
  <si>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</si>
  <si>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</si>
  <si>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</si>
  <si>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</si>
  <si>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</si>
  <si>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</si>
  <si>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</si>
  <si>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</si>
  <si>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</si>
  <si>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</si>
  <si>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</si>
  <si>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</si>
  <si>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</si>
  <si>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</si>
  <si>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</si>
  <si>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</si>
  <si>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</si>
  <si>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</si>
  <si>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</si>
  <si>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</si>
  <si>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</si>
  <si>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</si>
  <si>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</si>
  <si>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</si>
  <si>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</si>
  <si>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</si>
  <si>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</si>
  <si>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</si>
  <si>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</si>
  <si>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</si>
  <si>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</si>
  <si>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</si>
  <si>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</si>
  <si>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</si>
  <si>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</si>
  <si>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</si>
  <si>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</si>
  <si>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</si>
  <si>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</si>
  <si>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</si>
  <si>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</si>
  <si>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</si>
  <si>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</si>
  <si>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</si>
  <si>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</si>
  <si>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</si>
  <si>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</si>
  <si>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</si>
  <si>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</si>
  <si>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</si>
  <si>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</si>
  <si>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</si>
  <si>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</si>
  <si>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</si>
  <si>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</si>
  <si>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</si>
  <si>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</si>
  <si>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</si>
  <si>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</si>
  <si>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</si>
  <si>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</si>
  <si>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</si>
  <si>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</si>
  <si>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</si>
  <si>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</si>
  <si>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</si>
  <si>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</si>
  <si>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</si>
  <si>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</si>
  <si>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</si>
  <si>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</si>
  <si>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</si>
  <si>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</si>
  <si>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</si>
  <si>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</si>
  <si>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</si>
  <si>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</si>
  <si>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</si>
  <si>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</si>
  <si>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</si>
  <si>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</si>
  <si>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</si>
  <si>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</si>
  <si>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</si>
  <si>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</si>
  <si>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</si>
  <si>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</si>
  <si>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</si>
  <si>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</si>
  <si>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</si>
  <si>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</si>
  <si>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</si>
  <si>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</si>
  <si>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</si>
  <si>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</si>
  <si>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</si>
  <si>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</si>
  <si>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</si>
  <si>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</si>
  <si>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</si>
  <si>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</si>
  <si>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</si>
  <si>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</si>
  <si>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</si>
  <si>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</si>
  <si>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</si>
  <si>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</si>
  <si>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</si>
  <si>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</si>
  <si>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</si>
  <si>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</si>
  <si>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</si>
  <si>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</si>
  <si>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</si>
  <si>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</si>
  <si>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</si>
  <si>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</si>
  <si>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</si>
  <si>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</si>
  <si>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</si>
  <si>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</si>
  <si>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</si>
  <si>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</si>
  <si>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</si>
  <si>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</si>
  <si>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</si>
  <si>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</si>
  <si>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</si>
  <si>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</si>
  <si>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</si>
  <si>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</si>
  <si>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</si>
  <si>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</si>
  <si>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</si>
  <si>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</si>
  <si>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</si>
  <si>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</si>
  <si>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</si>
  <si>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</si>
  <si>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</si>
  <si>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</si>
  <si>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</si>
  <si>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</si>
  <si>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</si>
  <si>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</si>
  <si>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</si>
  <si>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</si>
  <si>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</si>
  <si>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</si>
  <si>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</si>
  <si>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</si>
  <si>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</si>
  <si>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</si>
  <si>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</si>
  <si>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</si>
  <si>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</si>
  <si>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</si>
  <si>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</si>
  <si>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</si>
  <si>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</si>
  <si>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</si>
  <si>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</si>
  <si>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</si>
  <si>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</si>
  <si>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</si>
  <si>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</si>
  <si>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</si>
  <si>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</si>
  <si>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</si>
  <si>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</si>
  <si>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</si>
  <si>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</si>
  <si>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</si>
  <si>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</si>
  <si>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</si>
  <si>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</si>
  <si>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</si>
  <si>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</si>
  <si>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</si>
  <si>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</si>
  <si>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</si>
  <si>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</si>
  <si>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</si>
  <si>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</si>
  <si>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</si>
  <si>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</si>
  <si>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</si>
  <si>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</si>
  <si>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</si>
  <si>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</si>
  <si>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</si>
  <si>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</si>
  <si>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</si>
  <si>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</si>
  <si>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</si>
  <si>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</si>
  <si>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</si>
  <si>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</si>
  <si>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</si>
  <si>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</si>
  <si>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</si>
  <si>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</si>
  <si>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</si>
  <si>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</si>
  <si>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</si>
  <si>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</si>
  <si>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</si>
  <si>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</si>
  <si>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</si>
  <si>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</si>
  <si>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</si>
  <si>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</si>
  <si>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</si>
  <si>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</si>
  <si>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</si>
  <si>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</si>
  <si>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</si>
  <si>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</si>
  <si>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</si>
  <si>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</si>
  <si>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</si>
  <si>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</si>
  <si>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</si>
  <si>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</si>
  <si>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</si>
  <si>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</si>
  <si>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</si>
  <si>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</si>
  <si>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</si>
  <si>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</si>
  <si>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</si>
  <si>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</si>
  <si>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</si>
  <si>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</si>
  <si>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</si>
  <si>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</si>
  <si>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</si>
  <si>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</si>
  <si>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</si>
  <si>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</si>
  <si>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</si>
  <si>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</si>
  <si>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</si>
  <si>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</si>
  <si>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</si>
  <si>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</si>
  <si>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</si>
  <si>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</si>
  <si>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</si>
  <si>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</si>
  <si>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</si>
  <si>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</si>
  <si>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</si>
  <si>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</si>
  <si>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</si>
  <si>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</si>
  <si>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</si>
  <si>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</si>
  <si>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</si>
  <si>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</si>
  <si>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</si>
  <si>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</si>
  <si>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</si>
  <si>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</si>
  <si>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</si>
  <si>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</si>
  <si>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</si>
  <si>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</si>
  <si>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</si>
  <si>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</si>
  <si>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</si>
  <si>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</si>
  <si>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</si>
  <si>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</si>
  <si>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</si>
  <si>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</si>
  <si>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</si>
  <si>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</si>
  <si>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</si>
  <si>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</si>
  <si>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</si>
  <si>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</si>
  <si>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</si>
  <si>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</si>
  <si>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</si>
  <si>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</si>
  <si>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</si>
  <si>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</si>
  <si>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</si>
  <si>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</si>
  <si>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</si>
  <si>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</si>
  <si>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</si>
  <si>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</si>
  <si>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</si>
  <si>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</si>
  <si>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</si>
  <si>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</si>
  <si>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</si>
  <si>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</si>
  <si>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</si>
  <si>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</si>
  <si>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</si>
  <si>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</si>
  <si>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</si>
  <si>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</si>
  <si>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</si>
  <si>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</si>
  <si>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</si>
  <si>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</si>
  <si>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</si>
  <si>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</si>
  <si>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</si>
  <si>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</si>
  <si>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</si>
  <si>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</si>
  <si>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</si>
  <si>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</si>
  <si>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</si>
  <si>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</si>
  <si>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</si>
  <si>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</si>
  <si>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</si>
  <si>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</si>
  <si>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</si>
  <si>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</si>
  <si>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</si>
  <si>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</si>
  <si>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</si>
  <si>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</si>
  <si>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</si>
  <si>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</si>
  <si>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</si>
  <si>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</si>
  <si>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</si>
  <si>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</si>
  <si>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</si>
  <si>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</si>
  <si>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</si>
  <si>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</si>
  <si>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</si>
  <si>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</si>
  <si>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</si>
  <si>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</si>
  <si>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</si>
  <si>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</si>
  <si>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</si>
  <si>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</si>
  <si>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</si>
  <si>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</si>
  <si>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</si>
  <si>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</si>
  <si>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</si>
  <si>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</si>
  <si>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</si>
  <si>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</si>
  <si>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</si>
  <si>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</si>
  <si>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</si>
  <si>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</si>
  <si>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</si>
  <si>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</si>
  <si>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</si>
  <si>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</si>
  <si>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</si>
  <si>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</si>
  <si>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</si>
  <si>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</si>
  <si>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</si>
  <si>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</si>
  <si>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</si>
  <si>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</si>
  <si>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</si>
  <si>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</si>
  <si>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</si>
  <si>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</si>
  <si>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</si>
  <si>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</si>
  <si>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</si>
  <si>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</si>
  <si>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</si>
  <si>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</si>
  <si>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</si>
  <si>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</si>
  <si>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</si>
  <si>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</si>
  <si>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</si>
  <si>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</si>
  <si>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</si>
  <si>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</si>
  <si>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</si>
  <si>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</si>
  <si>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</si>
  <si>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</si>
  <si>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</si>
  <si>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</si>
  <si>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</si>
  <si>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</si>
  <si>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</si>
  <si>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</si>
  <si>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</si>
  <si>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</si>
  <si>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</si>
  <si>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</si>
  <si>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</si>
  <si>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</si>
  <si>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</si>
  <si>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</si>
  <si>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</si>
  <si>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</si>
  <si>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</si>
  <si>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</si>
  <si>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</si>
  <si>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</si>
  <si>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</si>
  <si>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</si>
  <si>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</si>
  <si>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</si>
  <si>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</si>
  <si>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</si>
  <si>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</si>
  <si>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</si>
  <si>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</si>
  <si>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</si>
  <si>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</si>
  <si>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</si>
  <si>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</si>
  <si>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</si>
  <si>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</si>
  <si>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</si>
  <si>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</si>
  <si>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</si>
  <si>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</si>
  <si>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</si>
  <si>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</si>
  <si>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</si>
  <si>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</si>
  <si>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</si>
  <si>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</si>
  <si>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</si>
  <si>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</si>
  <si>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</si>
  <si>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</si>
  <si>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</si>
  <si>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</si>
  <si>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</si>
  <si>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</si>
  <si>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</si>
  <si>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</si>
  <si>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</si>
  <si>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</si>
  <si>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</si>
  <si>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</si>
  <si>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</si>
  <si>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</si>
  <si>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</si>
  <si>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</si>
  <si>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</si>
  <si>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</si>
  <si>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</si>
  <si>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</si>
  <si>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</si>
  <si>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</si>
  <si>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</si>
  <si>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</si>
  <si>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</si>
  <si>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</si>
  <si>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</si>
  <si>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</si>
  <si>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</si>
  <si>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</si>
  <si>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</si>
  <si>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</si>
  <si>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</si>
  <si>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</si>
  <si>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</si>
  <si>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</si>
  <si>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</si>
  <si>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</si>
  <si>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</si>
  <si>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</si>
  <si>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</si>
  <si>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</si>
  <si>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</si>
  <si>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</si>
  <si>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</si>
  <si>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</si>
  <si>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</si>
  <si>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</si>
  <si>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</si>
  <si>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</si>
  <si>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</si>
  <si>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</si>
  <si>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</si>
  <si>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</si>
  <si>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</si>
  <si>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</si>
  <si>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</si>
  <si>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</si>
  <si>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</si>
  <si>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</si>
  <si>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</si>
  <si>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</si>
  <si>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</si>
  <si>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</si>
  <si>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</si>
  <si>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</si>
  <si>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</si>
  <si>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</si>
  <si>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</si>
  <si>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</si>
  <si>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</si>
  <si>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</si>
  <si>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</si>
  <si>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</si>
  <si>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</si>
  <si>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</si>
  <si>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</si>
  <si>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</si>
  <si>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</si>
  <si>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</si>
  <si>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</si>
  <si>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</si>
  <si>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</si>
  <si>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</si>
  <si>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</si>
  <si>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</si>
  <si>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</si>
  <si>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</si>
  <si>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</si>
  <si>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</si>
  <si>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</si>
  <si>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</si>
  <si>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</si>
  <si>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</si>
  <si>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</si>
  <si>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</si>
  <si>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</si>
  <si>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</si>
  <si>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</si>
  <si>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</si>
  <si>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</si>
  <si>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</si>
  <si>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</si>
  <si>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</si>
  <si>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</si>
  <si>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</si>
  <si>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</si>
  <si>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</si>
  <si>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</si>
  <si>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</si>
  <si>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</si>
  <si>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</si>
  <si>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</si>
  <si>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</si>
  <si>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</si>
  <si>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</si>
  <si>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</si>
  <si>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</si>
  <si>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</si>
  <si>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</si>
  <si>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</si>
  <si>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</si>
  <si>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</si>
  <si>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</si>
  <si>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</si>
  <si>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</si>
  <si>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</si>
  <si>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</si>
  <si>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</si>
  <si>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</si>
  <si>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</si>
  <si>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</si>
  <si>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</si>
  <si>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</si>
  <si>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</si>
  <si>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</si>
  <si>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</si>
  <si>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</si>
  <si>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</si>
  <si>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</si>
  <si>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</si>
  <si>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</si>
  <si>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</si>
  <si>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</si>
  <si>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</si>
  <si>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</si>
  <si>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</si>
  <si>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</si>
  <si>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</si>
  <si>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</si>
  <si>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</si>
  <si>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</si>
  <si>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</si>
  <si>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</si>
  <si>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</si>
  <si>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</si>
  <si>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</si>
  <si>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</si>
  <si>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</si>
  <si>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</si>
  <si>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</si>
  <si>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</si>
  <si>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</si>
  <si>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</si>
  <si>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</si>
  <si>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</si>
  <si>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</si>
  <si>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</si>
  <si>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</si>
  <si>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</si>
  <si>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</si>
  <si>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</si>
  <si>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</si>
  <si>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</si>
  <si>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</si>
  <si>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</si>
  <si>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</si>
  <si>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</si>
  <si>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</si>
  <si>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</si>
  <si>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</si>
  <si>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</si>
  <si>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</si>
  <si>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</si>
  <si>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</si>
  <si>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</si>
  <si>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</si>
  <si>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</si>
  <si>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</si>
  <si>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</si>
  <si>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</si>
  <si>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</si>
  <si>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</si>
  <si>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</si>
  <si>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</si>
  <si>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</si>
  <si>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</si>
  <si>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</si>
  <si>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</si>
  <si>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</si>
  <si>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</si>
  <si>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</si>
  <si>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</si>
  <si>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</si>
  <si>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</si>
  <si>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</si>
  <si>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</si>
  <si>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</si>
  <si>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</si>
  <si>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</si>
  <si>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</si>
  <si>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</si>
  <si>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</si>
  <si>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</si>
  <si>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</si>
  <si>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</si>
  <si>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</si>
  <si>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</si>
  <si>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</si>
  <si>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</si>
  <si>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</si>
  <si>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</si>
  <si>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</si>
  <si>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</si>
  <si>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</si>
  <si>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</si>
  <si>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</si>
  <si>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</si>
  <si>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</si>
  <si>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</si>
  <si>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</si>
  <si>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</si>
  <si>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</si>
  <si>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</si>
  <si>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</si>
  <si>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</si>
  <si>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</si>
  <si>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</si>
  <si>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</si>
  <si>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</si>
  <si>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</si>
  <si>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</si>
  <si>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</si>
  <si>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</si>
  <si>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</si>
  <si>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</si>
  <si>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</si>
  <si>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</si>
  <si>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</si>
  <si>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</si>
  <si>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</si>
  <si>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</si>
  <si>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</si>
  <si>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</si>
  <si>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</si>
  <si>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</si>
  <si>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</si>
  <si>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</si>
  <si>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</si>
  <si>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</si>
  <si>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</si>
  <si>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</si>
  <si>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</si>
  <si>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</si>
  <si>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</si>
  <si>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</si>
  <si>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</si>
  <si>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</si>
  <si>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</si>
  <si>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</si>
  <si>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</si>
  <si>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</si>
  <si>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</si>
  <si>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</si>
  <si>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</si>
  <si>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</si>
  <si>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</si>
  <si>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</si>
  <si>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</si>
  <si>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</si>
  <si>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</si>
  <si>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</si>
  <si>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</si>
  <si>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</si>
  <si>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</si>
  <si>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</si>
  <si>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</si>
  <si>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</si>
  <si>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</si>
  <si>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</si>
  <si>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</si>
  <si>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</si>
  <si>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</si>
  <si>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</si>
  <si>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</si>
  <si>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</si>
  <si>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</si>
  <si>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</si>
  <si>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</si>
  <si>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</si>
  <si>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</si>
  <si>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</si>
  <si>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</si>
  <si>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</si>
  <si>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</si>
  <si>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</si>
  <si>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</si>
  <si>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</si>
  <si>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</si>
  <si>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</si>
  <si>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</si>
  <si>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</si>
  <si>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</si>
  <si>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</si>
  <si>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</si>
  <si>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</si>
  <si>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</si>
  <si>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</si>
  <si>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</si>
  <si>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</si>
  <si>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</si>
  <si>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</si>
  <si>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</si>
  <si>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</si>
  <si>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</si>
  <si>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</si>
  <si>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</si>
  <si>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</si>
  <si>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</si>
  <si>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</si>
  <si>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</si>
  <si>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</si>
  <si>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</si>
  <si>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</si>
  <si>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</si>
  <si>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</si>
  <si>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</si>
  <si>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</si>
  <si>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</si>
  <si>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</si>
  <si>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</si>
  <si>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</si>
  <si>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</si>
  <si>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</si>
  <si>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</si>
  <si>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</si>
  <si>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</si>
  <si>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</si>
  <si>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</si>
  <si>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</si>
  <si>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</si>
  <si>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</si>
  <si>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</si>
  <si>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</si>
  <si>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</si>
  <si>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</si>
  <si>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</si>
  <si>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</si>
  <si>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</si>
  <si>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</si>
  <si>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</si>
  <si>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</si>
  <si>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</si>
  <si>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</si>
  <si>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</si>
  <si>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</si>
  <si>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</si>
  <si>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</si>
  <si>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</si>
  <si>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</si>
  <si>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</si>
  <si>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</si>
  <si>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</si>
  <si>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</si>
  <si>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</si>
  <si>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</si>
  <si>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</si>
  <si>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</si>
  <si>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</si>
  <si>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</si>
  <si>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</si>
  <si>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</si>
  <si>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</si>
  <si>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</si>
  <si>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</si>
  <si>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</si>
  <si>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</si>
  <si>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</si>
  <si>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</si>
  <si>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</si>
  <si>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</si>
  <si>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</si>
  <si>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</si>
  <si>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</si>
  <si>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</si>
  <si>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</si>
  <si>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</si>
  <si>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</si>
  <si>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</si>
  <si>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</si>
  <si>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</si>
  <si>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</si>
  <si>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</si>
  <si>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</si>
  <si>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</si>
  <si>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</si>
  <si>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</si>
  <si>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</si>
  <si>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</si>
  <si>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</si>
  <si>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</si>
  <si>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</si>
  <si>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</si>
  <si>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</si>
  <si>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</si>
  <si>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</si>
  <si>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</si>
  <si>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</si>
  <si>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</si>
  <si>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</si>
  <si>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</si>
  <si>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</si>
  <si>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</si>
  <si>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</si>
  <si>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</si>
  <si>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</si>
  <si>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</si>
  <si>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</si>
  <si>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</si>
  <si>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</si>
  <si>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</si>
  <si>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</si>
  <si>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</si>
  <si>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</si>
  <si>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</si>
  <si>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</si>
  <si>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</si>
  <si>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</si>
  <si>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</si>
  <si>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</si>
  <si>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</si>
  <si>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</si>
  <si>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</si>
  <si>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</si>
  <si>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</si>
  <si>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</si>
  <si>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</si>
  <si>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</si>
  <si>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</si>
  <si>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</si>
  <si>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</si>
  <si>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</si>
  <si>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</si>
  <si>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</si>
  <si>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</si>
  <si>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</si>
  <si>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</si>
  <si>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</si>
  <si>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</si>
  <si>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</si>
  <si>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</si>
  <si>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</si>
  <si>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</si>
  <si>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</si>
  <si>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</si>
  <si>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</si>
  <si>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</si>
  <si>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</si>
  <si>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</si>
  <si>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</si>
  <si>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</si>
  <si>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</si>
  <si>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</si>
  <si>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</si>
  <si>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</si>
  <si>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</si>
  <si>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</si>
  <si>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</si>
  <si>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</si>
  <si>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</si>
  <si>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</si>
  <si>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</si>
  <si>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</si>
  <si>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</si>
  <si>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</si>
  <si>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</si>
  <si>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</si>
  <si>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</si>
  <si>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</si>
  <si>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</si>
  <si>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</si>
  <si>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</si>
  <si>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</si>
  <si>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</si>
  <si>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</si>
  <si>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</si>
  <si>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</si>
  <si>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</si>
  <si>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</si>
  <si>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</si>
  <si>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</si>
  <si>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</si>
  <si>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</si>
  <si>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</si>
  <si>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</si>
  <si>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</si>
  <si>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</si>
  <si>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</si>
  <si>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</si>
  <si>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</si>
  <si>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</si>
  <si>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</si>
  <si>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</si>
  <si>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</si>
  <si>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</si>
  <si>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</si>
  <si>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</si>
  <si>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</si>
  <si>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</si>
  <si>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</si>
  <si>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</si>
  <si>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</si>
  <si>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</si>
  <si>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</si>
  <si>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</si>
  <si>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</si>
  <si>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</si>
  <si>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</si>
  <si>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</si>
  <si>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</si>
  <si>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</si>
  <si>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</si>
  <si>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</si>
  <si>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</si>
  <si>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</si>
  <si>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</si>
  <si>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</si>
  <si>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</si>
  <si>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</si>
  <si>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</si>
  <si>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</si>
  <si>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</si>
  <si>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</si>
  <si>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</si>
  <si>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</si>
  <si>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</si>
  <si>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</si>
  <si>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</si>
  <si>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</si>
  <si>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</si>
  <si>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</si>
  <si>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</si>
  <si>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</si>
  <si>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</si>
  <si>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</si>
  <si>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</si>
  <si>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</si>
  <si>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</si>
  <si>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</si>
  <si>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</si>
  <si>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</si>
  <si>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</si>
  <si>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</si>
  <si>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</si>
  <si>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</si>
  <si>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</si>
  <si>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</si>
  <si>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</si>
  <si>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</si>
  <si>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</si>
  <si>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</si>
  <si>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</si>
  <si>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</si>
  <si>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</si>
  <si>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</si>
  <si>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</si>
  <si>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</si>
  <si>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</si>
  <si>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</si>
  <si>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</si>
  <si>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</si>
  <si>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</si>
  <si>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</si>
  <si>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</si>
  <si>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</si>
  <si>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</si>
  <si>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</si>
  <si>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</si>
  <si>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</si>
  <si>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</si>
  <si>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</si>
  <si>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</si>
  <si>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</si>
  <si>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</si>
  <si>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</si>
  <si>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</si>
  <si>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</si>
  <si>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</si>
  <si>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</si>
  <si>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</si>
  <si>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</si>
  <si>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</si>
  <si>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</si>
  <si>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</si>
  <si>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</si>
  <si>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</si>
  <si>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</si>
  <si>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</si>
  <si>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</si>
  <si>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</si>
  <si>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</si>
  <si>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</si>
  <si>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</si>
  <si>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</si>
  <si>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</si>
  <si>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</si>
  <si>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</si>
  <si>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</si>
  <si>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</si>
  <si>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</si>
  <si>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</si>
  <si>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</si>
  <si>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</si>
  <si>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</si>
  <si>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</si>
  <si>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</si>
  <si>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</si>
  <si>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</si>
  <si>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</si>
  <si>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</si>
  <si>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</si>
  <si>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</si>
  <si>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</si>
  <si>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</si>
  <si>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</si>
  <si>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</si>
  <si>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</si>
  <si>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</si>
  <si>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</si>
  <si>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</si>
  <si>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</si>
  <si>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</si>
  <si>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</si>
  <si>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</si>
  <si>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</si>
  <si>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</si>
  <si>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</si>
  <si>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</si>
  <si>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</si>
  <si>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</si>
  <si>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</si>
  <si>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</si>
  <si>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</si>
  <si>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</si>
  <si>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</si>
  <si>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</si>
  <si>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</si>
  <si>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</si>
  <si>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</si>
  <si>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</si>
  <si>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</si>
  <si>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</si>
  <si>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</si>
  <si>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</si>
  <si>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</si>
  <si>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</si>
  <si>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</si>
  <si>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</si>
  <si>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</si>
  <si>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</si>
  <si>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</si>
  <si>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</si>
  <si>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</si>
  <si>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</si>
  <si>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</si>
  <si>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</si>
  <si>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</si>
  <si>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</si>
  <si>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</si>
  <si>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</si>
  <si>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</si>
  <si>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</si>
  <si>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</si>
  <si>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</si>
  <si>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</si>
  <si>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</si>
  <si>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</si>
  <si>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</si>
  <si>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</si>
  <si>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</si>
  <si>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</si>
  <si>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</si>
  <si>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</si>
  <si>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</si>
  <si>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</si>
  <si>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</si>
  <si>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</si>
  <si>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</si>
  <si>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</si>
  <si>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</si>
  <si>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</si>
  <si>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</si>
  <si>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</si>
  <si>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</si>
  <si>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</si>
  <si>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</si>
  <si>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</si>
  <si>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</si>
  <si>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</si>
  <si>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</si>
  <si>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</si>
  <si>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</si>
  <si>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</si>
  <si>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</si>
  <si>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</si>
  <si>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</si>
  <si>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</si>
  <si>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</si>
  <si>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</si>
  <si>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</si>
  <si>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</si>
  <si>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</si>
  <si>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</si>
  <si>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</si>
  <si>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</si>
  <si>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</si>
  <si>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</si>
  <si>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</si>
  <si>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</si>
  <si>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</si>
  <si>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</si>
  <si>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</si>
  <si>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</si>
  <si>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</si>
  <si>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</si>
  <si>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</si>
  <si>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</si>
  <si>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</si>
  <si>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</si>
  <si>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</si>
  <si>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</si>
  <si>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</si>
  <si>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</si>
  <si>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</si>
  <si>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</si>
  <si>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</si>
  <si>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</si>
  <si>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</si>
  <si>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</si>
  <si>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</si>
  <si>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</si>
  <si>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</si>
  <si>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</si>
  <si>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</si>
  <si>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</si>
  <si>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</si>
  <si>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</si>
  <si>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</si>
  <si>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</si>
  <si>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</si>
  <si>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</si>
  <si>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</si>
  <si>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</si>
  <si>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</si>
  <si>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</si>
  <si>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</si>
  <si>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</si>
  <si>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</si>
  <si>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</si>
  <si>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</si>
  <si>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</si>
  <si>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</si>
  <si>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</si>
  <si>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</si>
  <si>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</si>
  <si>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</si>
  <si>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</si>
  <si>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</si>
  <si>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</si>
  <si>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</si>
  <si>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</si>
  <si>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</si>
  <si>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</si>
  <si>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</si>
  <si>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</si>
  <si>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</si>
  <si>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</si>
  <si>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</si>
  <si>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</si>
  <si>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</si>
  <si>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</si>
  <si>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</si>
  <si>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</si>
  <si>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</si>
  <si>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</si>
  <si>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</si>
  <si>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</si>
  <si>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</si>
  <si>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</si>
  <si>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</si>
  <si>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</si>
  <si>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</si>
  <si>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</si>
  <si>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</si>
  <si>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</si>
  <si>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</si>
  <si>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</si>
  <si>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</si>
  <si>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</si>
  <si>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</si>
  <si>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</si>
  <si>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</si>
  <si>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</si>
  <si>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</si>
  <si>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</si>
  <si>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</si>
  <si>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</si>
  <si>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</si>
  <si>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</si>
  <si>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</si>
  <si>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</si>
  <si>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</si>
  <si>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</si>
  <si>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</si>
  <si>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</si>
  <si>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</si>
  <si>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</si>
  <si>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</si>
  <si>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</si>
  <si>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</si>
  <si>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</si>
  <si>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</si>
  <si>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</si>
  <si>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</si>
  <si>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</si>
  <si>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</si>
  <si>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</si>
  <si>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</si>
  <si>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</si>
  <si>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</si>
  <si>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</si>
  <si>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</si>
  <si>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</si>
  <si>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</si>
  <si>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</si>
  <si>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</si>
  <si>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</si>
  <si>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</si>
  <si>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</si>
  <si>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</si>
  <si>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</si>
  <si>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</si>
  <si>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</si>
  <si>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</si>
  <si>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</si>
  <si>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</si>
  <si>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</si>
  <si>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</si>
  <si>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</si>
  <si>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</si>
  <si>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</si>
  <si>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</si>
  <si>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</si>
  <si>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</si>
  <si>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</si>
  <si>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</si>
  <si>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</si>
  <si>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</si>
  <si>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</si>
  <si>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</si>
  <si>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</si>
  <si>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</si>
  <si>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</si>
  <si>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</si>
  <si>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</si>
  <si>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</si>
  <si>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</si>
  <si>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</si>
  <si>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</si>
  <si>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</si>
  <si>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</si>
  <si>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</si>
  <si>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</si>
  <si>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</si>
  <si>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</si>
  <si>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</si>
  <si>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</si>
  <si>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</si>
  <si>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</si>
  <si>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</si>
  <si>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</si>
  <si>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</si>
  <si>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</si>
  <si>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</si>
  <si>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</si>
  <si>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</si>
  <si>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</si>
  <si>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</si>
  <si>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</si>
  <si>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</si>
  <si>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</si>
  <si>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</si>
  <si>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</si>
  <si>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</si>
  <si>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</si>
  <si>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</si>
  <si>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</si>
  <si>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</si>
  <si>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</si>
  <si>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</si>
  <si>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</si>
  <si>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</si>
  <si>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</si>
  <si>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</si>
  <si>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</si>
  <si>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</si>
  <si>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</si>
  <si>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</si>
  <si>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</si>
  <si>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</si>
  <si>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</si>
  <si>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</si>
  <si>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</si>
  <si>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</si>
  <si>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</si>
  <si>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</si>
  <si>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</si>
  <si>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</si>
  <si>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</si>
  <si>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</si>
  <si>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</si>
  <si>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</si>
  <si>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</si>
  <si>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</si>
  <si>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</si>
  <si>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</si>
  <si>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</si>
  <si>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</si>
  <si>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</si>
  <si>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</si>
  <si>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</si>
  <si>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</si>
  <si>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</si>
  <si>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</si>
  <si>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</si>
  <si>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</si>
  <si>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</si>
  <si>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</si>
  <si>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</si>
  <si>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</si>
  <si>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</si>
  <si>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</si>
  <si>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</si>
  <si>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</si>
  <si>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</si>
  <si>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</si>
  <si>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</si>
  <si>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</si>
  <si>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</si>
  <si>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</si>
  <si>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</si>
  <si>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</si>
  <si>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</si>
  <si>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</si>
  <si>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</si>
  <si>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</si>
  <si>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</si>
  <si>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</si>
  <si>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</si>
  <si>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</si>
  <si>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</si>
  <si>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</si>
  <si>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</si>
  <si>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</si>
  <si>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</si>
  <si>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</si>
  <si>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</si>
  <si>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</si>
  <si>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</si>
  <si>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</si>
  <si>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</si>
  <si>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</si>
  <si>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</si>
  <si>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</si>
  <si>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</si>
  <si>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</si>
  <si>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</si>
  <si>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</si>
  <si>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</si>
  <si>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</si>
  <si>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</si>
  <si>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</si>
  <si>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</si>
  <si>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</si>
  <si>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</si>
  <si>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</si>
  <si>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</si>
  <si>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</si>
  <si>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</si>
  <si>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</si>
  <si>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</si>
  <si>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</si>
  <si>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</si>
  <si>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</si>
  <si>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</si>
  <si>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</si>
  <si>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</si>
  <si>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</si>
  <si>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</si>
  <si>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</si>
  <si>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</si>
  <si>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</si>
  <si>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</si>
  <si>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</si>
  <si>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</si>
  <si>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</si>
  <si>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</si>
  <si>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</si>
  <si>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</si>
  <si>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</si>
  <si>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</si>
  <si>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</si>
  <si>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</si>
  <si>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</si>
  <si>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</si>
  <si>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</si>
  <si>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</si>
  <si>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</si>
  <si>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</si>
  <si>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</si>
  <si>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</si>
  <si>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</si>
  <si>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</si>
  <si>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</si>
  <si>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</si>
  <si>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</si>
  <si>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</si>
  <si>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</si>
  <si>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</si>
  <si>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</si>
  <si>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</si>
  <si>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</si>
  <si>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</si>
  <si>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</si>
  <si>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</si>
  <si>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</si>
  <si>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</si>
  <si>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</si>
  <si>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</si>
  <si>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</si>
  <si>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</si>
  <si>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</si>
  <si>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</si>
  <si>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</si>
  <si>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</si>
  <si>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</si>
  <si>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</si>
  <si>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</si>
  <si>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</si>
  <si>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</si>
  <si>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</si>
  <si>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</si>
  <si>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</si>
  <si>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</si>
  <si>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</si>
  <si>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</si>
  <si>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</si>
  <si>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</si>
  <si>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</si>
  <si>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</si>
  <si>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</si>
  <si>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</si>
  <si>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</si>
  <si>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</si>
  <si>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</si>
  <si>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</si>
  <si>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</si>
  <si>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</si>
  <si>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</si>
  <si>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</si>
  <si>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</si>
  <si>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</si>
  <si>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</si>
  <si>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</si>
  <si>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</si>
  <si>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</si>
  <si>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</si>
  <si>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</si>
  <si>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</si>
  <si>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</si>
  <si>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</si>
  <si>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</si>
  <si>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</si>
  <si>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</si>
  <si>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</si>
  <si>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</si>
  <si>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</si>
  <si>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</si>
  <si>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</si>
  <si>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</si>
  <si>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</si>
  <si>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</si>
  <si>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</si>
  <si>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</si>
  <si>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</si>
  <si>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</si>
  <si>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</si>
  <si>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</si>
  <si>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</si>
  <si>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</si>
  <si>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</si>
  <si>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</si>
  <si>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</si>
  <si>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</si>
  <si>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</si>
  <si>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</si>
  <si>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</si>
  <si>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</si>
  <si>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</si>
  <si>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</si>
  <si>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</si>
  <si>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</si>
  <si>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</si>
  <si>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</si>
  <si>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</si>
  <si>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</si>
  <si>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</si>
  <si>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</si>
  <si>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</si>
  <si>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</si>
  <si>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</si>
  <si>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</si>
  <si>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</si>
  <si>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</si>
  <si>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</si>
  <si>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</si>
  <si>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</si>
  <si>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</si>
  <si>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</si>
  <si>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</si>
  <si>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</si>
  <si>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</si>
  <si>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</si>
  <si>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</si>
  <si>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</si>
  <si>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</si>
  <si>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</si>
  <si>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</si>
  <si>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</si>
  <si>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</si>
  <si>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</si>
  <si>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</si>
  <si>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</si>
  <si>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</si>
  <si>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</si>
  <si>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</si>
  <si>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</si>
  <si>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</si>
  <si>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</si>
  <si>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</si>
  <si>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</si>
  <si>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</si>
  <si>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</si>
  <si>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</si>
  <si>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</si>
  <si>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</si>
  <si>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</si>
  <si>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</si>
  <si>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</si>
  <si>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</si>
  <si>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</si>
  <si>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</si>
  <si>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</si>
  <si>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</si>
  <si>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</si>
  <si>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</si>
  <si>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</si>
  <si>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</si>
  <si>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</si>
  <si>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</si>
  <si>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</si>
  <si>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</si>
  <si>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</si>
  <si>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</si>
  <si>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</si>
  <si>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</si>
  <si>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</si>
  <si>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</si>
  <si>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</si>
  <si>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</si>
  <si>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</si>
  <si>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</si>
  <si>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</si>
  <si>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</si>
  <si>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</si>
  <si>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</si>
  <si>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</si>
  <si>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</si>
  <si>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</si>
  <si>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</si>
  <si>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</si>
  <si>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</si>
  <si>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</si>
  <si>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</si>
  <si>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</si>
  <si>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</si>
  <si>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</si>
  <si>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</si>
  <si>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</si>
  <si>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</si>
  <si>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</si>
  <si>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</si>
  <si>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</si>
  <si>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</si>
  <si>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</si>
  <si>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</si>
  <si>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</si>
  <si>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</si>
  <si>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</si>
  <si>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</si>
  <si>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</si>
  <si>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</si>
  <si>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</si>
  <si>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</si>
  <si>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</si>
  <si>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</si>
  <si>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</si>
  <si>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</si>
  <si>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</si>
  <si>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</si>
  <si>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</si>
  <si>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</si>
  <si>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</si>
  <si>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</si>
  <si>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</si>
  <si>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</si>
  <si>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</si>
  <si>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</si>
  <si>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</si>
  <si>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</si>
  <si>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</si>
  <si>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</si>
  <si>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</si>
  <si>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</si>
  <si>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</si>
  <si>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</si>
  <si>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</si>
  <si>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</si>
  <si>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</si>
  <si>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</si>
  <si>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</si>
  <si>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</si>
  <si>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</si>
  <si>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</si>
  <si>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</si>
  <si>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</si>
  <si>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</si>
  <si>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</si>
  <si>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</si>
  <si>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</si>
  <si>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</si>
  <si>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</si>
  <si>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</si>
  <si>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</si>
  <si>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</si>
  <si>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</si>
  <si>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</si>
  <si>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</si>
  <si>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</si>
  <si>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</si>
  <si>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</si>
  <si>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</si>
  <si>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</si>
  <si>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</si>
  <si>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</si>
  <si>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</si>
  <si>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</si>
  <si>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</si>
  <si>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</si>
  <si>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</si>
  <si>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</si>
  <si>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</si>
  <si>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</si>
  <si>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</si>
  <si>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</si>
  <si>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</si>
  <si>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</si>
  <si>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</si>
  <si>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</si>
  <si>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</si>
  <si>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</si>
  <si>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</si>
  <si>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</si>
  <si>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</si>
  <si>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</si>
  <si>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</si>
  <si>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</si>
  <si>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</si>
  <si>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</si>
  <si>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</si>
  <si>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</si>
  <si>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</si>
  <si>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</si>
  <si>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</si>
  <si>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</si>
  <si>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</si>
  <si>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</si>
  <si>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</si>
  <si>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</si>
  <si>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</si>
  <si>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</si>
  <si>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</si>
  <si>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</si>
  <si>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</si>
  <si>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</si>
  <si>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</si>
  <si>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</si>
  <si>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</si>
  <si>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</si>
  <si>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</si>
  <si>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</si>
  <si>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</si>
  <si>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</si>
  <si>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</si>
  <si>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</si>
  <si>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</si>
  <si>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</si>
  <si>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</si>
  <si>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</si>
  <si>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</si>
  <si>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</si>
  <si>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</si>
  <si>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</si>
  <si>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</si>
  <si>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</si>
  <si>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</si>
  <si>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</si>
  <si>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</si>
  <si>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</si>
  <si>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</si>
  <si>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</si>
  <si>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</si>
  <si>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</si>
  <si>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</si>
  <si>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</si>
  <si>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</si>
  <si>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</si>
  <si>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</si>
  <si>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</si>
  <si>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</si>
  <si>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</si>
  <si>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</si>
  <si>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</si>
  <si>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</si>
  <si>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</si>
  <si>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</si>
  <si>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</si>
  <si>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</si>
  <si>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</si>
  <si>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</si>
  <si>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</si>
  <si>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</si>
  <si>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</si>
  <si>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</si>
  <si>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</si>
  <si>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</si>
  <si>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</si>
  <si>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</si>
  <si>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</si>
  <si>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</si>
  <si>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</si>
  <si>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</si>
  <si>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</si>
  <si>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</si>
  <si>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</si>
  <si>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</si>
  <si>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</si>
  <si>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</si>
  <si>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</si>
  <si>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</si>
  <si>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</si>
  <si>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</si>
  <si>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</si>
  <si>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</si>
  <si>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</si>
  <si>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</si>
  <si>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</si>
  <si>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</si>
  <si>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</si>
  <si>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</si>
  <si>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</si>
  <si>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</si>
  <si>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</si>
  <si>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</si>
  <si>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</si>
  <si>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</si>
  <si>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</si>
  <si>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</si>
  <si>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</si>
  <si>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</si>
  <si>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</si>
  <si>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</si>
  <si>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</si>
  <si>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</si>
  <si>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</si>
  <si>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</si>
  <si>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</si>
  <si>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</si>
  <si>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</si>
  <si>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</si>
  <si>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</si>
  <si>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</si>
  <si>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</si>
  <si>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</si>
  <si>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</si>
  <si>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</si>
  <si>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</si>
  <si>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</si>
  <si>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</si>
  <si>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</si>
  <si>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</si>
  <si>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</si>
  <si>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</si>
  <si>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</si>
  <si>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</si>
  <si>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</si>
  <si>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</si>
  <si>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</si>
  <si>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</si>
  <si>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</si>
  <si>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</si>
  <si>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</si>
  <si>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</si>
  <si>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</si>
  <si>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</si>
  <si>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</si>
  <si>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</si>
  <si>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</si>
  <si>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</si>
  <si>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</si>
  <si>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</si>
  <si>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</si>
  <si>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</si>
  <si>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</si>
  <si>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</si>
  <si>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</si>
  <si>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</si>
  <si>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</si>
  <si>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</si>
  <si>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</si>
  <si>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</si>
  <si>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</si>
  <si>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</si>
  <si>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</si>
  <si>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</si>
  <si>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</si>
  <si>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</si>
  <si>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</si>
  <si>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</si>
  <si>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</si>
  <si>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</si>
  <si>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</si>
  <si>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</si>
  <si>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</si>
  <si>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</si>
  <si>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</si>
  <si>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</si>
  <si>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</si>
  <si>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</si>
  <si>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</si>
  <si>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</si>
  <si>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</si>
  <si>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</si>
  <si>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</si>
  <si>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</si>
  <si>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</si>
  <si>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</si>
  <si>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</si>
  <si>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</si>
  <si>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</si>
  <si>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</si>
  <si>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</si>
  <si>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</si>
  <si>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</si>
  <si>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</si>
  <si>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</si>
  <si>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</si>
  <si>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</si>
  <si>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</si>
  <si>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</si>
  <si>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</si>
  <si>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</si>
  <si>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</si>
  <si>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</si>
  <si>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</si>
  <si>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</si>
  <si>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</si>
  <si>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</si>
  <si>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</si>
  <si>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</si>
  <si>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</si>
  <si>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</si>
  <si>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</si>
  <si>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</si>
  <si>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</si>
  <si>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</si>
  <si>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</si>
  <si>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</si>
  <si>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</si>
  <si>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</si>
  <si>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</si>
  <si>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</si>
  <si>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</si>
  <si>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</si>
  <si>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</si>
  <si>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</si>
  <si>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</si>
  <si>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</si>
  <si>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</si>
  <si>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</si>
  <si>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</si>
  <si>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</si>
  <si>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</si>
  <si>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</si>
  <si>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</si>
  <si>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</si>
  <si>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</si>
  <si>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</si>
  <si>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</si>
  <si>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</si>
  <si>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</si>
  <si>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</si>
  <si>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</si>
  <si>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</si>
  <si>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</si>
  <si>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</si>
  <si>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</si>
  <si>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</si>
  <si>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</si>
  <si>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</si>
  <si>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</si>
  <si>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</si>
  <si>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</si>
  <si>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</si>
  <si>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</si>
  <si>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</si>
  <si>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</si>
  <si>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</si>
  <si>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</si>
  <si>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</si>
  <si>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</si>
  <si>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</si>
  <si>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</si>
  <si>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</si>
  <si>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</si>
  <si>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</si>
  <si>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</si>
  <si>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</si>
  <si>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</si>
  <si>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</si>
  <si>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</si>
  <si>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</si>
  <si>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</si>
  <si>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</si>
  <si>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</si>
  <si>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</si>
  <si>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</si>
  <si>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</si>
  <si>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</si>
  <si>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</si>
  <si>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</si>
  <si>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</si>
  <si>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</si>
  <si>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</si>
  <si>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</si>
  <si>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</si>
  <si>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</si>
  <si>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</si>
  <si>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</si>
  <si>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</si>
  <si>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</si>
  <si>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</si>
  <si>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</si>
  <si>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</si>
  <si>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</si>
  <si>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</si>
  <si>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</si>
  <si>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</si>
  <si>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</si>
  <si>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</si>
  <si>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</si>
  <si>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</si>
  <si>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</si>
  <si>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</si>
  <si>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</si>
  <si>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</si>
  <si>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</si>
  <si>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</si>
  <si>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</si>
  <si>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</si>
  <si>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</si>
  <si>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</si>
  <si>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</si>
  <si>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</si>
  <si>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</si>
  <si>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</si>
  <si>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</si>
  <si>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</si>
  <si>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</si>
  <si>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</si>
  <si>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</si>
  <si>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</si>
  <si>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</si>
  <si>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</si>
  <si>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</si>
  <si>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</si>
  <si>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</si>
  <si>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</si>
  <si>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</si>
  <si>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</si>
  <si>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</si>
  <si>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</si>
  <si>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</si>
  <si>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</si>
  <si>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</si>
  <si>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</si>
  <si>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</si>
  <si>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</si>
  <si>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</si>
  <si>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</si>
  <si>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</si>
  <si>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</si>
  <si>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</si>
  <si>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</si>
  <si>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</si>
  <si>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</si>
  <si>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</si>
  <si>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</si>
  <si>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</si>
  <si>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</si>
  <si>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</si>
  <si>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</si>
  <si>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</si>
  <si>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</si>
  <si>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</si>
  <si>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</si>
  <si>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</si>
  <si>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</si>
  <si>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</si>
  <si>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</si>
  <si>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</si>
  <si>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</si>
  <si>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</si>
  <si>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</si>
  <si>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</si>
  <si>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</si>
  <si>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</si>
  <si>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</si>
  <si>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</si>
  <si>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</si>
  <si>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</si>
  <si>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</si>
  <si>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</si>
  <si>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</si>
  <si>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</si>
  <si>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</si>
  <si>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</si>
  <si>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</si>
  <si>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</si>
  <si>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</si>
  <si>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</si>
  <si>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</si>
  <si>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</si>
  <si>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</si>
  <si>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</si>
  <si>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</si>
  <si>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</si>
  <si>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</si>
  <si>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</si>
  <si>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</si>
  <si>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</si>
  <si>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</si>
  <si>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</si>
  <si>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</si>
  <si>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</si>
  <si>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</si>
  <si>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</si>
  <si>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</si>
  <si>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</si>
  <si>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</si>
  <si>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</si>
  <si>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</si>
  <si>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</si>
  <si>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</si>
  <si>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</si>
  <si>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</si>
  <si>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</si>
  <si>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</si>
  <si>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</si>
  <si>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</si>
  <si>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</si>
  <si>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</si>
  <si>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</si>
  <si>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</si>
  <si>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</si>
  <si>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</si>
  <si>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</si>
  <si>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</si>
  <si>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</si>
  <si>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</si>
  <si>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</si>
  <si>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</si>
  <si>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</si>
  <si>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</si>
  <si>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</si>
  <si>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</si>
  <si>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</si>
  <si>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</si>
  <si>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</si>
  <si>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</si>
  <si>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</si>
  <si>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</si>
  <si>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</si>
  <si>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</si>
  <si>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</si>
  <si>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</si>
  <si>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</si>
  <si>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</si>
  <si>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</si>
  <si>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</si>
  <si>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</si>
  <si>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</si>
  <si>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</si>
  <si>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</si>
  <si>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</si>
  <si>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</si>
  <si>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</si>
  <si>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</si>
  <si>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</si>
  <si>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</si>
  <si>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</si>
  <si>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</si>
  <si>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</si>
  <si>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</si>
  <si>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</si>
  <si>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</si>
  <si>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</si>
  <si>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</si>
  <si>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</si>
  <si>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</si>
  <si>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</si>
  <si>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</si>
  <si>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</si>
  <si>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</si>
  <si>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</si>
  <si>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</si>
  <si>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</si>
  <si>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</si>
  <si>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</si>
  <si>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</si>
  <si>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</si>
  <si>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</si>
  <si>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</si>
  <si>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</si>
  <si>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</si>
  <si>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</si>
  <si>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</si>
  <si>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</si>
  <si>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</si>
  <si>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</si>
  <si>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</si>
  <si>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</si>
  <si>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</si>
  <si>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</si>
  <si>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</si>
  <si>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</si>
  <si>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</si>
  <si>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</si>
  <si>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</si>
  <si>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</si>
  <si>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</si>
  <si>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</si>
  <si>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</si>
  <si>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</si>
  <si>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</si>
  <si>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</si>
  <si>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</si>
  <si>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</si>
  <si>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</si>
  <si>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</si>
  <si>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</si>
  <si>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</si>
  <si>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</si>
  <si>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</si>
  <si>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</si>
  <si>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</si>
  <si>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</si>
  <si>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</si>
  <si>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</si>
  <si>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</si>
  <si>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</si>
  <si>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</si>
  <si>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</si>
  <si>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</si>
  <si>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</si>
  <si>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</si>
  <si>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</si>
  <si>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</si>
  <si>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</si>
  <si>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</si>
  <si>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</si>
  <si>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</si>
  <si>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</si>
  <si>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</si>
  <si>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</si>
  <si>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</si>
  <si>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</si>
  <si>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</si>
  <si>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</si>
  <si>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</si>
  <si>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</si>
  <si>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</si>
  <si>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</si>
  <si>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</si>
  <si>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</si>
  <si>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</si>
  <si>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</si>
  <si>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</si>
  <si>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</si>
  <si>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</si>
  <si>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</si>
  <si>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</si>
  <si>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</si>
  <si>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</si>
  <si>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</si>
  <si>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</si>
  <si>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</si>
  <si>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</si>
  <si>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</si>
  <si>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</si>
  <si>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</si>
  <si>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</si>
  <si>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</si>
  <si>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</si>
  <si>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</si>
  <si>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</si>
  <si>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</si>
  <si>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</si>
  <si>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</si>
  <si>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</si>
  <si>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</si>
  <si>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</si>
  <si>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</si>
  <si>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</si>
  <si>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</si>
  <si>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</si>
  <si>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</si>
  <si>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</si>
  <si>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</si>
  <si>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</si>
  <si>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</si>
  <si>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</si>
  <si>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</si>
  <si>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</si>
  <si>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</si>
  <si>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</si>
  <si>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</si>
  <si>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</si>
  <si>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</si>
  <si>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</si>
  <si>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</si>
  <si>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</si>
  <si>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</si>
  <si>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</si>
  <si>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</si>
  <si>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</si>
  <si>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</si>
  <si>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</si>
  <si>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</si>
  <si>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</si>
  <si>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</si>
  <si>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</si>
  <si>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</si>
  <si>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</si>
  <si>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</si>
  <si>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</si>
  <si>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</si>
  <si>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</si>
  <si>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</si>
  <si>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</si>
  <si>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</si>
  <si>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</si>
  <si>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</si>
  <si>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</si>
  <si>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</si>
  <si>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</si>
  <si>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</si>
  <si>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</si>
  <si>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</si>
  <si>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</si>
  <si>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</si>
  <si>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</si>
  <si>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</si>
  <si>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</si>
  <si>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</si>
  <si>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</si>
  <si>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</si>
  <si>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</si>
  <si>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</si>
  <si>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</si>
  <si>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</si>
  <si>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</si>
  <si>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</si>
  <si>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</si>
  <si>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</si>
  <si>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</si>
  <si>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</si>
  <si>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</si>
  <si>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</si>
  <si>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</si>
  <si>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</si>
  <si>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</si>
  <si>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</si>
  <si>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</si>
  <si>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</si>
  <si>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</si>
  <si>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</si>
  <si>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</si>
  <si>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</si>
  <si>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</si>
  <si>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</si>
  <si>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</si>
  <si>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</si>
  <si>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</si>
  <si>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</si>
  <si>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</si>
  <si>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</si>
  <si>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</si>
  <si>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</si>
  <si>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</si>
  <si>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</si>
  <si>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</si>
  <si>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</si>
  <si>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</si>
  <si>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</si>
  <si>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</si>
  <si>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</si>
  <si>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</si>
  <si>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</si>
  <si>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</si>
  <si>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</si>
  <si>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</si>
  <si>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</si>
  <si>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</si>
  <si>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</si>
  <si>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</si>
  <si>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</si>
  <si>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</si>
  <si>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</si>
  <si>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</si>
  <si>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</si>
  <si>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</si>
  <si>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</si>
  <si>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</si>
  <si>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</si>
  <si>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</si>
  <si>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</si>
  <si>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</si>
  <si>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</si>
  <si>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</si>
  <si>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</si>
  <si>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</si>
  <si>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</si>
  <si>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</si>
  <si>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</si>
  <si>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</si>
  <si>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</si>
  <si>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</si>
  <si>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</si>
  <si>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</si>
  <si>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</si>
  <si>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</si>
  <si>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</si>
  <si>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</si>
  <si>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</si>
  <si>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</si>
  <si>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</si>
  <si>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</si>
  <si>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</si>
  <si>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</si>
  <si>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</si>
  <si>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</si>
  <si>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</si>
  <si>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</si>
  <si>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</si>
  <si>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</si>
  <si>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</si>
  <si>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</si>
  <si>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</si>
  <si>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</si>
  <si>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</si>
  <si>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</si>
  <si>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</si>
  <si>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</si>
  <si>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</si>
  <si>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</si>
  <si>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</si>
  <si>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</si>
  <si>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</si>
  <si>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</si>
  <si>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</si>
  <si>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</si>
  <si>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</si>
  <si>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</si>
  <si>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</si>
  <si>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</si>
  <si>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</si>
  <si>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</si>
  <si>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</si>
  <si>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</si>
  <si>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</si>
  <si>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</si>
  <si>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</si>
  <si>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</si>
  <si>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</si>
  <si>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</si>
  <si>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</si>
  <si>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</si>
  <si>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</si>
  <si>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</si>
  <si>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</si>
  <si>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</si>
  <si>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</si>
  <si>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</si>
  <si>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</si>
  <si>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</si>
  <si>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</si>
  <si>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</si>
  <si>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</si>
  <si>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</si>
  <si>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</si>
  <si>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</si>
  <si>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</si>
  <si>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</si>
  <si>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</si>
  <si>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</si>
  <si>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</si>
  <si>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</si>
  <si>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</si>
  <si>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</si>
  <si>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</si>
  <si>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</si>
  <si>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</si>
  <si>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</si>
  <si>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</si>
  <si>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</si>
  <si>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</si>
  <si>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</si>
  <si>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</si>
  <si>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</si>
  <si>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</si>
  <si>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</si>
  <si>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</si>
  <si>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</si>
  <si>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</si>
  <si>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</si>
  <si>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</si>
  <si>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</si>
  <si>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</si>
  <si>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</si>
  <si>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</si>
  <si>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</si>
  <si>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</si>
  <si>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</si>
  <si>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</si>
  <si>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</si>
  <si>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</si>
  <si>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</si>
  <si>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</si>
  <si>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</si>
  <si>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</si>
  <si>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</si>
  <si>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</si>
  <si>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</si>
  <si>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</si>
  <si>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</si>
  <si>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</si>
  <si>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</si>
  <si>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</si>
  <si>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</si>
  <si>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</si>
  <si>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</si>
  <si>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</si>
  <si>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</si>
  <si>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</si>
  <si>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</si>
  <si>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</si>
  <si>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</si>
  <si>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</si>
  <si>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</si>
  <si>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</si>
  <si>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</si>
  <si>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</si>
  <si>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</si>
  <si>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</si>
  <si>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</si>
  <si>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</si>
  <si>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</si>
  <si>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</si>
  <si>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</si>
  <si>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</si>
  <si>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</si>
  <si>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</si>
  <si>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</si>
  <si>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</si>
  <si>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</si>
  <si>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</si>
  <si>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</si>
  <si>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</si>
  <si>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</si>
  <si>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</si>
  <si>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</si>
  <si>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</si>
  <si>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</si>
  <si>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</si>
  <si>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</si>
  <si>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</si>
  <si>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</si>
  <si>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</si>
  <si>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</si>
  <si>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</si>
  <si>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</si>
  <si>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</si>
  <si>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</si>
  <si>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</si>
  <si>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</si>
  <si>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</si>
  <si>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</si>
  <si>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</si>
  <si>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</si>
  <si>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</si>
  <si>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</si>
  <si>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</si>
  <si>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</si>
  <si>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</si>
  <si>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</si>
  <si>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</si>
  <si>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</si>
  <si>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</si>
  <si>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</si>
  <si>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</si>
  <si>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</si>
  <si>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</si>
  <si>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</si>
  <si>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</si>
  <si>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</si>
  <si>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</si>
  <si>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</si>
  <si>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</si>
  <si>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</si>
  <si>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</si>
  <si>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</si>
  <si>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</si>
  <si>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</si>
  <si>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</si>
  <si>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</si>
  <si>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</si>
  <si>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</si>
  <si>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</si>
  <si>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</si>
  <si>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</si>
  <si>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</si>
  <si>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</si>
  <si>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</si>
  <si>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</si>
  <si>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</si>
  <si>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</si>
  <si>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</si>
  <si>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</si>
  <si>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</si>
  <si>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</si>
  <si>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</si>
  <si>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</si>
  <si>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</si>
  <si>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</si>
  <si>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</si>
  <si>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</si>
  <si>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</si>
  <si>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</si>
  <si>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</si>
  <si>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</si>
  <si>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</si>
  <si>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</si>
  <si>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</si>
  <si>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</si>
  <si>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</si>
  <si>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</si>
  <si>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</si>
  <si>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</si>
  <si>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</si>
  <si>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</si>
  <si>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</si>
  <si>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</si>
  <si>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</si>
  <si>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</si>
  <si>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</si>
  <si>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</si>
  <si>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</si>
  <si>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</si>
  <si>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</si>
  <si>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</si>
  <si>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</si>
  <si>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</si>
  <si>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</si>
  <si>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</si>
  <si>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</si>
  <si>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</si>
  <si>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</si>
  <si>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</si>
  <si>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</si>
  <si>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</si>
  <si>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</si>
  <si>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</si>
  <si>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</si>
  <si>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</si>
  <si>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</si>
  <si>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</si>
  <si>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</si>
  <si>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</si>
  <si>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</si>
  <si>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</si>
  <si>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</si>
  <si>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</si>
  <si>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</si>
  <si>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</si>
  <si>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</si>
  <si>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</si>
  <si>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</si>
  <si>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</si>
  <si>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</si>
  <si>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</si>
  <si>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</si>
  <si>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</si>
  <si>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</si>
  <si>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</si>
  <si>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</si>
  <si>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</si>
  <si>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</si>
  <si>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</si>
  <si>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</si>
  <si>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</si>
  <si>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</si>
  <si>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</si>
  <si>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</si>
  <si>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</si>
  <si>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</si>
  <si>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</si>
  <si>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</si>
  <si>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</si>
  <si>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</si>
  <si>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</si>
  <si>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</si>
  <si>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</si>
  <si>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</si>
  <si>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</si>
  <si>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</si>
  <si>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</si>
  <si>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</si>
  <si>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</si>
  <si>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</si>
  <si>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</si>
  <si>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</si>
  <si>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</si>
  <si>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</si>
  <si>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</si>
  <si>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</si>
  <si>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</si>
  <si>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</si>
  <si>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</si>
  <si>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</si>
  <si>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</si>
  <si>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</si>
  <si>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</si>
  <si>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</si>
  <si>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</si>
  <si>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</si>
  <si>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</si>
  <si>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</si>
  <si>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</si>
  <si>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</si>
  <si>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</si>
  <si>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</si>
  <si>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</si>
  <si>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</si>
  <si>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</si>
  <si>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</si>
  <si>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</si>
  <si>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</si>
  <si>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</si>
  <si>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</si>
  <si>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</si>
  <si>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</si>
  <si>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</si>
  <si>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</si>
  <si>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</si>
  <si>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</si>
  <si>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</si>
  <si>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</si>
  <si>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</si>
  <si>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</si>
  <si>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</si>
  <si>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</si>
  <si>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</si>
  <si>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</si>
  <si>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</si>
  <si>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</si>
  <si>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</si>
  <si>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</si>
  <si>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</si>
  <si>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</si>
  <si>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</si>
  <si>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</si>
  <si>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</si>
  <si>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</si>
  <si>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</si>
  <si>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</si>
  <si>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</si>
  <si>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</si>
  <si>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</si>
  <si>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</si>
  <si>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</si>
  <si>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</si>
  <si>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</si>
  <si>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</si>
  <si>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</si>
  <si>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</si>
  <si>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</si>
  <si>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</si>
  <si>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</si>
  <si>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</si>
  <si>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</si>
  <si>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</si>
  <si>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</si>
  <si>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</si>
  <si>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</si>
  <si>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</si>
  <si>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</si>
  <si>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</si>
  <si>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</si>
  <si>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</si>
  <si>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</si>
  <si>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</si>
  <si>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</si>
  <si>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</si>
  <si>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</si>
  <si>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</si>
  <si>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</si>
  <si>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</si>
  <si>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</si>
  <si>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</si>
  <si>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</si>
  <si>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</si>
  <si>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</si>
  <si>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</si>
  <si>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</si>
  <si>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</si>
  <si>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</si>
  <si>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</si>
  <si>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</si>
  <si>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</si>
  <si>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</si>
  <si>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</si>
  <si>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</si>
  <si>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</si>
  <si>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</si>
  <si>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</si>
  <si>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</si>
  <si>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</si>
  <si>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</si>
  <si>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</si>
  <si>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</si>
  <si>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</si>
  <si>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</si>
  <si>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</si>
  <si>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</si>
  <si>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</si>
  <si>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</si>
  <si>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</si>
  <si>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</si>
  <si>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</si>
  <si>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</si>
  <si>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</si>
  <si>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</si>
  <si>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</si>
  <si>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</si>
  <si>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</si>
  <si>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</si>
  <si>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</si>
  <si>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</si>
  <si>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</si>
  <si>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</si>
  <si>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</si>
  <si>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</si>
  <si>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</si>
  <si>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</si>
  <si>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</si>
  <si>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</si>
  <si>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</si>
  <si>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</si>
  <si>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</si>
  <si>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</si>
  <si>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</si>
  <si>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</si>
  <si>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</si>
  <si>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</si>
  <si>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</si>
  <si>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</si>
  <si>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</si>
  <si>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</si>
  <si>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</si>
  <si>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</si>
  <si>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</si>
  <si>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</si>
  <si>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</si>
  <si>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</si>
  <si>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</si>
  <si>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</si>
  <si>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</si>
  <si>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</si>
  <si>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</si>
  <si>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</si>
  <si>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</si>
  <si>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</si>
  <si>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</si>
  <si>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</si>
  <si>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</si>
  <si>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</si>
  <si>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</si>
  <si>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</si>
  <si>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</si>
  <si>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</si>
  <si>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</si>
  <si>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</si>
  <si>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</si>
  <si>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</si>
  <si>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</si>
  <si>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</si>
  <si>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</si>
  <si>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</si>
  <si>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</si>
  <si>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</si>
  <si>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</si>
  <si>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</si>
  <si>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</si>
  <si>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</si>
  <si>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</si>
  <si>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</si>
  <si>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</si>
  <si>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</si>
  <si>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</si>
  <si>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</si>
  <si>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</si>
  <si>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</si>
  <si>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</si>
  <si>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</si>
  <si>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</si>
  <si>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</si>
  <si>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</si>
  <si>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</si>
  <si>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</si>
  <si>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</si>
  <si>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</si>
  <si>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</si>
  <si>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</si>
  <si>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</si>
  <si>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</si>
  <si>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</si>
  <si>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</si>
  <si>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</si>
  <si>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</si>
  <si>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</si>
  <si>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</si>
  <si>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</si>
  <si>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</si>
  <si>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</si>
  <si>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</si>
  <si>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</si>
  <si>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</si>
  <si>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</si>
  <si>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</si>
  <si>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</si>
  <si>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</si>
  <si>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</si>
  <si>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</si>
  <si>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</si>
  <si>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</si>
  <si>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</si>
  <si>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</si>
  <si>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</si>
  <si>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</si>
  <si>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</si>
  <si>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</si>
  <si>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</si>
  <si>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</si>
  <si>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</si>
  <si>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</si>
  <si>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</si>
  <si>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</si>
  <si>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</si>
  <si>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</si>
  <si>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</si>
  <si>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</si>
  <si>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</si>
  <si>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</si>
  <si>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</si>
  <si>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</si>
  <si>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</si>
  <si>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</si>
  <si>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</si>
  <si>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</si>
  <si>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</si>
  <si>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</si>
  <si>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</si>
  <si>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</si>
  <si>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</si>
  <si>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</si>
  <si>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</si>
  <si>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</si>
  <si>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</si>
  <si>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</si>
  <si>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</si>
  <si>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</si>
  <si>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</si>
  <si>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</si>
  <si>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</si>
  <si>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</si>
  <si>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</si>
  <si>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</si>
  <si>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</si>
  <si>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</si>
  <si>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</si>
  <si>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</si>
  <si>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</si>
  <si>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</si>
  <si>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</si>
  <si>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</si>
  <si>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</si>
  <si>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</si>
  <si>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</si>
  <si>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</si>
  <si>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</si>
  <si>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</si>
  <si>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</si>
  <si>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</si>
  <si>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</si>
  <si>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</si>
  <si>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</si>
  <si>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</si>
  <si>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</si>
  <si>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</si>
  <si>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</si>
  <si>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</si>
  <si>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</si>
  <si>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</si>
  <si>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</si>
  <si>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</si>
  <si>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</si>
  <si>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</si>
  <si>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</si>
  <si>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</si>
  <si>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</si>
  <si>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</si>
  <si>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</si>
  <si>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</si>
  <si>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</si>
  <si>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</si>
  <si>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</si>
  <si>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</si>
  <si>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</si>
  <si>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</si>
  <si>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</si>
  <si>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</si>
  <si>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</si>
  <si>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</si>
  <si>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</si>
  <si>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</si>
  <si>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</si>
  <si>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</si>
  <si>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</si>
  <si>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</si>
  <si>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</si>
  <si>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</si>
  <si>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</si>
  <si>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</si>
  <si>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</si>
  <si>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</si>
  <si>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</si>
  <si>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</si>
  <si>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</si>
  <si>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</si>
  <si>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</si>
  <si>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</si>
  <si>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</si>
  <si>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</si>
  <si>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</si>
  <si>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</si>
  <si>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</si>
  <si>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</si>
  <si>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</si>
  <si>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</si>
  <si>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</si>
  <si>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</si>
  <si>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</si>
  <si>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</si>
  <si>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</si>
  <si>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</si>
  <si>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</si>
  <si>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</si>
  <si>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</si>
  <si>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</si>
  <si>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</si>
  <si>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</si>
  <si>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</si>
  <si>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</si>
  <si>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</si>
  <si>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</si>
  <si>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</si>
  <si>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</si>
  <si>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</si>
  <si>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</si>
  <si>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</si>
  <si>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</si>
  <si>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</si>
  <si>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</si>
  <si>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</si>
  <si>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</si>
  <si>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</si>
  <si>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</si>
  <si>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</si>
  <si>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</si>
  <si>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</si>
  <si>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</si>
  <si>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</si>
  <si>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</si>
  <si>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</si>
  <si>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</si>
  <si>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</si>
  <si>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</si>
  <si>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</si>
  <si>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</si>
  <si>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</si>
  <si>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</si>
  <si>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</si>
  <si>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</si>
  <si>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</si>
  <si>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</si>
  <si>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</si>
  <si>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</si>
  <si>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</si>
  <si>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</si>
  <si>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</si>
  <si>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</si>
  <si>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</si>
  <si>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</si>
  <si>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</si>
  <si>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</si>
  <si>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</si>
  <si>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</si>
  <si>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</si>
  <si>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</si>
  <si>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</si>
  <si>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</si>
  <si>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</si>
  <si>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</si>
  <si>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</si>
  <si>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</si>
  <si>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</si>
  <si>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</si>
  <si>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</si>
  <si>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</si>
  <si>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</si>
  <si>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</si>
  <si>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</si>
  <si>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</si>
  <si>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</si>
  <si>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</si>
  <si>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</si>
  <si>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</si>
  <si>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</si>
  <si>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</si>
  <si>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</si>
  <si>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</si>
  <si>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</si>
  <si>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</si>
  <si>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</si>
  <si>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</si>
  <si>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</si>
  <si>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</si>
  <si>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</si>
  <si>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</si>
  <si>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</si>
  <si>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</si>
  <si>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</si>
  <si>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</si>
  <si>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</si>
  <si>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</si>
  <si>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</si>
  <si>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</si>
  <si>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</si>
  <si>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</si>
  <si>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</si>
  <si>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</si>
  <si>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</si>
  <si>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</si>
  <si>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</si>
  <si>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</si>
  <si>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</si>
  <si>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</si>
  <si>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</si>
  <si>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</si>
  <si>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</si>
  <si>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</si>
  <si>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</si>
  <si>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</si>
  <si>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</si>
  <si>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</si>
  <si>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</si>
  <si>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</si>
  <si>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</si>
  <si>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</si>
  <si>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</si>
  <si>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</si>
  <si>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</si>
  <si>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</si>
  <si>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</si>
  <si>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</si>
  <si>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</si>
  <si>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</si>
  <si>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</si>
  <si>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</si>
  <si>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</si>
  <si>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</si>
  <si>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</si>
  <si>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</si>
  <si>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</si>
  <si>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</si>
  <si>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</si>
  <si>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</si>
  <si>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</si>
  <si>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</si>
  <si>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</si>
  <si>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</si>
  <si>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</si>
  <si>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</si>
  <si>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</si>
  <si>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</si>
  <si>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</si>
  <si>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</si>
  <si>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</si>
  <si>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</si>
  <si>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</si>
  <si>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</si>
  <si>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</si>
  <si>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</si>
  <si>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</si>
  <si>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</si>
  <si>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</si>
  <si>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</si>
  <si>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</si>
  <si>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</si>
  <si>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</si>
  <si>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</si>
  <si>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</si>
  <si>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</si>
  <si>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</si>
  <si>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</si>
  <si>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</si>
  <si>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</si>
  <si>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</si>
  <si>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</si>
  <si>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</si>
  <si>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</si>
  <si>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</si>
  <si>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</si>
  <si>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</si>
  <si>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</si>
  <si>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</si>
  <si>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</si>
  <si>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</si>
  <si>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</si>
  <si>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</si>
  <si>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</si>
  <si>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</si>
  <si>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</si>
  <si>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</si>
  <si>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</si>
  <si>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</si>
  <si>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</si>
  <si>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</si>
  <si>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</si>
  <si>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</si>
  <si>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</si>
  <si>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</si>
  <si>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</si>
  <si>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</si>
  <si>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</si>
  <si>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</si>
  <si>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</si>
  <si>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</si>
  <si>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</si>
  <si>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</si>
  <si>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</si>
  <si>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</si>
  <si>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</si>
  <si>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</si>
  <si>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</si>
  <si>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</si>
  <si>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</si>
  <si>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</si>
  <si>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</si>
  <si>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</si>
  <si>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</si>
  <si>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</si>
  <si>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</si>
  <si>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</si>
  <si>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</si>
  <si>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</si>
  <si>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</si>
  <si>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</si>
  <si>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</si>
  <si>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</si>
  <si>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</si>
  <si>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</si>
  <si>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</si>
  <si>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</si>
  <si>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</si>
  <si>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</si>
  <si>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</si>
  <si>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</si>
  <si>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</si>
  <si>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</si>
  <si>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</si>
  <si>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</si>
  <si>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</si>
  <si>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</si>
  <si>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</si>
  <si>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</si>
  <si>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</si>
  <si>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</si>
  <si>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</si>
  <si>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</si>
  <si>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</si>
  <si>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</si>
  <si>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</si>
  <si>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</si>
  <si>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</si>
  <si>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</si>
  <si>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</si>
  <si>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</si>
  <si>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</si>
  <si>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</si>
  <si>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</si>
  <si>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</si>
  <si>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</si>
  <si>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</si>
  <si>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</si>
  <si>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</si>
  <si>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</si>
  <si>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</si>
  <si>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</si>
  <si>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</si>
  <si>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</si>
  <si>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</si>
  <si>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</si>
  <si>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</si>
  <si>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</si>
  <si>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</si>
  <si>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</si>
  <si>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</si>
  <si>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</si>
  <si>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</si>
  <si>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</si>
  <si>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</si>
  <si>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</si>
  <si>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</si>
  <si>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</si>
  <si>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</si>
  <si>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</si>
  <si>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</si>
  <si>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</si>
  <si>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</si>
  <si>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</si>
  <si>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</si>
  <si>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</si>
  <si>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</si>
  <si>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</si>
  <si>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</si>
  <si>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</si>
  <si>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</si>
  <si>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</si>
  <si>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</si>
  <si>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</si>
  <si>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</si>
  <si>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</si>
  <si>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</si>
  <si>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</si>
  <si>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</si>
  <si>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</si>
  <si>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</si>
  <si>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</si>
  <si>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</si>
  <si>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</si>
  <si>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</si>
  <si>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</si>
  <si>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</si>
  <si>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</si>
  <si>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</si>
  <si>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</si>
  <si>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</si>
  <si>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</si>
  <si>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</si>
  <si>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</si>
  <si>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</si>
  <si>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</si>
  <si>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</si>
  <si>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</si>
  <si>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</si>
  <si>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</si>
  <si>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</si>
  <si>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</si>
  <si>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</si>
  <si>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</si>
  <si>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</si>
  <si>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</si>
  <si>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</si>
  <si>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</si>
  <si>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</si>
  <si>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</si>
  <si>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</si>
  <si>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</si>
  <si>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</si>
  <si>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</si>
  <si>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</si>
  <si>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</si>
  <si>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</si>
  <si>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</si>
  <si>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</si>
  <si>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</si>
  <si>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</si>
  <si>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</si>
  <si>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</si>
  <si>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</si>
  <si>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</si>
  <si>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</si>
  <si>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</si>
  <si>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</si>
  <si>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</si>
  <si>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</si>
  <si>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</si>
  <si>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</si>
  <si>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</si>
  <si>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</si>
  <si>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</si>
  <si>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</si>
  <si>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</si>
  <si>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</si>
  <si>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</si>
  <si>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</si>
  <si>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</si>
  <si>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</si>
  <si>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</si>
  <si>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</si>
  <si>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</si>
  <si>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</si>
  <si>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</si>
  <si>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</si>
  <si>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</si>
  <si>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</si>
  <si>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</si>
  <si>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</si>
  <si>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</si>
  <si>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</si>
  <si>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</si>
  <si>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</si>
  <si>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</si>
  <si>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</si>
  <si>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</si>
  <si>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</si>
  <si>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</si>
  <si>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</si>
  <si>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</si>
  <si>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</si>
  <si>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</si>
  <si>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</si>
  <si>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</si>
  <si>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</si>
  <si>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</si>
  <si>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</si>
  <si>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</si>
  <si>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</si>
  <si>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</si>
  <si>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</si>
  <si>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</si>
  <si>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</si>
  <si>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</si>
  <si>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</si>
  <si>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</si>
  <si>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</si>
  <si>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</si>
  <si>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</si>
  <si>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</si>
  <si>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</si>
  <si>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</si>
  <si>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</si>
  <si>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</si>
  <si>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</si>
  <si>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</si>
  <si>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</si>
  <si>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</si>
  <si>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</si>
  <si>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</si>
  <si>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</si>
  <si>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</si>
  <si>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</si>
  <si>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</si>
  <si>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</si>
  <si>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</si>
  <si>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</si>
  <si>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</si>
  <si>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</si>
  <si>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</si>
  <si>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</si>
  <si>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</si>
  <si>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</si>
  <si>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</si>
  <si>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</si>
  <si>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</si>
  <si>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</si>
  <si>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</si>
  <si>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</si>
  <si>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</si>
  <si>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</si>
  <si>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</si>
  <si>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</si>
  <si>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</si>
  <si>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</si>
  <si>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</si>
  <si>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</si>
  <si>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</si>
  <si>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</si>
  <si>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</si>
  <si>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</si>
  <si>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</si>
  <si>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</si>
  <si>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</si>
  <si>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</si>
  <si>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</si>
  <si>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</si>
  <si>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</si>
  <si>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</si>
  <si>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</si>
  <si>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</si>
  <si>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</si>
  <si>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</si>
  <si>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</si>
  <si>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</si>
  <si>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</si>
  <si>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</si>
  <si>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</si>
  <si>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</si>
  <si>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</si>
  <si>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</si>
  <si>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</si>
  <si>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</si>
  <si>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</si>
  <si>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</si>
  <si>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</si>
  <si>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</si>
  <si>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</si>
  <si>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</si>
  <si>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</si>
  <si>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</si>
  <si>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</si>
  <si>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</si>
  <si>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</si>
  <si>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</si>
  <si>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</si>
  <si>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</si>
  <si>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</si>
  <si>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</si>
  <si>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</si>
  <si>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</si>
  <si>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</si>
  <si>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</si>
  <si>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</si>
  <si>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</si>
  <si>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</si>
  <si>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</si>
  <si>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</si>
  <si>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</si>
  <si>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</si>
  <si>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</si>
  <si>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</si>
  <si>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</si>
  <si>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</si>
  <si>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</si>
  <si>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</si>
  <si>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</si>
  <si>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</si>
  <si>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</si>
  <si>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</si>
  <si>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</si>
  <si>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</si>
  <si>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</si>
  <si>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</si>
  <si>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</si>
  <si>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</si>
  <si>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</si>
  <si>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</si>
  <si>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</si>
  <si>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</si>
  <si>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</si>
  <si>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</si>
  <si>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</si>
  <si>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</si>
  <si>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</si>
  <si>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</si>
  <si>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</si>
  <si>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</si>
  <si>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</si>
  <si>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</si>
  <si>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</si>
  <si>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</si>
  <si>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</si>
  <si>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</si>
  <si>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</si>
  <si>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</si>
  <si>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</si>
  <si>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</si>
  <si>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</si>
  <si>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</si>
  <si>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</si>
  <si>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</si>
  <si>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</si>
  <si>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</si>
  <si>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</si>
  <si>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</si>
  <si>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</si>
  <si>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</si>
  <si>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</si>
  <si>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</si>
  <si>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</si>
  <si>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</si>
  <si>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</si>
  <si>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</si>
  <si>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</si>
  <si>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</si>
  <si>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</si>
  <si>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</si>
  <si>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</si>
  <si>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</si>
  <si>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</si>
  <si>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</si>
  <si>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</si>
  <si>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</si>
  <si>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</si>
  <si>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</si>
  <si>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</si>
  <si>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</si>
  <si>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</si>
  <si>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</si>
  <si>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</si>
  <si>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</si>
  <si>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</si>
  <si>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</si>
  <si>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</si>
  <si>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</si>
  <si>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</si>
  <si>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</si>
  <si>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</si>
  <si>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</si>
  <si>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</si>
  <si>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</si>
  <si>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</si>
  <si>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</si>
  <si>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</si>
  <si>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</si>
  <si>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</si>
  <si>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</si>
  <si>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</si>
  <si>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</si>
  <si>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</si>
  <si>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</si>
  <si>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</si>
  <si>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</si>
  <si>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</si>
  <si>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</si>
  <si>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</si>
  <si>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</si>
  <si>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</si>
  <si>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</si>
  <si>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</si>
  <si>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</si>
  <si>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</si>
  <si>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</si>
  <si>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</si>
  <si>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</si>
  <si>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</si>
  <si>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</si>
  <si>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</si>
  <si>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</si>
  <si>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</si>
  <si>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</si>
  <si>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</si>
  <si>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</si>
  <si>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</si>
  <si>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</si>
  <si>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</si>
  <si>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</si>
  <si>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</si>
  <si>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</si>
  <si>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</si>
  <si>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</si>
  <si>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</si>
  <si>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</si>
  <si>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</si>
  <si>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</si>
  <si>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</si>
  <si>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</si>
  <si>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</si>
  <si>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</si>
  <si>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</si>
  <si>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</si>
  <si>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</si>
  <si>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</si>
  <si>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</si>
  <si>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</si>
  <si>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</si>
  <si>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</si>
  <si>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</si>
  <si>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</si>
  <si>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</si>
  <si>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</si>
  <si>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</si>
  <si>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</si>
  <si>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</si>
  <si>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</si>
  <si>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</si>
  <si>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</si>
  <si>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</si>
  <si>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</si>
  <si>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</si>
  <si>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</si>
  <si>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</si>
  <si>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</si>
  <si>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</si>
  <si>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</si>
  <si>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</si>
  <si>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</si>
  <si>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</si>
  <si>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</si>
  <si>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</si>
  <si>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</si>
  <si>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</si>
  <si>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</si>
  <si>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</si>
  <si>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</si>
  <si>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</si>
  <si>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</si>
  <si>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</si>
  <si>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</si>
  <si>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</si>
  <si>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</si>
  <si>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</si>
  <si>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</si>
  <si>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</si>
  <si>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</si>
  <si>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</si>
  <si>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</si>
  <si>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</si>
  <si>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</si>
  <si>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</si>
  <si>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</si>
  <si>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</si>
  <si>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</si>
  <si>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</si>
  <si>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</si>
  <si>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</si>
  <si>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</si>
  <si>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</si>
  <si>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</si>
  <si>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</si>
  <si>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</si>
  <si>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</si>
  <si>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</si>
  <si>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</si>
  <si>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</si>
  <si>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</si>
  <si>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</si>
  <si>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</si>
  <si>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</si>
  <si>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</si>
  <si>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</si>
  <si>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</si>
  <si>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</si>
  <si>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</si>
  <si>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</si>
  <si>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</si>
  <si>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</si>
  <si>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</si>
  <si>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</si>
  <si>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</si>
  <si>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</si>
  <si>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</si>
  <si>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</si>
  <si>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</si>
  <si>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</si>
  <si>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</si>
  <si>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</si>
  <si>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</si>
  <si>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</si>
  <si>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</si>
  <si>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</si>
  <si>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</si>
  <si>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</si>
  <si>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</si>
  <si>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</si>
  <si>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</si>
  <si>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</si>
  <si>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</si>
  <si>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</si>
  <si>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</si>
  <si>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</si>
  <si>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</si>
  <si>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</si>
  <si>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</si>
  <si>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</si>
  <si>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</si>
  <si>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</si>
  <si>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</si>
  <si>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</si>
  <si>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</si>
  <si>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</si>
  <si>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</si>
  <si>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</si>
  <si>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</si>
  <si>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</si>
  <si>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</si>
  <si>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</si>
  <si>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</si>
  <si>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</si>
  <si>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</si>
  <si>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</si>
  <si>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</si>
  <si>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</si>
  <si>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</si>
  <si>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</si>
  <si>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</si>
  <si>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</si>
  <si>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</si>
  <si>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</si>
  <si>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</si>
  <si>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</si>
  <si>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</si>
  <si>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</si>
  <si>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</si>
  <si>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</si>
  <si>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</si>
  <si>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</si>
  <si>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</si>
  <si>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</si>
  <si>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</si>
  <si>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</si>
  <si>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</si>
  <si>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</si>
  <si>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</si>
  <si>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</si>
  <si>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</si>
  <si>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</si>
  <si>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</si>
  <si>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</si>
  <si>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</si>
  <si>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</si>
  <si>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</si>
  <si>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</si>
  <si>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</si>
  <si>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</si>
  <si>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</si>
  <si>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</si>
  <si>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</si>
  <si>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</si>
  <si>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</si>
  <si>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</si>
  <si>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</si>
  <si>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</si>
  <si>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</si>
  <si>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</si>
  <si>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</si>
  <si>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</si>
  <si>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</si>
  <si>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</si>
  <si>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</si>
  <si>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</si>
  <si>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</si>
  <si>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</si>
  <si>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</si>
  <si>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</si>
  <si>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</si>
  <si>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</si>
  <si>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</si>
  <si>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</si>
  <si>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</si>
  <si>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</si>
  <si>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</si>
  <si>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</si>
  <si>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</si>
  <si>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</si>
  <si>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</si>
  <si>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</si>
  <si>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</si>
  <si>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</si>
  <si>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</si>
  <si>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</si>
  <si>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</si>
  <si>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</si>
  <si>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</si>
  <si>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</si>
  <si>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</si>
  <si>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</si>
  <si>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</si>
  <si>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</si>
  <si>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</si>
  <si>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</si>
  <si>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</si>
  <si>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</si>
  <si>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</si>
  <si>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</si>
  <si>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</si>
  <si>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</si>
  <si>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</si>
  <si>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</si>
  <si>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</si>
  <si>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</si>
  <si>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</si>
  <si>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</si>
  <si>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</si>
  <si>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</si>
  <si>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</si>
  <si>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</si>
  <si>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</si>
  <si>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</si>
  <si>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</si>
  <si>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</si>
  <si>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</si>
  <si>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</si>
  <si>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</si>
  <si>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</si>
  <si>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</si>
  <si>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</si>
  <si>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</si>
  <si>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</si>
  <si>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</si>
  <si>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</si>
  <si>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</si>
  <si>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</si>
  <si>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</si>
  <si>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</si>
  <si>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</si>
  <si>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</si>
  <si>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</si>
  <si>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</si>
  <si>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</si>
  <si>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</si>
  <si>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</si>
  <si>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</si>
  <si>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</si>
  <si>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</si>
  <si>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</si>
  <si>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</si>
  <si>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</si>
  <si>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</si>
  <si>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</si>
  <si>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</si>
  <si>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</si>
  <si>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</si>
  <si>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</si>
  <si>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</si>
  <si>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</si>
  <si>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</si>
  <si>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</si>
  <si>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</si>
  <si>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</si>
  <si>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</si>
  <si>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</si>
  <si>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</si>
  <si>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</si>
  <si>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</si>
  <si>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</si>
  <si>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</si>
  <si>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</si>
  <si>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</si>
  <si>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</si>
  <si>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</si>
  <si>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</si>
  <si>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</si>
  <si>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</si>
  <si>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</si>
  <si>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</si>
  <si>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</si>
  <si>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</si>
  <si>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</si>
  <si>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</si>
  <si>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</si>
  <si>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</si>
  <si>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</si>
  <si>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</si>
  <si>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</si>
  <si>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</si>
  <si>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</si>
  <si>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</si>
  <si>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</si>
  <si>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</si>
  <si>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</si>
  <si>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</si>
  <si>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</si>
  <si>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</si>
  <si>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</si>
  <si>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</si>
  <si>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</si>
  <si>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</si>
  <si>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</si>
  <si>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</si>
  <si>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</si>
  <si>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</si>
  <si>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</si>
  <si>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</si>
  <si>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</si>
  <si>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</si>
  <si>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</si>
  <si>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</si>
  <si>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</si>
  <si>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</si>
  <si>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</si>
  <si>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</si>
  <si>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</si>
  <si>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</si>
  <si>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</si>
  <si>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</si>
  <si>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</si>
  <si>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</si>
  <si>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</si>
  <si>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</si>
  <si>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</si>
  <si>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</si>
  <si>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</si>
  <si>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</si>
  <si>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</si>
  <si>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</si>
  <si>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</si>
  <si>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</si>
  <si>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</si>
  <si>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</si>
  <si>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</si>
  <si>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</si>
  <si>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</si>
  <si>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</si>
  <si>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</si>
  <si>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</si>
  <si>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</si>
  <si>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</si>
  <si>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</si>
  <si>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</si>
  <si>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</si>
  <si>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</si>
  <si>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</si>
  <si>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</si>
  <si>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</si>
  <si>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</si>
  <si>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</si>
  <si>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</si>
  <si>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</si>
  <si>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</si>
  <si>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</si>
  <si>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</si>
  <si>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</si>
  <si>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</si>
  <si>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</si>
  <si>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</si>
  <si>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</si>
  <si>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</si>
  <si>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</si>
  <si>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</si>
  <si>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</si>
  <si>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</si>
  <si>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</si>
  <si>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</si>
  <si>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</si>
  <si>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</si>
  <si>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</si>
  <si>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</si>
  <si>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</si>
  <si>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</si>
  <si>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</si>
  <si>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</si>
  <si>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</si>
  <si>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</si>
  <si>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</si>
  <si>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</si>
  <si>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</si>
  <si>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</si>
  <si>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</si>
  <si>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</si>
  <si>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</si>
  <si>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</si>
  <si>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</si>
  <si>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</si>
  <si>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</si>
  <si>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</si>
  <si>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</si>
  <si>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</si>
  <si>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</si>
  <si>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</si>
  <si>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</si>
  <si>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</si>
  <si>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</si>
  <si>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</si>
  <si>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</si>
  <si>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</si>
  <si>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</si>
  <si>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</si>
  <si>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</si>
  <si>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</si>
  <si>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</si>
  <si>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</si>
  <si>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</si>
  <si>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</si>
  <si>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</si>
  <si>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</si>
  <si>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</si>
  <si>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</si>
  <si>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</si>
  <si>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</si>
  <si>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</si>
  <si>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</si>
  <si>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</si>
  <si>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</si>
  <si>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</si>
  <si>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</si>
  <si>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</si>
  <si>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</si>
  <si>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</si>
  <si>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</si>
  <si>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</si>
  <si>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</si>
  <si>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</si>
  <si>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</si>
  <si>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</si>
  <si>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</si>
  <si>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</si>
  <si>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</si>
  <si>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</si>
  <si>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</si>
  <si>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</si>
  <si>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</si>
  <si>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</si>
  <si>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</si>
  <si>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</si>
  <si>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</si>
  <si>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</si>
  <si>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</si>
  <si>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</si>
  <si>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</si>
  <si>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</si>
  <si>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</si>
  <si>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</si>
  <si>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</si>
  <si>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</si>
  <si>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</si>
  <si>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</si>
  <si>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</si>
  <si>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</si>
  <si>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</si>
  <si>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</si>
  <si>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</si>
  <si>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</si>
  <si>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</si>
  <si>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</si>
  <si>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</si>
  <si>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</si>
  <si>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</si>
  <si>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</si>
  <si>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</si>
  <si>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</si>
  <si>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</si>
  <si>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</si>
  <si>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</si>
  <si>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</si>
  <si>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</si>
  <si>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</si>
  <si>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</si>
  <si>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</si>
  <si>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</si>
  <si>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</si>
  <si>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</si>
  <si>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</si>
  <si>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</si>
  <si>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</si>
  <si>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</si>
  <si>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</si>
  <si>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</si>
  <si>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</si>
  <si>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</si>
  <si>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</si>
  <si>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</si>
  <si>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</si>
  <si>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</si>
  <si>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</si>
  <si>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</si>
  <si>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</si>
  <si>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</si>
  <si>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</si>
  <si>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</si>
  <si>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</si>
  <si>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</si>
  <si>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</si>
  <si>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</si>
  <si>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</si>
  <si>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</si>
  <si>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</si>
  <si>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</si>
  <si>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</si>
  <si>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</si>
  <si>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</si>
  <si>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</si>
  <si>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</si>
  <si>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</si>
  <si>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</si>
  <si>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</si>
  <si>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</si>
  <si>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</si>
  <si>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</si>
  <si>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</si>
  <si>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</si>
  <si>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</si>
  <si>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</si>
  <si>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</si>
  <si>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</si>
  <si>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</si>
  <si>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</si>
  <si>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</si>
  <si>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</si>
  <si>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</si>
  <si>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</si>
  <si>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</si>
  <si>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</si>
  <si>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</si>
  <si>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</si>
  <si>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</si>
  <si>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</si>
  <si>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</si>
  <si>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</si>
  <si>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</si>
  <si>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</si>
  <si>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</si>
  <si>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</si>
  <si>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</si>
  <si>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</si>
  <si>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</si>
  <si>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</si>
  <si>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</si>
  <si>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</si>
  <si>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</si>
  <si>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</si>
  <si>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</si>
  <si>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</si>
  <si>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</si>
  <si>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</si>
  <si>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</si>
  <si>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</si>
  <si>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</si>
  <si>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</si>
  <si>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</si>
  <si>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</si>
  <si>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</si>
  <si>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</si>
  <si>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</si>
  <si>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</si>
  <si>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</si>
  <si>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</si>
  <si>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</si>
  <si>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</si>
  <si>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</si>
  <si>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</si>
  <si>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</si>
  <si>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</si>
  <si>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</si>
  <si>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</si>
  <si>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</si>
  <si>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</si>
  <si>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</si>
  <si>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</si>
  <si>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</si>
  <si>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</si>
  <si>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</si>
  <si>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</si>
  <si>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</si>
  <si>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</si>
  <si>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</si>
  <si>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</si>
  <si>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</si>
  <si>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</si>
  <si>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</si>
  <si>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</si>
  <si>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</si>
  <si>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</si>
  <si>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</si>
  <si>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</si>
  <si>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</si>
  <si>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</si>
  <si>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</si>
  <si>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</si>
  <si>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</si>
  <si>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</si>
  <si>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</si>
  <si>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</si>
  <si>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</si>
  <si>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</si>
  <si>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</si>
  <si>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</si>
  <si>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</si>
  <si>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</si>
  <si>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</si>
  <si>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</si>
  <si>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</si>
  <si>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</si>
  <si>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</si>
  <si>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</si>
  <si>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</si>
  <si>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</si>
  <si>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</si>
  <si>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</si>
  <si>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</si>
  <si>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</si>
  <si>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</si>
  <si>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</si>
  <si>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</si>
  <si>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</si>
  <si>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</si>
  <si>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</si>
  <si>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</si>
  <si>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</si>
  <si>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</si>
  <si>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</si>
  <si>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</si>
  <si>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</si>
  <si>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</si>
  <si>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</si>
  <si>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</si>
  <si>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</si>
  <si>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</si>
  <si>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</si>
  <si>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</si>
  <si>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</si>
  <si>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</si>
  <si>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</si>
  <si>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</si>
  <si>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</si>
  <si>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</si>
  <si>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</si>
  <si>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</si>
  <si>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</si>
  <si>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</si>
  <si>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</si>
  <si>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</si>
  <si>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</si>
  <si>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</si>
  <si>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</si>
  <si>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</si>
  <si>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</si>
  <si>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</si>
  <si>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</si>
  <si>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</si>
  <si>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</si>
  <si>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</si>
  <si>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</si>
  <si>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</si>
  <si>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</si>
  <si>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</si>
  <si>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</si>
  <si>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</si>
  <si>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</si>
  <si>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</si>
  <si>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</si>
  <si>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</si>
  <si>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</si>
  <si>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</si>
  <si>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</si>
  <si>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</si>
  <si>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</si>
  <si>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</si>
  <si>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</si>
  <si>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</si>
  <si>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</si>
  <si>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</si>
  <si>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</si>
  <si>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</si>
  <si>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</si>
  <si>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</si>
  <si>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</si>
  <si>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</si>
  <si>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</si>
  <si>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</si>
  <si>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</si>
  <si>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</si>
  <si>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</si>
  <si>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</si>
  <si>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</si>
  <si>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</si>
  <si>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</si>
  <si>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</si>
  <si>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</si>
  <si>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</si>
  <si>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</si>
  <si>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</si>
  <si>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</si>
  <si>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</si>
  <si>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</si>
  <si>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</si>
  <si>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</si>
  <si>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</si>
  <si>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</si>
  <si>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</si>
  <si>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</si>
  <si>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</si>
  <si>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</si>
  <si>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</si>
  <si>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</si>
  <si>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</si>
  <si>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</si>
  <si>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</si>
  <si>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</si>
  <si>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</si>
  <si>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</si>
  <si>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</si>
  <si>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</si>
  <si>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</si>
  <si>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</si>
  <si>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</si>
  <si>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</si>
  <si>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</si>
  <si>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</si>
  <si>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</si>
  <si>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</si>
  <si>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</si>
  <si>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</si>
  <si>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</si>
  <si>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</si>
  <si>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</si>
  <si>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</si>
  <si>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</si>
  <si>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</si>
  <si>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</si>
  <si>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</si>
  <si>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</si>
  <si>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</si>
  <si>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</si>
  <si>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</si>
  <si>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</si>
  <si>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</si>
  <si>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</si>
  <si>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</si>
  <si>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</si>
  <si>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</si>
  <si>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</si>
  <si>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</si>
  <si>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</si>
  <si>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</si>
  <si>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</si>
  <si>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</si>
  <si>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</si>
  <si>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</si>
  <si>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</si>
  <si>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</si>
  <si>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</si>
  <si>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</si>
  <si>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</si>
  <si>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</si>
  <si>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</si>
  <si>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</si>
  <si>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</si>
  <si>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</si>
  <si>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</si>
  <si>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</si>
  <si>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</si>
  <si>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</si>
  <si>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</si>
  <si>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</si>
  <si>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</si>
  <si>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</si>
  <si>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</si>
  <si>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</si>
  <si>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</si>
  <si>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</si>
  <si>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</si>
  <si>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</si>
  <si>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</si>
  <si>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</si>
  <si>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</si>
  <si>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</si>
  <si>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</si>
  <si>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</si>
  <si>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</si>
  <si>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</si>
  <si>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</si>
  <si>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</si>
  <si>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</si>
  <si>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</si>
  <si>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</si>
  <si>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</si>
  <si>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</si>
  <si>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</si>
  <si>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</si>
  <si>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</si>
  <si>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</si>
  <si>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</si>
  <si>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</si>
  <si>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</si>
  <si>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</si>
  <si>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</si>
  <si>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</si>
  <si>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</si>
  <si>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</si>
  <si>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</si>
  <si>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</si>
  <si>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</si>
  <si>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</si>
  <si>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</si>
  <si>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</si>
  <si>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</si>
  <si>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</si>
  <si>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</si>
  <si>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</si>
  <si>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</si>
  <si>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</si>
  <si>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</si>
  <si>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</si>
  <si>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</si>
  <si>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</si>
  <si>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</si>
  <si>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</si>
  <si>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</si>
  <si>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</si>
  <si>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</si>
  <si>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</si>
  <si>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</si>
  <si>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</si>
  <si>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</si>
  <si>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</si>
  <si>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</si>
  <si>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</si>
  <si>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</si>
  <si>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</si>
  <si>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</si>
  <si>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</si>
  <si>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</si>
  <si>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</si>
  <si>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</si>
  <si>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</si>
  <si>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</si>
  <si>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</si>
  <si>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</si>
  <si>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</si>
  <si>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</si>
  <si>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</si>
  <si>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</si>
  <si>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</si>
  <si>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</si>
  <si>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</si>
  <si>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</si>
  <si>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</si>
  <si>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</si>
  <si>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</si>
  <si>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</si>
  <si>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</si>
  <si>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</si>
  <si>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</si>
  <si>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</si>
  <si>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</si>
  <si>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</si>
  <si>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</si>
  <si>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</si>
  <si>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</si>
  <si>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</si>
  <si>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</si>
  <si>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</si>
  <si>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</si>
  <si>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</si>
  <si>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</si>
  <si>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</si>
  <si>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</si>
  <si>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</si>
  <si>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</si>
  <si>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</si>
  <si>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</si>
  <si>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</si>
  <si>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</si>
  <si>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</si>
  <si>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</si>
  <si>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</si>
  <si>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</si>
  <si>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</si>
  <si>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</si>
  <si>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</si>
  <si>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</si>
  <si>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</si>
  <si>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</si>
  <si>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</si>
  <si>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</si>
  <si>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</si>
  <si>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</si>
  <si>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</si>
  <si>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</si>
  <si>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</si>
  <si>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</si>
  <si>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</si>
  <si>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</si>
  <si>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</si>
  <si>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</si>
  <si>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</si>
  <si>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</si>
  <si>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</si>
  <si>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</si>
  <si>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</si>
  <si>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</si>
  <si>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</si>
  <si>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</si>
  <si>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</si>
  <si>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</si>
  <si>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</si>
  <si>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</si>
  <si>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</si>
  <si>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</si>
  <si>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</si>
  <si>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</si>
  <si>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</si>
  <si>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</si>
  <si>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</si>
  <si>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</si>
  <si>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</si>
  <si>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</si>
  <si>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</si>
  <si>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</si>
  <si>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</si>
  <si>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</si>
  <si>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</si>
  <si>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</si>
  <si>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</si>
  <si>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</si>
  <si>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</si>
  <si>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</si>
  <si>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</si>
  <si>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</si>
  <si>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</si>
  <si>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</si>
  <si>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</si>
  <si>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</si>
  <si>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</si>
  <si>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</si>
  <si>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</si>
  <si>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</si>
  <si>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</si>
  <si>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</si>
  <si>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</si>
  <si>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</si>
  <si>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</si>
  <si>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</si>
  <si>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</si>
  <si>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</si>
  <si>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</si>
  <si>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</si>
  <si>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</si>
  <si>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</si>
  <si>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</si>
  <si>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</si>
  <si>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</si>
  <si>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</si>
  <si>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</si>
  <si>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</si>
  <si>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</si>
  <si>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</si>
  <si>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</si>
  <si>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</si>
  <si>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</si>
  <si>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</si>
  <si>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</si>
  <si>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</si>
  <si>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</si>
  <si>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</si>
  <si>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</si>
  <si>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</si>
  <si>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</si>
  <si>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</si>
  <si>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</si>
  <si>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</si>
  <si>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</si>
  <si>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</si>
  <si>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</si>
  <si>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</si>
  <si>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</si>
  <si>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</si>
  <si>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</si>
  <si>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</si>
  <si>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</si>
  <si>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</si>
  <si>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</si>
  <si>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</si>
  <si>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</si>
  <si>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</si>
  <si>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</si>
  <si>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</si>
  <si>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</si>
  <si>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</si>
  <si>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</si>
  <si>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</si>
  <si>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</si>
  <si>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</si>
  <si>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</si>
  <si>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</si>
  <si>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</si>
  <si>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</si>
  <si>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</si>
  <si>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</si>
  <si>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</si>
  <si>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</si>
  <si>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</si>
  <si>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</si>
  <si>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</si>
  <si>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</si>
  <si>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</si>
  <si>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</si>
  <si>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</si>
  <si>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</si>
  <si>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</si>
  <si>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</si>
  <si>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</si>
  <si>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</si>
  <si>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</si>
  <si>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</si>
  <si>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</si>
  <si>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</si>
  <si>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</si>
  <si>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</si>
  <si>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</si>
  <si>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</si>
  <si>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</si>
  <si>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</si>
  <si>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</si>
  <si>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</si>
  <si>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</si>
  <si>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</si>
  <si>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</si>
  <si>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</si>
  <si>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</si>
  <si>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</si>
  <si>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</si>
  <si>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</si>
  <si>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</si>
  <si>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</si>
  <si>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</si>
  <si>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</si>
  <si>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</si>
  <si>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</si>
  <si>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</si>
  <si>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</si>
  <si>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</si>
  <si>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</si>
  <si>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</si>
  <si>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</si>
  <si>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</si>
  <si>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</si>
  <si>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</si>
  <si>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</si>
  <si>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</si>
  <si>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</si>
  <si>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</si>
  <si>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</si>
  <si>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</si>
  <si>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</si>
  <si>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</si>
  <si>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</si>
  <si>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</si>
  <si>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</si>
  <si>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</si>
  <si>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</si>
  <si>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</si>
  <si>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</si>
  <si>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</si>
  <si>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</si>
  <si>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</si>
  <si>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</si>
  <si>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</si>
  <si>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</si>
  <si>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</si>
  <si>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</si>
  <si>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</si>
  <si>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</si>
  <si>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</si>
  <si>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</si>
  <si>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</si>
  <si>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</si>
  <si>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</si>
  <si>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</si>
  <si>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</si>
  <si>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</si>
  <si>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</si>
  <si>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</si>
  <si>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</si>
  <si>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</si>
  <si>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</si>
  <si>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</si>
  <si>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</si>
  <si>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</si>
  <si>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</si>
  <si>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</si>
  <si>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</si>
  <si>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</si>
  <si>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</si>
  <si>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</si>
  <si>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</si>
  <si>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</si>
  <si>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</si>
  <si>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</si>
  <si>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</si>
  <si>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</si>
  <si>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</si>
  <si>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</si>
  <si>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</si>
  <si>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</si>
  <si>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</si>
  <si>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</si>
  <si>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</si>
  <si>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</si>
  <si>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</si>
  <si>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</si>
  <si>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</si>
  <si>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</si>
  <si>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</si>
  <si>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</si>
  <si>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</si>
  <si>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</si>
  <si>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</si>
  <si>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</si>
  <si>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</si>
  <si>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</si>
  <si>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</si>
  <si>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</si>
  <si>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</si>
  <si>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</si>
  <si>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</si>
  <si>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</si>
  <si>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</si>
  <si>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</si>
  <si>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</si>
  <si>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</si>
  <si>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</si>
  <si>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</si>
  <si>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</si>
  <si>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</si>
  <si>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</si>
  <si>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</si>
  <si>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</si>
  <si>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</si>
  <si>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</si>
  <si>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</si>
  <si>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</si>
  <si>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</si>
  <si>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</si>
  <si>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</si>
  <si>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</si>
  <si>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</si>
  <si>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</si>
  <si>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</si>
  <si>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</si>
  <si>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</si>
  <si>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</si>
  <si>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</si>
  <si>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</si>
  <si>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</si>
  <si>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</si>
  <si>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</si>
  <si>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</si>
  <si>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</si>
  <si>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</si>
  <si>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</si>
  <si>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</si>
  <si>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</si>
  <si>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</si>
  <si>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</si>
  <si>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</si>
  <si>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</si>
  <si>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</si>
  <si>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</si>
  <si>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</si>
  <si>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</si>
  <si>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</si>
  <si>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</si>
  <si>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</si>
  <si>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</si>
  <si>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</si>
  <si>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</si>
  <si>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</si>
  <si>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</si>
  <si>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</si>
  <si>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</si>
  <si>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</si>
  <si>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</si>
  <si>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</si>
  <si>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</si>
  <si>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</si>
  <si>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</si>
  <si>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</si>
  <si>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</si>
  <si>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</si>
  <si>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</si>
  <si>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</si>
  <si>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</si>
  <si>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</si>
  <si>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</si>
  <si>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</si>
  <si>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</si>
  <si>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</si>
  <si>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</si>
  <si>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</si>
  <si>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</si>
  <si>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</si>
  <si>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</si>
  <si>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</si>
  <si>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</si>
  <si>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</si>
  <si>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</si>
  <si>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</si>
  <si>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</si>
  <si>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</si>
  <si>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</si>
  <si>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</si>
  <si>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</si>
  <si>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</si>
  <si>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</si>
  <si>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</si>
  <si>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</si>
  <si>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</si>
  <si>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</si>
  <si>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</si>
  <si>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</si>
  <si>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</si>
  <si>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</si>
  <si>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</si>
  <si>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</si>
  <si>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</si>
  <si>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</si>
  <si>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</si>
  <si>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</si>
  <si>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</si>
  <si>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</si>
  <si>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</si>
  <si>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</si>
  <si>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</si>
  <si>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</si>
  <si>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</si>
  <si>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</si>
  <si>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</si>
  <si>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</si>
  <si>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</si>
  <si>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</si>
  <si>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</si>
  <si>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</si>
  <si>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</si>
  <si>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</si>
  <si>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</si>
  <si>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</si>
  <si>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</si>
  <si>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</si>
  <si>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</si>
  <si>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</si>
  <si>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</si>
  <si>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</si>
  <si>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</si>
  <si>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</si>
  <si>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</si>
  <si>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</si>
  <si>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</si>
  <si>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</si>
  <si>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</si>
  <si>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</si>
  <si>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</si>
  <si>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</si>
  <si>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</si>
  <si>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</si>
  <si>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</si>
  <si>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</si>
  <si>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</si>
  <si>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</si>
  <si>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</si>
  <si>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</si>
  <si>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</si>
  <si>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</si>
  <si>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</si>
  <si>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</si>
  <si>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</si>
  <si>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</si>
  <si>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</si>
  <si>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</si>
  <si>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</si>
  <si>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</si>
  <si>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</si>
  <si>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</si>
  <si>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</si>
  <si>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</si>
  <si>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</si>
  <si>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</si>
  <si>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</si>
  <si>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</si>
  <si>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</si>
  <si>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</si>
  <si>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</si>
  <si>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</si>
  <si>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</si>
  <si>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</si>
  <si>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</si>
  <si>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</si>
  <si>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</si>
  <si>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</si>
  <si>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</si>
  <si>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</si>
  <si>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</si>
  <si>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</si>
  <si>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</si>
  <si>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</si>
  <si>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</si>
  <si>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</si>
  <si>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</si>
  <si>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</si>
  <si>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</si>
  <si>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</si>
  <si>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</si>
  <si>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</si>
  <si>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</si>
  <si>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</si>
  <si>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</si>
  <si>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</si>
  <si>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</si>
  <si>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</si>
  <si>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</si>
  <si>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</si>
  <si>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</si>
  <si>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</si>
  <si>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</si>
  <si>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</si>
  <si>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</si>
  <si>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</si>
  <si>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</si>
  <si>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</si>
  <si>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</si>
  <si>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</si>
  <si>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</si>
  <si>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</si>
  <si>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</si>
  <si>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</si>
  <si>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</si>
  <si>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</si>
  <si>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</si>
  <si>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</si>
  <si>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</si>
  <si>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</si>
  <si>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</si>
  <si>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</si>
  <si>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</si>
  <si>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</si>
  <si>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</si>
  <si>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</si>
  <si>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</si>
  <si>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</si>
  <si>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</si>
  <si>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</si>
  <si>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</si>
  <si>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</si>
  <si>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</si>
  <si>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</si>
  <si>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</si>
  <si>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</si>
  <si>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</si>
  <si>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</si>
  <si>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</si>
  <si>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</si>
  <si>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</si>
  <si>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</si>
  <si>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</si>
  <si>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</si>
  <si>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</si>
  <si>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</si>
  <si>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</si>
  <si>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</si>
  <si>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</si>
  <si>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</si>
  <si>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</si>
  <si>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</si>
  <si>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</si>
  <si>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</si>
  <si>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</si>
  <si>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</si>
  <si>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</si>
  <si>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</si>
  <si>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</si>
  <si>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</si>
  <si>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</si>
  <si>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</si>
  <si>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</si>
  <si>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</si>
  <si>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</si>
  <si>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</si>
  <si>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</si>
  <si>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</si>
  <si>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</si>
  <si>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</si>
  <si>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</si>
  <si>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</si>
  <si>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</si>
  <si>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</si>
  <si>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</si>
  <si>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</si>
  <si>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</si>
  <si>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</si>
  <si>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</si>
  <si>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</si>
  <si>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</si>
  <si>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</si>
  <si>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</si>
  <si>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</si>
  <si>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</si>
  <si>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</si>
  <si>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</si>
  <si>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</si>
  <si>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</si>
  <si>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</si>
  <si>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</si>
  <si>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</si>
  <si>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</si>
  <si>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</si>
  <si>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</si>
  <si>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</si>
  <si>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</si>
  <si>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</si>
  <si>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</si>
  <si>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</si>
  <si>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</si>
  <si>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</si>
  <si>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</si>
  <si>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</si>
  <si>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</si>
  <si>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</si>
  <si>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</si>
  <si>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</si>
  <si>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</si>
  <si>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</si>
  <si>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</si>
  <si>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</si>
  <si>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</si>
  <si>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</si>
  <si>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</si>
  <si>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</si>
  <si>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</si>
  <si>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</si>
  <si>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</si>
  <si>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</si>
  <si>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</si>
  <si>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</si>
  <si>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</si>
  <si>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</si>
  <si>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</si>
  <si>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</si>
  <si>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</si>
  <si>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</si>
  <si>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</si>
  <si>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</si>
  <si>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</si>
  <si>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</si>
  <si>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</si>
  <si>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</si>
  <si>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</si>
  <si>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</si>
  <si>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</si>
  <si>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</si>
  <si>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</si>
  <si>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</si>
  <si>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</si>
  <si>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</si>
  <si>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</si>
  <si>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</si>
  <si>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</si>
  <si>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</si>
  <si>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</si>
  <si>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</si>
  <si>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</si>
  <si>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</si>
  <si>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</si>
  <si>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</si>
  <si>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</si>
  <si>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</si>
  <si>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</si>
  <si>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</si>
  <si>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</si>
  <si>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</si>
  <si>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</si>
  <si>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</si>
  <si>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</si>
  <si>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</si>
  <si>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</si>
  <si>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</si>
  <si>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</si>
  <si>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</si>
  <si>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</si>
  <si>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</si>
  <si>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</si>
  <si>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</si>
  <si>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</si>
  <si>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</si>
  <si>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</si>
  <si>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</si>
  <si>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</si>
  <si>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</si>
  <si>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</si>
  <si>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</si>
  <si>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</si>
  <si>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</si>
  <si>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</si>
  <si>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</si>
  <si>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</si>
  <si>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</si>
  <si>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</si>
  <si>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</si>
  <si>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</si>
  <si>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</si>
  <si>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</si>
  <si>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</si>
  <si>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</si>
  <si>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</si>
  <si>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</si>
  <si>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</si>
  <si>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</si>
  <si>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</si>
  <si>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</si>
  <si>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</si>
  <si>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</si>
  <si>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</si>
  <si>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</si>
  <si>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</si>
  <si>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</si>
  <si>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</si>
  <si>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</si>
  <si>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</si>
  <si>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</si>
  <si>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</si>
  <si>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</si>
  <si>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</si>
  <si>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</si>
  <si>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</si>
  <si>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</si>
  <si>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</si>
  <si>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</si>
  <si>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</si>
  <si>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</si>
  <si>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</si>
  <si>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</si>
  <si>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</si>
  <si>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</si>
  <si>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</si>
  <si>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</si>
  <si>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</si>
  <si>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</si>
  <si>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</si>
  <si>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</si>
  <si>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</si>
  <si>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</si>
  <si>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</si>
  <si>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</si>
  <si>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</si>
  <si>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</si>
  <si>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</si>
  <si>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</si>
  <si>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</si>
  <si>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</si>
  <si>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</si>
  <si>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</si>
  <si>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</si>
  <si>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</si>
  <si>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</si>
  <si>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</si>
  <si>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</si>
  <si>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</si>
  <si>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</si>
  <si>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</si>
  <si>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</si>
  <si>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</si>
  <si>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</si>
  <si>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</si>
  <si>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</si>
  <si>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</si>
  <si>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</si>
  <si>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</si>
  <si>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</si>
  <si>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</si>
  <si>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</si>
  <si>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</si>
  <si>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</si>
  <si>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</si>
  <si>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</si>
  <si>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</si>
  <si>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</si>
  <si>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</si>
  <si>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</si>
  <si>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</si>
  <si>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</si>
  <si>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</si>
  <si>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</si>
  <si>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</si>
  <si>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</si>
  <si>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</si>
  <si>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</si>
  <si>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</si>
  <si>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</si>
  <si>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</si>
  <si>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</si>
  <si>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</si>
  <si>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</si>
  <si>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</si>
  <si>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</si>
  <si>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</si>
  <si>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</si>
  <si>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</si>
  <si>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</si>
  <si>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</si>
  <si>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</si>
  <si>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</si>
  <si>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</si>
  <si>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</si>
  <si>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</si>
  <si>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</si>
  <si>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</si>
  <si>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</si>
  <si>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</si>
  <si>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</si>
  <si>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</si>
  <si>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</si>
  <si>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</si>
  <si>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</si>
  <si>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</si>
  <si>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</si>
  <si>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</si>
  <si>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</si>
  <si>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</si>
  <si>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</si>
  <si>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</si>
  <si>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</si>
  <si>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</si>
  <si>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</si>
  <si>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</si>
  <si>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</si>
  <si>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</si>
  <si>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</si>
  <si>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</si>
  <si>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</si>
  <si>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</si>
  <si>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</si>
  <si>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</si>
  <si>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</si>
  <si>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</si>
  <si>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</si>
  <si>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</si>
  <si>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</si>
  <si>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</si>
  <si>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</si>
  <si>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</si>
  <si>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</si>
  <si>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</si>
  <si>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</si>
  <si>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</si>
  <si>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</si>
  <si>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</si>
  <si>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</si>
  <si>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</si>
  <si>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</si>
  <si>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</si>
  <si>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</si>
  <si>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</si>
  <si>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</si>
  <si>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</si>
  <si>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</si>
  <si>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</si>
  <si>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</si>
  <si>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</si>
  <si>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</si>
  <si>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</si>
  <si>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</si>
  <si>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</si>
  <si>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</si>
  <si>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</si>
  <si>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</si>
  <si>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</si>
  <si>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</si>
  <si>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</si>
  <si>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</si>
  <si>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</si>
  <si>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</si>
  <si>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</si>
  <si>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</si>
  <si>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</si>
  <si>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</si>
  <si>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</si>
  <si>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</si>
  <si>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</si>
  <si>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</si>
  <si>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</si>
  <si>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</si>
  <si>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</si>
  <si>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</si>
  <si>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</si>
  <si>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</si>
  <si>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</si>
  <si>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</si>
  <si>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</si>
  <si>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</si>
  <si>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</si>
  <si>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</si>
  <si>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</si>
  <si>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</si>
  <si>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</si>
  <si>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</si>
  <si>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</si>
  <si>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</si>
  <si>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</si>
  <si>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</si>
  <si>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</si>
  <si>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</si>
  <si>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</si>
  <si>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</si>
  <si>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</si>
  <si>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</si>
  <si>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</si>
  <si>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</si>
  <si>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</si>
  <si>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</si>
  <si>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</si>
  <si>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</si>
  <si>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</si>
  <si>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</si>
  <si>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</si>
  <si>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</si>
  <si>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</si>
  <si>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</si>
  <si>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</si>
  <si>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</si>
  <si>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</si>
  <si>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</si>
  <si>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</si>
  <si>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</si>
  <si>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</si>
  <si>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</si>
  <si>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</si>
  <si>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</si>
  <si>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</si>
  <si>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</si>
  <si>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</si>
  <si>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</si>
  <si>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</si>
  <si>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</si>
  <si>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</si>
  <si>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</si>
  <si>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</si>
  <si>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</si>
  <si>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</si>
  <si>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</si>
  <si>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</si>
  <si>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</si>
  <si>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</si>
  <si>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</si>
  <si>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</si>
  <si>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</si>
  <si>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</si>
  <si>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</si>
  <si>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</si>
  <si>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</si>
  <si>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</si>
  <si>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</si>
  <si>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</si>
  <si>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</si>
  <si>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</si>
  <si>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</si>
  <si>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</si>
  <si>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</si>
  <si>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</si>
  <si>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</si>
  <si>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</si>
  <si>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</si>
  <si>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</si>
  <si>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</si>
  <si>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</si>
  <si>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</si>
  <si>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</si>
  <si>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</si>
  <si>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</si>
  <si>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</si>
  <si>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</si>
  <si>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</si>
  <si>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</si>
  <si>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</si>
  <si>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</si>
  <si>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</si>
  <si>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</si>
  <si>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</si>
  <si>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</si>
  <si>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</si>
  <si>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</si>
  <si>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</si>
  <si>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</si>
  <si>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</si>
  <si>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</si>
  <si>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</si>
  <si>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</si>
  <si>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</si>
  <si>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</si>
  <si>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</si>
  <si>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</si>
  <si>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</si>
  <si>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</si>
  <si>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</si>
  <si>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</si>
  <si>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</si>
  <si>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</si>
  <si>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</si>
  <si>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</si>
  <si>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</si>
  <si>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</si>
  <si>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</si>
  <si>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</si>
  <si>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</si>
  <si>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</si>
  <si>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</si>
  <si>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</si>
  <si>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</si>
  <si>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</si>
  <si>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</si>
  <si>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</si>
  <si>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</si>
  <si>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</si>
  <si>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</si>
  <si>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</si>
  <si>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</si>
  <si>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</si>
  <si>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</si>
  <si>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</si>
  <si>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</si>
  <si>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</si>
  <si>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</si>
  <si>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</si>
  <si>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</si>
  <si>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</si>
  <si>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</si>
  <si>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</si>
  <si>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</si>
  <si>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</si>
  <si>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</si>
  <si>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</si>
  <si>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</si>
  <si>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</si>
  <si>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</si>
  <si>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</si>
  <si>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</si>
  <si>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</si>
  <si>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</si>
  <si>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</si>
  <si>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</si>
  <si>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</si>
  <si>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</si>
  <si>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</si>
  <si>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</si>
  <si>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</si>
  <si>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</si>
  <si>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</si>
  <si>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</si>
  <si>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</si>
  <si>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</si>
  <si>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</si>
  <si>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</si>
  <si>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</si>
  <si>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</si>
  <si>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</si>
  <si>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</si>
  <si>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</si>
  <si>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</si>
  <si>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</si>
  <si>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</si>
  <si>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</si>
  <si>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</si>
  <si>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</si>
  <si>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</si>
  <si>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</si>
  <si>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</si>
  <si>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</si>
  <si>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</si>
  <si>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</si>
  <si>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</si>
  <si>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</si>
  <si>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</si>
  <si>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</si>
  <si>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</si>
  <si>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</si>
  <si>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</si>
  <si>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</si>
  <si>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</si>
  <si>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</si>
  <si>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</si>
  <si>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</si>
  <si>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</si>
  <si>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</si>
  <si>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</si>
  <si>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</si>
  <si>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</si>
  <si>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</si>
  <si>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</si>
  <si>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</si>
  <si>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</si>
  <si>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</si>
  <si>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</si>
  <si>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</si>
  <si>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</si>
  <si>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</si>
  <si>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</si>
  <si>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</si>
  <si>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</si>
  <si>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</si>
  <si>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</si>
  <si>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</si>
  <si>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</si>
  <si>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</si>
  <si>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</si>
  <si>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</si>
  <si>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</si>
  <si>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</si>
  <si>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</si>
  <si>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</si>
  <si>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</si>
  <si>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</si>
  <si>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</si>
  <si>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</si>
  <si>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</si>
  <si>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</si>
  <si>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</si>
  <si>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</si>
  <si>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</si>
  <si>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</si>
  <si>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</si>
  <si>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</si>
  <si>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</si>
  <si>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</si>
  <si>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</si>
  <si>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</si>
  <si>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</si>
  <si>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</si>
  <si>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</si>
  <si>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</si>
  <si>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</si>
  <si>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</si>
  <si>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</si>
  <si>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</si>
  <si>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</si>
  <si>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</si>
  <si>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</si>
  <si>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</si>
  <si>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</si>
  <si>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</si>
  <si>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</si>
  <si>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</si>
  <si>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</si>
  <si>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</si>
  <si>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</si>
  <si>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</si>
  <si>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</si>
  <si>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</si>
  <si>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</si>
  <si>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</si>
  <si>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</si>
  <si>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</si>
  <si>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</si>
  <si>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</si>
  <si>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</si>
  <si>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</si>
  <si>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</si>
  <si>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</si>
  <si>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</si>
  <si>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</si>
  <si>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</si>
  <si>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</si>
  <si>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</si>
  <si>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</si>
  <si>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</si>
  <si>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</si>
  <si>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</si>
  <si>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</si>
  <si>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</si>
  <si>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</si>
  <si>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</si>
  <si>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</si>
  <si>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</si>
  <si>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</si>
  <si>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</si>
  <si>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</si>
  <si>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</si>
  <si>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</si>
  <si>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</si>
  <si>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</si>
  <si>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</si>
  <si>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</si>
  <si>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</si>
  <si>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</si>
  <si>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</si>
  <si>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</si>
  <si>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</si>
  <si>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</si>
  <si>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</si>
  <si>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</si>
  <si>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</si>
  <si>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</si>
  <si>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</si>
  <si>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</si>
  <si>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</si>
  <si>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</si>
  <si>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</si>
  <si>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</si>
  <si>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</si>
  <si>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</si>
  <si>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</si>
  <si>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</si>
  <si>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</si>
  <si>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</si>
  <si>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</si>
  <si>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</si>
  <si>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</si>
  <si>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</si>
  <si>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</si>
  <si>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</si>
  <si>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</si>
  <si>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</si>
  <si>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</si>
  <si>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</si>
  <si>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</si>
  <si>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</si>
  <si>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</si>
  <si>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</si>
  <si>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</si>
  <si>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</si>
  <si>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</si>
  <si>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</si>
  <si>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</si>
  <si>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</si>
  <si>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</si>
  <si>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</si>
  <si>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</si>
  <si>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</si>
  <si>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</si>
  <si>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</si>
  <si>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</si>
  <si>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</si>
  <si>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</si>
  <si>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</si>
  <si>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</si>
  <si>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</si>
  <si>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</si>
  <si>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</si>
  <si>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</si>
  <si>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</si>
  <si>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</si>
  <si>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</si>
  <si>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</si>
  <si>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</si>
  <si>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</si>
  <si>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</si>
  <si>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</si>
  <si>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</si>
  <si>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</si>
  <si>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</si>
  <si>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</si>
  <si>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</si>
  <si>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</si>
  <si>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</si>
  <si>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</si>
  <si>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</si>
  <si>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</si>
  <si>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</si>
  <si>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</si>
  <si>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</si>
  <si>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</si>
  <si>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</si>
  <si>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</si>
  <si>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</si>
  <si>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</si>
  <si>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</si>
  <si>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</si>
  <si>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</si>
  <si>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</si>
  <si>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</si>
  <si>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</si>
  <si>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</si>
  <si>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</si>
  <si>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</si>
  <si>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</si>
  <si>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</si>
  <si>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</si>
  <si>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</si>
  <si>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</si>
  <si>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</si>
  <si>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</si>
  <si>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</si>
  <si>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</si>
  <si>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</si>
  <si>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</si>
  <si>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</si>
  <si>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</si>
  <si>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</si>
  <si>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</si>
  <si>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</si>
  <si>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</si>
  <si>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</si>
  <si>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</si>
  <si>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</si>
  <si>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</si>
  <si>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</si>
  <si>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</si>
  <si>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</si>
  <si>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</si>
  <si>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</si>
  <si>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</si>
  <si>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</si>
  <si>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</si>
  <si>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</si>
  <si>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</si>
  <si>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</si>
  <si>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</si>
  <si>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</si>
  <si>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</si>
  <si>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</si>
  <si>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</si>
  <si>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</si>
  <si>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</si>
  <si>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</si>
  <si>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</si>
  <si>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</si>
  <si>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</si>
  <si>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</si>
  <si>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</si>
  <si>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</si>
  <si>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</si>
  <si>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</si>
  <si>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</si>
  <si>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</si>
  <si>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</si>
  <si>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</si>
  <si>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</si>
  <si>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</si>
  <si>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</si>
  <si>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</si>
  <si>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</si>
  <si>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</si>
  <si>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</si>
  <si>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</si>
  <si>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</si>
  <si>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</si>
  <si>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</si>
  <si>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</si>
  <si>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</si>
  <si>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</si>
  <si>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</si>
  <si>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</si>
  <si>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</si>
  <si>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</si>
  <si>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</si>
  <si>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</si>
  <si>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</si>
  <si>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</si>
  <si>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</si>
  <si>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</si>
  <si>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</si>
  <si>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</si>
  <si>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</si>
  <si>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</si>
  <si>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</si>
  <si>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</si>
  <si>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</si>
  <si>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</si>
  <si>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</si>
  <si>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</si>
  <si>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</si>
  <si>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</si>
  <si>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</si>
  <si>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</si>
  <si>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</si>
  <si>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</si>
  <si>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</si>
  <si>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</si>
  <si>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</si>
  <si>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</si>
  <si>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</si>
  <si>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</si>
  <si>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</si>
  <si>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</si>
  <si>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</si>
  <si>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</si>
  <si>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</si>
  <si>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</si>
  <si>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</si>
  <si>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</si>
  <si>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</si>
  <si>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</si>
  <si>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</si>
  <si>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</si>
  <si>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</si>
  <si>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</si>
  <si>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</si>
  <si>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</si>
  <si>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</si>
  <si>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</si>
  <si>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</si>
  <si>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</si>
  <si>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</si>
  <si>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</si>
  <si>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</si>
  <si>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</si>
  <si>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</si>
  <si>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</si>
  <si>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</si>
  <si>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</si>
  <si>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</si>
  <si>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</si>
  <si>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</si>
  <si>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</si>
  <si>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</si>
  <si>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</si>
  <si>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</si>
  <si>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</si>
  <si>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</si>
  <si>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</si>
  <si>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</si>
  <si>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</si>
  <si>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</si>
  <si>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</si>
  <si>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</si>
  <si>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</si>
  <si>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</si>
  <si>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</si>
  <si>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</si>
  <si>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</si>
  <si>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</si>
  <si>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</si>
  <si>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</si>
  <si>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</si>
  <si>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</si>
  <si>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</si>
  <si>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</si>
  <si>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</si>
  <si>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</si>
  <si>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</si>
  <si>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</si>
  <si>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</si>
  <si>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</si>
  <si>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</si>
  <si>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</si>
  <si>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</si>
  <si>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</si>
  <si>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</si>
  <si>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</si>
  <si>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</si>
  <si>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</si>
  <si>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</si>
  <si>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</si>
  <si>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</si>
  <si>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</si>
  <si>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</si>
  <si>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</si>
  <si>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</si>
  <si>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</si>
  <si>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</si>
  <si>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</si>
  <si>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</si>
  <si>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</si>
  <si>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</si>
  <si>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</si>
  <si>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</si>
  <si>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</si>
  <si>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</si>
  <si>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</si>
  <si>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</si>
  <si>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</si>
  <si>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</si>
  <si>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</si>
  <si>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</si>
  <si>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</si>
  <si>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</si>
  <si>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</si>
  <si>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</si>
  <si>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</si>
  <si>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</si>
  <si>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</si>
  <si>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</si>
  <si>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</si>
  <si>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</si>
  <si>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</si>
  <si>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</si>
  <si>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</si>
  <si>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</si>
  <si>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</si>
  <si>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</si>
  <si>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</si>
  <si>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</si>
  <si>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</si>
  <si>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</si>
  <si>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</si>
  <si>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</si>
  <si>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</si>
  <si>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</si>
  <si>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</si>
  <si>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</si>
  <si>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</si>
  <si>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</si>
  <si>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</si>
  <si>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</si>
  <si>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</si>
  <si>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</si>
  <si>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</si>
  <si>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</si>
  <si>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</si>
  <si>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</si>
  <si>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</si>
  <si>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</si>
  <si>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</si>
  <si>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</si>
  <si>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</si>
  <si>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</si>
  <si>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</si>
  <si>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</si>
  <si>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</si>
  <si>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</si>
  <si>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</si>
  <si>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</si>
  <si>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</si>
  <si>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</si>
  <si>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</si>
  <si>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</si>
  <si>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</si>
  <si>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</si>
  <si>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</si>
  <si>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</si>
  <si>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</si>
  <si>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</si>
  <si>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</si>
  <si>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</si>
  <si>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</si>
  <si>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</si>
  <si>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</si>
  <si>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</si>
  <si>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</si>
  <si>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</si>
  <si>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</si>
  <si>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</si>
  <si>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</si>
  <si>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</si>
  <si>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</si>
  <si>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</si>
  <si>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</si>
  <si>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</si>
  <si>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</si>
  <si>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</si>
  <si>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</si>
  <si>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</si>
  <si>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</si>
  <si>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</si>
  <si>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</si>
  <si>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</si>
  <si>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</si>
  <si>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</si>
  <si>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</si>
  <si>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</si>
  <si>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</si>
  <si>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</si>
  <si>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</si>
  <si>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</si>
  <si>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</si>
  <si>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</si>
  <si>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</si>
  <si>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</si>
  <si>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</si>
  <si>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</si>
  <si>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</si>
  <si>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</si>
  <si>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</si>
  <si>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</si>
  <si>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</si>
  <si>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</si>
  <si>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</si>
  <si>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</si>
  <si>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</si>
  <si>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</si>
  <si>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</si>
  <si>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</si>
  <si>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</si>
  <si>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</si>
  <si>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</si>
  <si>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</si>
  <si>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</si>
  <si>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</si>
  <si>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</si>
  <si>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</si>
  <si>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</si>
  <si>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</si>
  <si>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</si>
  <si>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</si>
  <si>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</si>
  <si>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</si>
  <si>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</si>
  <si>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</si>
  <si>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</si>
  <si>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</si>
  <si>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</si>
  <si>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</si>
  <si>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</si>
  <si>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</si>
  <si>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</si>
  <si>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</si>
  <si>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</si>
  <si>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</si>
  <si>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</si>
  <si>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</si>
  <si>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</si>
  <si>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</si>
  <si>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</si>
  <si>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</si>
  <si>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</si>
  <si>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</si>
  <si>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</si>
  <si>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</si>
  <si>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</si>
  <si>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</si>
  <si>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</si>
  <si>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</si>
  <si>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</si>
  <si>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</si>
  <si>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</si>
  <si>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</si>
  <si>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</si>
  <si>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</si>
  <si>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</si>
  <si>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</si>
  <si>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</si>
  <si>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</si>
  <si>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</si>
  <si>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</si>
  <si>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</si>
  <si>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</si>
  <si>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</si>
  <si>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</si>
  <si>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</si>
  <si>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</si>
  <si>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</si>
  <si>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</si>
  <si>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</si>
  <si>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</si>
  <si>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</si>
  <si>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</si>
  <si>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</si>
  <si>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</si>
  <si>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</si>
  <si>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</si>
  <si>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</si>
  <si>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</si>
  <si>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</si>
  <si>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</si>
  <si>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</si>
  <si>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</si>
  <si>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</si>
  <si>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</si>
  <si>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</si>
  <si>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</si>
  <si>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</si>
  <si>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</si>
  <si>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</si>
  <si>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</si>
  <si>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</si>
  <si>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</si>
  <si>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</si>
  <si>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</si>
  <si>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</si>
  <si>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</si>
  <si>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</si>
  <si>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</si>
  <si>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</si>
  <si>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</si>
  <si>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</si>
  <si>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</si>
  <si>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</si>
  <si>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</si>
  <si>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</si>
  <si>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</si>
  <si>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</si>
  <si>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</si>
  <si>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</si>
  <si>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</si>
  <si>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</si>
  <si>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</si>
  <si>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</si>
  <si>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</si>
  <si>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</si>
  <si>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</si>
  <si>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</si>
  <si>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</si>
  <si>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</si>
  <si>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</si>
  <si>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</si>
  <si>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</si>
  <si>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</si>
  <si>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</si>
  <si>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</si>
  <si>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</si>
  <si>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</si>
  <si>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</si>
  <si>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</si>
  <si>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</si>
  <si>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</si>
  <si>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</si>
  <si>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</si>
  <si>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</si>
  <si>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</si>
  <si>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</si>
  <si>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</si>
  <si>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</si>
  <si>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</si>
  <si>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</si>
  <si>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</si>
  <si>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</si>
  <si>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</si>
  <si>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</si>
  <si>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</si>
  <si>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</si>
  <si>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</si>
  <si>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</si>
  <si>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</si>
  <si>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</si>
  <si>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</si>
  <si>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</si>
  <si>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</si>
  <si>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</si>
  <si>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</si>
  <si>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</si>
  <si>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</si>
  <si>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</si>
  <si>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</si>
  <si>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</si>
  <si>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</si>
  <si>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</si>
  <si>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</si>
  <si>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</si>
  <si>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</si>
  <si>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</si>
  <si>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</si>
  <si>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</si>
  <si>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</si>
  <si>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</si>
  <si>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</si>
  <si>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</si>
  <si>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</si>
  <si>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</si>
  <si>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</si>
  <si>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</si>
  <si>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</si>
  <si>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</si>
  <si>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</si>
  <si>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</si>
  <si>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</si>
  <si>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</si>
  <si>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</si>
  <si>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</si>
  <si>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</si>
  <si>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</si>
  <si>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</si>
  <si>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</si>
  <si>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</si>
  <si>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</si>
  <si>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</si>
  <si>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</si>
  <si>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</si>
  <si>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</si>
  <si>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</si>
  <si>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</si>
  <si>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</si>
  <si>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</si>
  <si>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</si>
  <si>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</si>
  <si>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</si>
  <si>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</si>
  <si>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</si>
  <si>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</si>
  <si>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</si>
  <si>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</si>
  <si>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</si>
  <si>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</si>
  <si>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</si>
  <si>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</si>
  <si>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</si>
  <si>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</si>
  <si>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</si>
  <si>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</si>
  <si>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</si>
  <si>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</si>
  <si>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</si>
  <si>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</si>
  <si>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</si>
  <si>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</si>
  <si>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</si>
  <si>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</si>
  <si>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</si>
  <si>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</si>
  <si>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</si>
  <si>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</si>
  <si>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</si>
  <si>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</si>
  <si>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</si>
  <si>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</si>
  <si>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</si>
  <si>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</si>
  <si>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</si>
  <si>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</si>
  <si>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</si>
  <si>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</si>
  <si>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</si>
  <si>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</si>
  <si>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</si>
  <si>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</si>
  <si>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</si>
  <si>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</si>
  <si>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</si>
  <si>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</si>
  <si>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</si>
  <si>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</si>
  <si>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</si>
  <si>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</si>
  <si>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</si>
  <si>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</si>
  <si>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</si>
  <si>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</si>
  <si>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</si>
  <si>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</si>
  <si>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</si>
  <si>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</si>
  <si>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</si>
  <si>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</si>
  <si>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</si>
  <si>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</si>
  <si>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</si>
  <si>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</si>
  <si>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</si>
  <si>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</si>
  <si>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</si>
  <si>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</si>
  <si>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</si>
  <si>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</si>
  <si>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</si>
  <si>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</si>
  <si>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</si>
  <si>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</si>
  <si>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</si>
  <si>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</si>
  <si>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</si>
  <si>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</si>
  <si>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</si>
  <si>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</si>
  <si>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</si>
  <si>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</si>
  <si>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</si>
  <si>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</si>
  <si>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</si>
  <si>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</si>
  <si>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</si>
  <si>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</si>
  <si>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</si>
  <si>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</si>
  <si>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</si>
  <si>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</si>
  <si>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</si>
  <si>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</si>
  <si>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</si>
  <si>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</si>
  <si>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</si>
  <si>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</si>
  <si>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</si>
  <si>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</si>
  <si>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</si>
  <si>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</si>
  <si>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</si>
  <si>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</si>
  <si>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</si>
  <si>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</si>
  <si>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</si>
  <si>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</si>
  <si>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</si>
  <si>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</si>
  <si>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</si>
  <si>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</si>
  <si>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</si>
  <si>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</si>
  <si>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</si>
  <si>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</si>
  <si>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</si>
  <si>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</si>
  <si>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</si>
  <si>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</si>
  <si>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</si>
  <si>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</si>
  <si>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</si>
  <si>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</si>
  <si>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</si>
  <si>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</si>
  <si>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</si>
  <si>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</si>
  <si>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</si>
  <si>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</si>
  <si>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</si>
  <si>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</si>
  <si>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</si>
  <si>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</si>
  <si>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</si>
  <si>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</si>
  <si>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</si>
  <si>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</si>
  <si>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</si>
  <si>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</si>
  <si>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</si>
  <si>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</si>
  <si>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</si>
  <si>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</si>
  <si>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</si>
  <si>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</si>
  <si>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</si>
  <si>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</si>
  <si>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</si>
  <si>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</si>
  <si>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</si>
  <si>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</si>
  <si>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</si>
  <si>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</si>
  <si>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</si>
  <si>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</si>
  <si>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</si>
  <si>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</si>
  <si>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</si>
  <si>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</si>
  <si>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</si>
  <si>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</si>
  <si>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</si>
  <si>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</si>
  <si>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</si>
  <si>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</si>
  <si>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</si>
  <si>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</si>
  <si>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</si>
  <si>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</si>
  <si>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</si>
  <si>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</si>
  <si>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</si>
  <si>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</si>
  <si>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</si>
  <si>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</si>
  <si>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</si>
  <si>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</si>
  <si>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</si>
  <si>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</si>
  <si>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</si>
  <si>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</si>
  <si>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</si>
  <si>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</si>
  <si>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</si>
  <si>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</si>
  <si>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</si>
  <si>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</si>
  <si>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</si>
  <si>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</si>
  <si>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</si>
  <si>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</si>
  <si>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</si>
  <si>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</si>
  <si>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</si>
  <si>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</si>
  <si>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</si>
  <si>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</si>
  <si>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</si>
  <si>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</si>
  <si>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</si>
  <si>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</si>
  <si>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</si>
  <si>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</si>
  <si>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</si>
  <si>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</si>
  <si>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</si>
  <si>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</si>
  <si>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</si>
  <si>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</si>
  <si>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</si>
  <si>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</si>
  <si>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</si>
  <si>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</si>
  <si>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</si>
  <si>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</si>
  <si>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</si>
  <si>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</si>
  <si>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</si>
  <si>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</si>
  <si>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</si>
  <si>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</si>
  <si>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</si>
  <si>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</si>
  <si>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</si>
  <si>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</si>
  <si>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</si>
  <si>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</si>
  <si>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</si>
  <si>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</si>
  <si>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</si>
  <si>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</si>
  <si>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</si>
  <si>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</si>
  <si>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</si>
  <si>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</si>
  <si>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</si>
  <si>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</si>
  <si>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</si>
  <si>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</si>
  <si>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</si>
  <si>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</si>
  <si>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</si>
  <si>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</si>
  <si>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</si>
  <si>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</si>
  <si>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</si>
  <si>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</si>
  <si>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</si>
  <si>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</si>
  <si>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</si>
  <si>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</si>
  <si>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</si>
  <si>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</si>
  <si>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</si>
  <si>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</si>
  <si>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</si>
  <si>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</si>
  <si>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</si>
  <si>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</si>
  <si>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</si>
  <si>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</si>
  <si>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</si>
  <si>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</si>
  <si>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</si>
  <si>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</si>
  <si>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</si>
  <si>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</si>
  <si>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</si>
  <si>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</si>
  <si>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</si>
  <si>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</si>
  <si>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</si>
  <si>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</si>
  <si>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</si>
  <si>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</si>
  <si>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</si>
  <si>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</si>
  <si>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</si>
  <si>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</si>
  <si>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</si>
  <si>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</si>
  <si>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</si>
  <si>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</si>
  <si>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</si>
  <si>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</si>
  <si>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</si>
  <si>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</si>
  <si>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</si>
  <si>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</si>
  <si>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</si>
  <si>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</si>
  <si>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</si>
  <si>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</si>
  <si>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</si>
  <si>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</si>
  <si>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</si>
  <si>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</si>
  <si>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</si>
  <si>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</si>
  <si>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</si>
  <si>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</si>
  <si>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</si>
  <si>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</si>
  <si>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</si>
  <si>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</si>
  <si>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</si>
  <si>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</si>
  <si>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</si>
  <si>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</si>
  <si>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</si>
  <si>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</si>
  <si>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</si>
  <si>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</si>
  <si>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</si>
  <si>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</si>
  <si>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</si>
  <si>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</si>
  <si>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</si>
  <si>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</si>
  <si>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</si>
  <si>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</si>
  <si>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</si>
  <si>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</si>
  <si>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</si>
  <si>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</si>
  <si>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</si>
  <si>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</si>
  <si>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</si>
  <si>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</si>
  <si>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</si>
  <si>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</si>
  <si>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</si>
  <si>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</si>
  <si>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</si>
  <si>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</si>
  <si>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</si>
  <si>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</si>
  <si>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</si>
  <si>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</si>
  <si>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</si>
  <si>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</si>
  <si>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</si>
  <si>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</si>
  <si>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</si>
  <si>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</si>
  <si>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</si>
  <si>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</si>
  <si>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</si>
  <si>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</si>
  <si>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</si>
  <si>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</si>
  <si>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</si>
  <si>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</si>
  <si>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</si>
  <si>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</si>
  <si>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</si>
  <si>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</si>
  <si>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</si>
  <si>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</si>
  <si>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</si>
  <si>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</si>
  <si>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</si>
  <si>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</si>
  <si>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</si>
  <si>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</si>
  <si>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</si>
  <si>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</si>
  <si>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</si>
  <si>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</si>
  <si>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</si>
  <si>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</si>
  <si>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</si>
  <si>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</si>
  <si>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</si>
  <si>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</si>
  <si>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</si>
  <si>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</si>
  <si>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</si>
  <si>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</si>
  <si>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</si>
  <si>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</si>
  <si>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</si>
  <si>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</si>
  <si>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</si>
  <si>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</si>
  <si>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</si>
  <si>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</si>
  <si>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</si>
  <si>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</si>
  <si>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</si>
  <si>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</si>
  <si>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</si>
  <si>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</si>
  <si>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</si>
  <si>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</si>
  <si>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</si>
  <si>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</si>
  <si>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</si>
  <si>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</si>
  <si>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</si>
  <si>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</si>
  <si>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</si>
  <si>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</si>
  <si>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</si>
  <si>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</si>
  <si>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</si>
  <si>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</si>
  <si>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</si>
  <si>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</si>
  <si>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</si>
  <si>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</si>
  <si>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</si>
  <si>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</si>
  <si>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</si>
  <si>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</si>
  <si>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</si>
  <si>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</si>
  <si>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</si>
  <si>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</si>
  <si>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</si>
  <si>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</si>
  <si>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</si>
  <si>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</si>
  <si>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</si>
  <si>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</si>
  <si>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</si>
  <si>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</si>
  <si>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</si>
  <si>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</si>
  <si>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</si>
  <si>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</si>
  <si>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</si>
  <si>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</si>
  <si>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</si>
  <si>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</si>
  <si>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</si>
  <si>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</si>
  <si>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</si>
  <si>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</si>
  <si>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</si>
  <si>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</si>
  <si>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</si>
  <si>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</si>
  <si>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</si>
  <si>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</si>
  <si>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</si>
  <si>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</si>
  <si>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</si>
  <si>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</si>
  <si>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</si>
  <si>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</si>
  <si>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</si>
  <si>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</si>
  <si>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</si>
  <si>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</si>
  <si>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</si>
  <si>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</si>
  <si>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</si>
  <si>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</si>
  <si>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</si>
  <si>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</si>
  <si>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</si>
  <si>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</si>
  <si>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</si>
  <si>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</si>
  <si>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</si>
  <si>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</si>
  <si>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</si>
  <si>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</si>
  <si>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</si>
  <si>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</si>
  <si>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</si>
  <si>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</si>
  <si>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</si>
  <si>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</si>
  <si>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</si>
  <si>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</si>
  <si>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</si>
  <si>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</si>
  <si>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</si>
  <si>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</si>
  <si>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</si>
  <si>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</si>
  <si>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</si>
  <si>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</si>
  <si>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</si>
  <si>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</si>
  <si>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</si>
  <si>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</si>
  <si>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</si>
  <si>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</si>
  <si>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</si>
  <si>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</si>
  <si>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</si>
  <si>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</si>
  <si>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</si>
  <si>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</si>
  <si>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</si>
  <si>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</si>
  <si>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</si>
  <si>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</si>
  <si>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</si>
  <si>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</si>
  <si>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</si>
  <si>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</si>
  <si>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</si>
  <si>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</si>
  <si>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</si>
  <si>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</si>
  <si>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</si>
  <si>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</si>
  <si>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</si>
  <si>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</si>
  <si>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</si>
  <si>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</si>
  <si>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</si>
  <si>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</si>
  <si>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</si>
  <si>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</si>
  <si>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</si>
  <si>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</si>
  <si>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</si>
  <si>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</si>
  <si>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</si>
  <si>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</si>
  <si>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</si>
  <si>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</si>
  <si>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</si>
  <si>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</si>
  <si>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</si>
  <si>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</si>
  <si>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</si>
  <si>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</si>
  <si>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</si>
  <si>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</si>
  <si>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</si>
  <si>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</si>
  <si>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</si>
  <si>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</si>
  <si>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</si>
  <si>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</si>
  <si>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</si>
  <si>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</si>
  <si>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</si>
  <si>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</si>
  <si>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</si>
  <si>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</si>
  <si>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</si>
  <si>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</si>
  <si>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</si>
  <si>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</si>
  <si>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</si>
  <si>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</si>
  <si>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</si>
  <si>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</si>
  <si>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</si>
  <si>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</si>
  <si>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</si>
  <si>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</si>
  <si>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</si>
  <si>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</si>
  <si>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</si>
  <si>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</si>
  <si>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</si>
  <si>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</si>
  <si>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</si>
  <si>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</si>
  <si>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</si>
  <si>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</si>
  <si>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</si>
  <si>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</si>
  <si>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</si>
  <si>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</si>
  <si>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</si>
  <si>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</si>
  <si>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</si>
  <si>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</si>
  <si>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</si>
  <si>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</si>
  <si>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</si>
  <si>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</si>
  <si>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</si>
  <si>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</si>
  <si>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</si>
  <si>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</si>
  <si>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</si>
  <si>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</si>
  <si>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</si>
  <si>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</si>
  <si>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</si>
  <si>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</si>
  <si>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</si>
  <si>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</si>
  <si>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</si>
  <si>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</si>
  <si>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</si>
  <si>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</si>
  <si>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</si>
  <si>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</si>
  <si>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</si>
  <si>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</si>
  <si>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</si>
  <si>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</si>
  <si>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</si>
  <si>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</si>
  <si>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</si>
  <si>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</si>
  <si>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</si>
  <si>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</si>
  <si>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</si>
  <si>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</si>
  <si>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</si>
  <si>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</si>
  <si>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</si>
  <si>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</si>
  <si>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</si>
  <si>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</si>
  <si>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</si>
  <si>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</si>
  <si>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</si>
  <si>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</si>
  <si>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</si>
  <si>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</si>
  <si>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</si>
  <si>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</si>
  <si>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</si>
  <si>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</si>
  <si>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</si>
  <si>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</si>
  <si>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</si>
  <si>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</si>
  <si>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</si>
  <si>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</si>
  <si>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</si>
  <si>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</si>
  <si>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</si>
  <si>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</si>
  <si>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</si>
  <si>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</si>
  <si>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</si>
  <si>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</si>
  <si>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</si>
  <si>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</si>
  <si>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</si>
  <si>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</si>
  <si>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</si>
  <si>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</si>
  <si>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</si>
  <si>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</si>
  <si>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</si>
  <si>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</si>
  <si>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</si>
  <si>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</si>
  <si>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</si>
  <si>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</si>
  <si>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</si>
  <si>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</si>
  <si>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</si>
  <si>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</si>
  <si>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</si>
  <si>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</si>
  <si>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</si>
  <si>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</si>
  <si>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</si>
  <si>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</si>
  <si>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</si>
  <si>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</si>
  <si>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</si>
  <si>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</si>
  <si>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</si>
  <si>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</si>
  <si>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</si>
  <si>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</si>
  <si>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</si>
  <si>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</si>
  <si>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</si>
  <si>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</si>
  <si>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</si>
  <si>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</si>
  <si>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</si>
  <si>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</si>
  <si>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</si>
  <si>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</si>
  <si>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</si>
  <si>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</si>
  <si>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</si>
  <si>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</si>
  <si>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</si>
  <si>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</si>
  <si>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</si>
  <si>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</si>
  <si>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</si>
  <si>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</si>
  <si>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</si>
  <si>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</si>
  <si>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</si>
  <si>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</si>
  <si>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</si>
  <si>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</si>
  <si>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</si>
  <si>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</si>
  <si>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</si>
  <si>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</si>
  <si>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</si>
  <si>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</si>
  <si>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</si>
  <si>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</si>
  <si>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</si>
  <si>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</si>
  <si>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</si>
  <si>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</si>
  <si>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</si>
  <si>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</si>
  <si>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</si>
  <si>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</si>
  <si>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</si>
  <si>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</si>
  <si>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</si>
  <si>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</si>
  <si>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</si>
  <si>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</si>
  <si>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</si>
  <si>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</si>
  <si>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</si>
  <si>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</si>
  <si>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</si>
  <si>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</si>
  <si>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</si>
  <si>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</si>
  <si>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</si>
  <si>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</si>
  <si>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</si>
  <si>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</si>
  <si>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</si>
  <si>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</si>
  <si>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</si>
  <si>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</si>
  <si>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</si>
  <si>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</si>
  <si>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</si>
  <si>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</si>
  <si>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</si>
  <si>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</si>
  <si>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</si>
  <si>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</si>
  <si>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</si>
  <si>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</si>
  <si>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</si>
  <si>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</si>
  <si>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</si>
  <si>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</si>
  <si>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</si>
  <si>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</si>
  <si>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</si>
  <si>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</si>
  <si>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</si>
  <si>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</si>
  <si>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</si>
  <si>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</si>
  <si>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</si>
  <si>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</si>
  <si>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</si>
  <si>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</si>
  <si>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</si>
  <si>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</si>
  <si>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</si>
  <si>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</si>
  <si>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</si>
  <si>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</si>
  <si>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</si>
  <si>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</si>
  <si>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</si>
  <si>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</si>
  <si>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</si>
  <si>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</si>
  <si>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</si>
  <si>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</si>
  <si>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</si>
  <si>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</si>
  <si>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</si>
  <si>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</si>
  <si>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</si>
  <si>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</si>
  <si>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</si>
  <si>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</si>
  <si>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</si>
  <si>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</si>
  <si>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</si>
  <si>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</si>
  <si>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</si>
  <si>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</si>
  <si>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</si>
  <si>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</si>
  <si>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</si>
  <si>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</si>
  <si>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</si>
  <si>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</si>
  <si>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</si>
  <si>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</si>
  <si>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</si>
  <si>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</si>
  <si>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</si>
  <si>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</si>
  <si>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</si>
  <si>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</si>
  <si>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</si>
  <si>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</si>
  <si>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</si>
  <si>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</si>
  <si>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</si>
  <si>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</si>
  <si>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</si>
  <si>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</si>
  <si>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</si>
  <si>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</si>
  <si>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</si>
  <si>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</si>
  <si>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</si>
  <si>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</si>
  <si>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</si>
  <si>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</si>
  <si>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</si>
  <si>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</si>
  <si>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</si>
  <si>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</si>
  <si>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</si>
  <si>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</si>
  <si>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</si>
  <si>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</si>
  <si>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</si>
  <si>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</si>
  <si>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</si>
  <si>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</si>
  <si>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</si>
  <si>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</si>
  <si>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</si>
  <si>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</si>
  <si>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</si>
  <si>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</si>
  <si>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</si>
  <si>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</si>
  <si>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</si>
  <si>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</si>
  <si>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</si>
  <si>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</si>
  <si>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</si>
  <si>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</si>
  <si>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</si>
  <si>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</si>
  <si>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</si>
  <si>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</si>
  <si>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</si>
  <si>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</si>
  <si>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</si>
  <si>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</si>
  <si>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</si>
  <si>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</si>
  <si>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</si>
  <si>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</si>
  <si>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</si>
  <si>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</si>
  <si>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</si>
  <si>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</si>
  <si>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</si>
  <si>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</si>
  <si>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</si>
  <si>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</si>
  <si>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</si>
  <si>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</si>
  <si>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</si>
  <si>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</si>
  <si>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</si>
  <si>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</si>
  <si>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</si>
  <si>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</si>
  <si>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</si>
  <si>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</si>
  <si>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</si>
  <si>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</si>
  <si>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</si>
  <si>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</si>
  <si>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</si>
  <si>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</si>
  <si>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</si>
  <si>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</si>
  <si>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</si>
  <si>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</si>
  <si>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</si>
  <si>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</si>
  <si>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</si>
  <si>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</si>
  <si>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</si>
  <si>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</si>
  <si>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</si>
  <si>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</si>
  <si>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</si>
  <si>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</si>
  <si>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</si>
  <si>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</si>
  <si>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</si>
  <si>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</si>
  <si>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</si>
  <si>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</si>
  <si>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</si>
  <si>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</si>
  <si>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</si>
  <si>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</si>
  <si>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</si>
  <si>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</si>
  <si>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</si>
  <si>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</si>
  <si>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</si>
  <si>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</si>
  <si>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</si>
  <si>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</si>
  <si>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</si>
  <si>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</si>
  <si>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</si>
  <si>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</si>
  <si>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</si>
  <si>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</si>
  <si>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</si>
  <si>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</si>
  <si>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</si>
  <si>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</si>
  <si>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</si>
  <si>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</si>
  <si>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</si>
  <si>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</si>
  <si>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</si>
  <si>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</si>
  <si>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</si>
  <si>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</si>
  <si>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</si>
  <si>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</si>
  <si>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</si>
  <si>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</si>
  <si>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</si>
  <si>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</si>
  <si>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</si>
  <si>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</si>
  <si>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</si>
  <si>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</si>
  <si>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</si>
  <si>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</si>
  <si>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</si>
  <si>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</si>
  <si>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</si>
  <si>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</si>
  <si>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</si>
  <si>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</si>
  <si>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</si>
  <si>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</si>
  <si>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</si>
  <si>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</si>
  <si>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</si>
  <si>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</si>
  <si>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</si>
  <si>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</si>
  <si>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</si>
  <si>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</si>
  <si>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</si>
  <si>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</si>
  <si>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</si>
  <si>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</si>
  <si>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</si>
  <si>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</si>
  <si>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</si>
  <si>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</si>
  <si>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</si>
  <si>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</si>
  <si>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</si>
  <si>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</si>
  <si>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</si>
  <si>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</si>
  <si>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</si>
  <si>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</si>
  <si>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</si>
  <si>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</si>
  <si>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</si>
  <si>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</si>
  <si>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</si>
  <si>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</si>
  <si>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</si>
  <si>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</si>
  <si>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</si>
  <si>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</si>
  <si>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</si>
  <si>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</si>
  <si>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</si>
  <si>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</si>
  <si>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</si>
  <si>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</si>
  <si>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</si>
  <si>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</si>
  <si>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</si>
  <si>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</si>
  <si>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</si>
  <si>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</si>
  <si>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</si>
  <si>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</si>
  <si>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</si>
  <si>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</si>
  <si>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</si>
  <si>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</si>
  <si>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</si>
  <si>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</si>
  <si>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</si>
  <si>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</si>
  <si>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</si>
  <si>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</si>
  <si>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</si>
  <si>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</si>
  <si>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</si>
  <si>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</si>
  <si>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</si>
  <si>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</si>
  <si>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</si>
  <si>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</si>
  <si>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</si>
  <si>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</si>
  <si>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</si>
  <si>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</si>
  <si>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</si>
  <si>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</si>
  <si>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</si>
  <si>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</si>
  <si>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</si>
  <si>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</si>
  <si>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</si>
  <si>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</si>
  <si>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</si>
  <si>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</si>
  <si>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</si>
  <si>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</si>
  <si>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</si>
  <si>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</si>
  <si>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</si>
  <si>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</si>
  <si>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</si>
  <si>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</si>
  <si>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</si>
  <si>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</si>
  <si>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</si>
  <si>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</si>
  <si>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</si>
  <si>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</si>
  <si>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</si>
  <si>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</si>
  <si>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</si>
  <si>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</si>
  <si>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</si>
  <si>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</si>
  <si>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</si>
  <si>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</si>
  <si>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</si>
  <si>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</si>
  <si>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</si>
  <si>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</si>
  <si>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</si>
  <si>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</si>
  <si>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</si>
  <si>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</si>
  <si>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</si>
  <si>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</si>
  <si>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</si>
  <si>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</si>
  <si>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</si>
  <si>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</si>
  <si>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</si>
  <si>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</si>
  <si>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</si>
  <si>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</si>
  <si>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</si>
  <si>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</si>
  <si>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</si>
  <si>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</si>
  <si>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</si>
  <si>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</si>
  <si>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</si>
  <si>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</si>
  <si>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</si>
  <si>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</si>
  <si>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</si>
  <si>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</si>
  <si>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</si>
  <si>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</si>
  <si>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</si>
  <si>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</si>
  <si>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</si>
  <si>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</si>
  <si>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</si>
  <si>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</si>
  <si>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</si>
  <si>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</si>
  <si>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</si>
  <si>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</si>
  <si>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</si>
  <si>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</si>
  <si>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</si>
  <si>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</si>
  <si>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</si>
  <si>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</si>
  <si>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</si>
  <si>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</si>
  <si>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</si>
  <si>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</si>
  <si>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</si>
  <si>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</si>
  <si>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</si>
  <si>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</si>
  <si>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</si>
  <si>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</si>
  <si>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</si>
  <si>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</si>
  <si>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</si>
  <si>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</si>
  <si>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</si>
  <si>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</si>
  <si>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</si>
  <si>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</si>
  <si>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</si>
  <si>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</si>
  <si>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</si>
  <si>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</si>
  <si>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</si>
  <si>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</si>
  <si>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</si>
  <si>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</si>
  <si>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</si>
  <si>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</si>
  <si>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</si>
  <si>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</si>
  <si>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</si>
  <si>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</si>
  <si>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</si>
  <si>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</si>
  <si>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</si>
  <si>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</si>
  <si>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</si>
  <si>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</si>
  <si>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</si>
  <si>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</si>
  <si>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</si>
  <si>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</si>
  <si>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</si>
  <si>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</si>
  <si>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</si>
  <si>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</si>
  <si>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</si>
  <si>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</si>
  <si>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</si>
  <si>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</si>
  <si>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</si>
  <si>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</si>
  <si>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</si>
  <si>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</si>
  <si>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</si>
  <si>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</si>
  <si>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</si>
  <si>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</si>
  <si>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</si>
  <si>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</si>
  <si>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</si>
  <si>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</si>
  <si>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</si>
  <si>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</si>
  <si>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</si>
  <si>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</si>
  <si>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</si>
  <si>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</si>
  <si>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</si>
  <si>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</si>
  <si>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</si>
  <si>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</si>
  <si>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</si>
  <si>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</si>
  <si>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</si>
  <si>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</si>
  <si>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</si>
  <si>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</si>
  <si>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</si>
  <si>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</si>
  <si>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</si>
  <si>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</si>
  <si>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</si>
  <si>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</si>
  <si>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</si>
  <si>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</si>
  <si>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</si>
  <si>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</si>
  <si>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</si>
  <si>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</si>
  <si>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</si>
  <si>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</si>
  <si>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</si>
  <si>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</si>
  <si>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</si>
  <si>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</si>
  <si>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</si>
  <si>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</si>
  <si>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</si>
  <si>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</si>
  <si>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</si>
  <si>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</si>
  <si>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</si>
  <si>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</si>
  <si>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</si>
  <si>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</si>
  <si>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</si>
  <si>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</si>
  <si>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</si>
  <si>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</si>
  <si>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</si>
  <si>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</si>
  <si>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</si>
  <si>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</si>
  <si>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</si>
  <si>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</si>
  <si>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</si>
  <si>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</si>
  <si>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</si>
  <si>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</si>
  <si>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</si>
  <si>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</si>
  <si>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</si>
  <si>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</si>
  <si>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</si>
  <si>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</si>
  <si>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</si>
  <si>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</si>
  <si>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</si>
  <si>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</si>
  <si>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</si>
  <si>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</si>
  <si>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</si>
  <si>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</si>
  <si>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</si>
  <si>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</si>
  <si>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</si>
  <si>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</si>
  <si>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</si>
  <si>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</si>
  <si>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</si>
  <si>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</si>
  <si>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</si>
  <si>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</si>
  <si>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</si>
  <si>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</si>
  <si>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</si>
  <si>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</si>
  <si>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</si>
  <si>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</si>
  <si>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</si>
  <si>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</si>
  <si>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</si>
  <si>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</si>
  <si>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</si>
  <si>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</si>
  <si>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</si>
  <si>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</si>
  <si>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</si>
  <si>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</si>
  <si>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</si>
  <si>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</si>
  <si>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</si>
  <si>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</si>
  <si>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</si>
  <si>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</si>
  <si>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</si>
  <si>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</si>
  <si>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</si>
  <si>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</si>
  <si>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</si>
  <si>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</si>
  <si>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</si>
  <si>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</si>
  <si>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</si>
  <si>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</si>
  <si>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</si>
  <si>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</si>
  <si>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</si>
  <si>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</si>
  <si>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</si>
  <si>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</si>
  <si>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</si>
  <si>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</si>
  <si>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</si>
  <si>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</si>
  <si>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</si>
  <si>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</si>
  <si>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</si>
  <si>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</si>
  <si>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</si>
  <si>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</si>
  <si>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</si>
  <si>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</si>
  <si>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</si>
  <si>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</si>
  <si>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</si>
  <si>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</si>
  <si>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</si>
  <si>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</si>
  <si>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</si>
  <si>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</si>
  <si>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</si>
  <si>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</si>
  <si>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</si>
  <si>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</si>
  <si>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</si>
  <si>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</si>
  <si>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</si>
  <si>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</si>
  <si>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</si>
  <si>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</si>
  <si>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</si>
  <si>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</si>
  <si>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</si>
  <si>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</si>
  <si>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</si>
  <si>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</si>
  <si>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</si>
  <si>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</si>
  <si>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</si>
  <si>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</si>
  <si>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</si>
  <si>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</si>
  <si>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</si>
  <si>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</si>
  <si>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</si>
  <si>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</si>
  <si>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</si>
  <si>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</si>
  <si>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</si>
  <si>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</si>
  <si>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</si>
  <si>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</si>
  <si>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</si>
  <si>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</si>
  <si>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</si>
  <si>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</si>
  <si>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</si>
  <si>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</si>
  <si>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</si>
  <si>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</si>
  <si>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</si>
  <si>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</si>
  <si>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</si>
  <si>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</si>
  <si>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</si>
  <si>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</si>
  <si>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</si>
  <si>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</si>
  <si>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</si>
  <si>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</si>
  <si>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</si>
  <si>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</si>
  <si>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</si>
  <si>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</si>
  <si>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</si>
  <si>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</si>
  <si>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</si>
  <si>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</si>
  <si>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</si>
  <si>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</si>
  <si>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</si>
  <si>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</si>
  <si>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</si>
  <si>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</si>
  <si>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</si>
  <si>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</si>
  <si>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</si>
  <si>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</si>
  <si>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</si>
  <si>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</si>
  <si>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</si>
  <si>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</si>
  <si>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</si>
  <si>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</si>
  <si>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</si>
  <si>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</si>
  <si>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</si>
  <si>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</si>
  <si>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</si>
  <si>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</si>
  <si>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</si>
  <si>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</si>
  <si>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</si>
  <si>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</si>
  <si>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</si>
  <si>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</si>
  <si>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</si>
  <si>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</si>
  <si>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</si>
  <si>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</si>
  <si>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</si>
  <si>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</si>
  <si>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</si>
  <si>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</si>
  <si>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</si>
  <si>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</si>
  <si>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</si>
  <si>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</si>
  <si>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</si>
  <si>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</si>
  <si>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</si>
  <si>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</si>
  <si>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</si>
  <si>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</si>
  <si>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</si>
  <si>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</si>
  <si>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</si>
  <si>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</si>
  <si>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</si>
  <si>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</si>
  <si>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</si>
  <si>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</si>
  <si>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</si>
  <si>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</si>
  <si>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</si>
  <si>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</si>
  <si>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</si>
  <si>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</si>
  <si>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</si>
  <si>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</si>
  <si>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</si>
  <si>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</si>
  <si>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</si>
  <si>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</si>
  <si>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</si>
  <si>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</si>
  <si>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</si>
  <si>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</si>
  <si>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</si>
  <si>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</si>
  <si>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</si>
  <si>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</si>
  <si>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</si>
  <si>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</si>
  <si>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</si>
  <si>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</si>
  <si>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</si>
  <si>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</si>
  <si>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</si>
  <si>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</si>
  <si>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</si>
  <si>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</si>
  <si>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</si>
  <si>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</si>
  <si>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</si>
  <si>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</si>
  <si>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</si>
  <si>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</si>
  <si>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</si>
  <si>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</si>
  <si>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</si>
  <si>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</si>
  <si>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</si>
  <si>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</si>
  <si>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</si>
  <si>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</si>
  <si>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</si>
  <si>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</si>
  <si>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</si>
  <si>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</si>
  <si>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</si>
  <si>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</si>
  <si>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</si>
  <si>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</si>
  <si>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</si>
  <si>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</si>
  <si>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</si>
  <si>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</si>
  <si>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</si>
  <si>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</si>
  <si>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</si>
  <si>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</si>
  <si>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</si>
  <si>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</si>
  <si>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</si>
  <si>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</si>
  <si>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</si>
  <si>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</si>
  <si>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</si>
  <si>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</si>
  <si>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</si>
  <si>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</si>
  <si>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</si>
  <si>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</si>
  <si>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</si>
  <si>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</si>
  <si>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</si>
  <si>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</si>
  <si>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</si>
  <si>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</si>
  <si>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</si>
  <si>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</si>
  <si>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</si>
  <si>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</si>
  <si>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</si>
  <si>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</si>
  <si>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</si>
  <si>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</si>
  <si>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</si>
  <si>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</si>
  <si>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</si>
  <si>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</si>
  <si>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</si>
  <si>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</si>
  <si>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</si>
  <si>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</si>
  <si>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</si>
  <si>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</si>
  <si>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</si>
  <si>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</si>
  <si>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</si>
  <si>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</si>
  <si>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</si>
  <si>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</si>
  <si>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</si>
  <si>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</si>
  <si>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</si>
  <si>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</si>
  <si>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</si>
  <si>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</si>
  <si>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</si>
  <si>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</si>
  <si>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</si>
  <si>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</si>
  <si>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</si>
  <si>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</si>
  <si>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</si>
  <si>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</si>
  <si>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</si>
  <si>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</si>
  <si>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</si>
  <si>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</si>
  <si>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</si>
  <si>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</si>
  <si>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</si>
  <si>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</si>
  <si>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</si>
  <si>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</si>
  <si>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</si>
  <si>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</si>
  <si>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</si>
  <si>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</si>
  <si>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</si>
  <si>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</si>
  <si>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</si>
  <si>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</si>
  <si>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</si>
  <si>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</si>
  <si>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</si>
  <si>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</si>
  <si>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</si>
  <si>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</si>
  <si>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</si>
  <si>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</si>
  <si>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</si>
  <si>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</si>
  <si>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</si>
  <si>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</si>
  <si>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</si>
  <si>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</si>
  <si>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</si>
  <si>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</si>
  <si>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</si>
  <si>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</si>
  <si>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</si>
  <si>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</si>
  <si>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</si>
  <si>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</si>
  <si>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</si>
  <si>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</si>
  <si>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</si>
  <si>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</si>
  <si>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</si>
  <si>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</si>
  <si>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</si>
  <si>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</si>
  <si>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</si>
  <si>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</si>
  <si>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</si>
  <si>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</si>
  <si>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</si>
  <si>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</si>
  <si>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</si>
  <si>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</si>
  <si>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</si>
  <si>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</si>
  <si>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</si>
  <si>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</si>
  <si>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</si>
  <si>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</si>
  <si>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</si>
  <si>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</si>
  <si>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</si>
  <si>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</si>
  <si>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</si>
  <si>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</si>
  <si>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</si>
  <si>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</si>
  <si>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</si>
  <si>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</si>
  <si>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</si>
  <si>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</si>
  <si>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</si>
  <si>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</si>
  <si>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</si>
  <si>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</si>
  <si>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</si>
  <si>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</si>
  <si>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</si>
  <si>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</si>
  <si>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</si>
  <si>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</si>
  <si>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</si>
  <si>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</si>
  <si>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</si>
  <si>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</si>
  <si>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</si>
  <si>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</si>
  <si>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</si>
  <si>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</si>
  <si>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</si>
  <si>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</si>
  <si>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</si>
  <si>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</si>
  <si>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</si>
  <si>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</si>
  <si>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</si>
  <si>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</si>
  <si>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</si>
  <si>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</si>
  <si>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</si>
  <si>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</si>
  <si>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</si>
  <si>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</si>
  <si>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</si>
  <si>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</si>
  <si>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</si>
  <si>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</si>
  <si>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</si>
  <si>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</si>
  <si>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</si>
  <si>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</si>
  <si>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</si>
  <si>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</si>
  <si>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</si>
  <si>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</si>
  <si>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</si>
  <si>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</si>
  <si>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</si>
  <si>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</si>
  <si>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</si>
  <si>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</si>
  <si>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</si>
  <si>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</si>
  <si>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</si>
  <si>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</si>
  <si>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</si>
  <si>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</si>
  <si>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</si>
  <si>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</si>
  <si>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</si>
  <si>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</si>
  <si>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</si>
  <si>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</si>
  <si>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</si>
  <si>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</si>
  <si>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</si>
  <si>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</si>
  <si>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</si>
  <si>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</si>
  <si>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</si>
  <si>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</si>
  <si>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</si>
  <si>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</si>
  <si>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</si>
  <si>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</si>
  <si>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</si>
  <si>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</si>
  <si>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</si>
  <si>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</si>
  <si>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</si>
  <si>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</si>
  <si>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</si>
  <si>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</si>
  <si>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</si>
  <si>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</si>
  <si>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</si>
  <si>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</si>
  <si>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</si>
  <si>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</si>
  <si>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</si>
  <si>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</si>
  <si>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</si>
  <si>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</si>
  <si>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</si>
  <si>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</si>
  <si>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</si>
  <si>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</si>
  <si>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</si>
  <si>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</si>
  <si>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</si>
  <si>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</si>
  <si>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</si>
  <si>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</si>
  <si>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</si>
  <si>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</si>
  <si>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</si>
  <si>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</si>
  <si>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</si>
  <si>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</si>
  <si>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</si>
  <si>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</si>
  <si>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</si>
  <si>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</si>
  <si>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</si>
  <si>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</si>
  <si>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</si>
  <si>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</si>
  <si>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</si>
  <si>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</si>
  <si>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</si>
  <si>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</si>
  <si>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</si>
  <si>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</si>
  <si>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</si>
  <si>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</si>
  <si>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</si>
  <si>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</si>
  <si>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</si>
  <si>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</si>
  <si>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</si>
  <si>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</si>
  <si>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</si>
  <si>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</si>
  <si>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</si>
  <si>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</si>
  <si>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</si>
  <si>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</si>
  <si>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</si>
  <si>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</si>
  <si>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</si>
  <si>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</si>
  <si>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</si>
  <si>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</si>
  <si>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</si>
  <si>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</si>
  <si>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</si>
  <si>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</si>
  <si>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</si>
  <si>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</si>
  <si>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</si>
  <si>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</si>
  <si>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</si>
  <si>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</si>
  <si>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</si>
  <si>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</si>
  <si>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</si>
  <si>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</si>
  <si>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</si>
  <si>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</si>
  <si>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</si>
  <si>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</si>
  <si>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</si>
  <si>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</si>
  <si>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</si>
  <si>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</si>
  <si>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</si>
  <si>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</si>
  <si>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</si>
  <si>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</si>
  <si>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</si>
  <si>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</si>
  <si>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</si>
  <si>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</si>
  <si>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</si>
  <si>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</si>
  <si>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</si>
  <si>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</si>
  <si>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</si>
  <si>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</si>
  <si>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</si>
  <si>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</si>
  <si>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</si>
  <si>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</si>
  <si>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</si>
  <si>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</si>
  <si>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</si>
  <si>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</si>
  <si>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</si>
  <si>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</si>
  <si>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</si>
  <si>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</si>
  <si>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</si>
  <si>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</si>
  <si>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</si>
  <si>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</si>
  <si>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</si>
  <si>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</si>
  <si>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</si>
  <si>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</si>
  <si>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</si>
  <si>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</si>
  <si>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</si>
  <si>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</si>
  <si>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</si>
  <si>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</si>
  <si>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</si>
  <si>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</si>
  <si>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</si>
  <si>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</si>
  <si>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</si>
  <si>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</si>
  <si>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</si>
  <si>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</si>
  <si>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</si>
  <si>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</si>
  <si>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</si>
  <si>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</si>
  <si>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</si>
  <si>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</si>
  <si>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</si>
  <si>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</si>
  <si>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</si>
  <si>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</si>
  <si>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</si>
  <si>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</si>
  <si>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</si>
  <si>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</si>
  <si>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</si>
  <si>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</si>
  <si>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</si>
  <si>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</si>
  <si>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</si>
  <si>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</si>
  <si>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</si>
  <si>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</si>
  <si>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</si>
  <si>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</si>
  <si>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</si>
  <si>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</si>
  <si>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</si>
  <si>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</si>
  <si>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</si>
  <si>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</si>
  <si>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</si>
  <si>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</si>
  <si>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</si>
  <si>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</si>
  <si>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</si>
  <si>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</si>
  <si>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</si>
  <si>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</si>
  <si>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</si>
  <si>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</si>
  <si>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</si>
  <si>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</si>
  <si>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</si>
  <si>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</si>
  <si>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</si>
  <si>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</si>
  <si>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</si>
  <si>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</si>
  <si>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</si>
  <si>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</si>
  <si>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</si>
  <si>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</si>
  <si>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</si>
  <si>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</si>
  <si>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</si>
  <si>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</si>
  <si>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</si>
  <si>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</si>
  <si>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</si>
  <si>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</si>
  <si>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</si>
  <si>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</si>
  <si>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</si>
  <si>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</si>
  <si>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</si>
  <si>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</si>
  <si>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</si>
  <si>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</si>
  <si>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</si>
  <si>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</si>
  <si>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</si>
  <si>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</si>
  <si>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</si>
  <si>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</si>
  <si>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</si>
  <si>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</si>
  <si>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</si>
  <si>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</si>
  <si>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</si>
  <si>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</si>
  <si>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</si>
  <si>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</si>
  <si>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</si>
  <si>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</si>
  <si>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</si>
  <si>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</si>
  <si>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</si>
  <si>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</si>
  <si>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</si>
  <si>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</si>
  <si>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</si>
  <si>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</si>
  <si>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</si>
  <si>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</si>
  <si>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</si>
  <si>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</si>
  <si>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</si>
  <si>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</si>
  <si>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</si>
  <si>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</si>
  <si>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</si>
  <si>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</si>
  <si>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</si>
  <si>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</si>
  <si>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</si>
  <si>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</si>
  <si>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</si>
  <si>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</si>
  <si>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</si>
  <si>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</si>
  <si>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</si>
  <si>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</si>
  <si>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</si>
  <si>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</si>
  <si>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</si>
  <si>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</si>
  <si>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</si>
  <si>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</si>
  <si>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</si>
  <si>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</si>
  <si>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</si>
  <si>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</si>
  <si>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</si>
  <si>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</si>
  <si>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</si>
  <si>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</si>
  <si>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</si>
  <si>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</si>
  <si>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</si>
  <si>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</si>
  <si>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</si>
  <si>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</si>
  <si>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</si>
  <si>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</si>
  <si>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</si>
  <si>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</si>
  <si>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</si>
  <si>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</si>
  <si>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</si>
  <si>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</si>
  <si>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</si>
  <si>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</si>
  <si>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</si>
  <si>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</si>
  <si>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</si>
  <si>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</si>
  <si>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</si>
  <si>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</si>
  <si>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</si>
  <si>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</si>
  <si>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</si>
  <si>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</si>
  <si>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</si>
  <si>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</si>
  <si>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</si>
  <si>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</si>
  <si>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</si>
  <si>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</si>
  <si>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</si>
  <si>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</si>
  <si>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</si>
  <si>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</si>
  <si>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</si>
  <si>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</si>
  <si>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</si>
  <si>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</si>
  <si>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</si>
  <si>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</si>
  <si>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</si>
  <si>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</si>
  <si>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</si>
  <si>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</si>
  <si>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</si>
  <si>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</si>
  <si>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</si>
  <si>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</si>
  <si>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</si>
  <si>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</si>
  <si>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</si>
  <si>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</si>
  <si>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</si>
  <si>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</si>
  <si>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</si>
  <si>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</si>
  <si>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</si>
  <si>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</si>
  <si>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</si>
  <si>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</si>
  <si>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</si>
  <si>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</si>
  <si>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</si>
  <si>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</si>
  <si>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</si>
  <si>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</si>
  <si>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</si>
  <si>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</si>
  <si>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</si>
  <si>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</si>
  <si>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</si>
  <si>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</si>
  <si>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</si>
  <si>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</si>
  <si>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</si>
  <si>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</si>
  <si>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</si>
  <si>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</si>
  <si>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</si>
  <si>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</si>
  <si>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</si>
  <si>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</si>
  <si>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</si>
  <si>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</si>
  <si>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</si>
  <si>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</si>
  <si>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</si>
  <si>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</si>
  <si>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</si>
  <si>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</si>
  <si>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</si>
  <si>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</si>
  <si>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</si>
  <si>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</si>
  <si>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</si>
  <si>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</si>
  <si>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</si>
  <si>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</si>
  <si>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</si>
  <si>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</si>
  <si>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</si>
  <si>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</si>
  <si>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</si>
  <si>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</si>
  <si>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</si>
  <si>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</si>
  <si>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</si>
  <si>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</si>
  <si>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</si>
  <si>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</si>
  <si>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</si>
  <si>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</si>
  <si>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</si>
  <si>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</si>
  <si>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</si>
  <si>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</si>
  <si>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</si>
  <si>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</si>
  <si>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</si>
  <si>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</si>
  <si>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</si>
  <si>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</si>
  <si>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</si>
  <si>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</si>
  <si>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</si>
  <si>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</si>
  <si>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</si>
  <si>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</si>
  <si>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</si>
  <si>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</si>
  <si>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</si>
  <si>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</si>
  <si>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</si>
  <si>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</si>
  <si>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</si>
  <si>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</si>
  <si>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</si>
  <si>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</si>
  <si>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</si>
  <si>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</si>
  <si>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</si>
  <si>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</si>
  <si>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</si>
  <si>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</si>
  <si>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</si>
  <si>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</si>
  <si>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</si>
  <si>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</si>
  <si>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</si>
  <si>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</si>
  <si>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</si>
  <si>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</si>
  <si>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</si>
  <si>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</si>
  <si>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</si>
  <si>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</si>
  <si>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</si>
  <si>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</si>
  <si>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</si>
  <si>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</si>
  <si>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</si>
  <si>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</si>
  <si>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</si>
  <si>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</si>
  <si>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</si>
  <si>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</si>
  <si>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</si>
  <si>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</si>
  <si>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</si>
  <si>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</si>
  <si>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</si>
  <si>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</si>
  <si>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</si>
  <si>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</si>
  <si>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</si>
  <si>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</si>
  <si>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</si>
  <si>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</si>
  <si>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</si>
  <si>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</si>
  <si>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</si>
  <si>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</si>
  <si>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</si>
  <si>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</si>
  <si>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</si>
  <si>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</si>
  <si>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</si>
  <si>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</si>
  <si>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</si>
  <si>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</si>
  <si>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</si>
  <si>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</si>
  <si>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</si>
  <si>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</si>
  <si>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</si>
  <si>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</si>
  <si>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</si>
  <si>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</si>
  <si>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</si>
  <si>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</si>
  <si>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</si>
  <si>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</si>
  <si>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</si>
  <si>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</si>
  <si>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</si>
  <si>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</si>
  <si>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</si>
  <si>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</si>
  <si>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</si>
  <si>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</si>
  <si>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</si>
  <si>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</si>
  <si>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</si>
  <si>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</si>
  <si>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</si>
  <si>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</si>
  <si>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</si>
  <si>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</si>
  <si>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</si>
  <si>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</si>
  <si>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</si>
  <si>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</si>
  <si>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</si>
  <si>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</si>
  <si>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</si>
  <si>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</si>
  <si>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</si>
  <si>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</si>
  <si>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</si>
  <si>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</si>
  <si>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</si>
  <si>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</si>
  <si>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</si>
  <si>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</si>
  <si>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</si>
  <si>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</si>
  <si>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</si>
  <si>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</si>
  <si>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</si>
  <si>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</si>
  <si>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</si>
  <si>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</si>
  <si>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</si>
  <si>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</si>
  <si>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</si>
  <si>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</si>
  <si>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</si>
  <si>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</si>
  <si>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</si>
  <si>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</si>
  <si>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</si>
  <si>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</si>
  <si>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</si>
  <si>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</si>
  <si>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</si>
  <si>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</si>
  <si>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</si>
  <si>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</si>
  <si>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</si>
  <si>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</si>
  <si>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</si>
  <si>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</si>
  <si>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</si>
  <si>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</si>
  <si>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</si>
  <si>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</si>
  <si>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</si>
  <si>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</si>
  <si>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</si>
  <si>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</si>
  <si>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</si>
  <si>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</si>
  <si>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</si>
  <si>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</si>
  <si>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</si>
  <si>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</si>
  <si>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</si>
  <si>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</si>
  <si>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</si>
  <si>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</si>
  <si>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</si>
  <si>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</si>
  <si>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</si>
  <si>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</si>
  <si>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</si>
  <si>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</si>
  <si>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</si>
  <si>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</si>
  <si>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</si>
  <si>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</si>
  <si>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</si>
  <si>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</si>
  <si>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</si>
  <si>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</si>
  <si>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</si>
  <si>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</si>
  <si>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</si>
  <si>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</si>
  <si>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</si>
  <si>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</si>
  <si>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</si>
  <si>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</si>
  <si>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</si>
  <si>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</si>
  <si>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</si>
  <si>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</si>
  <si>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</si>
  <si>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</si>
  <si>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</si>
  <si>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</si>
  <si>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</si>
  <si>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</si>
  <si>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</si>
  <si>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</si>
  <si>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</si>
  <si>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</si>
  <si>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</si>
  <si>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</si>
  <si>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</si>
  <si>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</si>
  <si>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</si>
  <si>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</si>
  <si>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</si>
  <si>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</si>
  <si>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</si>
  <si>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</si>
  <si>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</si>
  <si>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</si>
  <si>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</si>
  <si>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</si>
  <si>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</si>
  <si>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</si>
  <si>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</si>
  <si>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</si>
  <si>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</si>
  <si>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</si>
  <si>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</si>
  <si>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</si>
  <si>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</si>
  <si>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</si>
  <si>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</si>
  <si>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</si>
  <si>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</si>
  <si>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</si>
  <si>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</si>
  <si>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</si>
  <si>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</si>
  <si>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</si>
  <si>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</si>
  <si>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</si>
  <si>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</si>
  <si>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</si>
  <si>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</si>
  <si>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</si>
  <si>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</si>
  <si>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</si>
  <si>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</si>
  <si>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</si>
  <si>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</si>
  <si>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</si>
  <si>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</si>
  <si>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</si>
  <si>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</si>
  <si>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</si>
  <si>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</si>
  <si>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</si>
  <si>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</si>
  <si>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</si>
  <si>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</si>
  <si>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</si>
  <si>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</si>
  <si>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</si>
  <si>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</si>
  <si>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</si>
  <si>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</si>
  <si>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</si>
  <si>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</si>
  <si>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</si>
  <si>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</si>
  <si>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</si>
  <si>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</si>
  <si>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</si>
  <si>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</si>
  <si>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</si>
  <si>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</si>
  <si>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</si>
  <si>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</si>
  <si>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</si>
  <si>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</si>
  <si>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</si>
  <si>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</si>
  <si>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</si>
  <si>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</si>
  <si>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</si>
  <si>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</si>
  <si>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</si>
  <si>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</si>
  <si>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</si>
  <si>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</si>
  <si>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</si>
  <si>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</si>
  <si>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</si>
  <si>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</si>
  <si>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</si>
  <si>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</si>
  <si>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</si>
  <si>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</si>
  <si>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</si>
  <si>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</si>
  <si>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</si>
  <si>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</si>
  <si>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</si>
  <si>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</si>
  <si>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</si>
  <si>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</si>
  <si>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</si>
  <si>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</si>
  <si>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</si>
  <si>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</si>
  <si>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</si>
  <si>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</si>
  <si>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</si>
  <si>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</si>
  <si>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</si>
  <si>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</si>
  <si>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</si>
  <si>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</si>
  <si>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</si>
  <si>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</si>
  <si>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</si>
  <si>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</si>
  <si>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</si>
  <si>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</si>
  <si>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</si>
  <si>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</si>
  <si>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</si>
  <si>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</si>
  <si>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</si>
  <si>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</si>
  <si>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</si>
  <si>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</si>
  <si>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</si>
  <si>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</si>
  <si>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</si>
  <si>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</si>
  <si>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</si>
  <si>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</si>
  <si>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</si>
  <si>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</si>
  <si>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</si>
  <si>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</si>
  <si>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</si>
  <si>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</si>
  <si>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</si>
  <si>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</si>
  <si>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</si>
  <si>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</si>
  <si>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</si>
  <si>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</si>
  <si>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</si>
  <si>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</si>
  <si>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</si>
  <si>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</si>
  <si>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</si>
  <si>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</si>
  <si>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</si>
  <si>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</si>
  <si>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</si>
  <si>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</si>
  <si>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</si>
  <si>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</si>
  <si>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</si>
  <si>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</si>
  <si>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</si>
  <si>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</si>
  <si>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</si>
  <si>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</si>
  <si>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</si>
  <si>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</si>
  <si>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</si>
  <si>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</si>
  <si>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</si>
  <si>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</si>
  <si>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</si>
  <si>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</si>
  <si>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</si>
  <si>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</si>
  <si>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</si>
  <si>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</si>
  <si>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</si>
  <si>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</si>
  <si>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</si>
  <si>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</si>
  <si>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</si>
  <si>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</si>
  <si>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</si>
  <si>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</si>
  <si>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</si>
  <si>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</si>
  <si>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</si>
  <si>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</si>
  <si>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</si>
  <si>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</si>
  <si>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</si>
  <si>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</si>
  <si>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</si>
  <si>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</si>
  <si>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</si>
  <si>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</si>
  <si>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</si>
  <si>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</si>
  <si>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</si>
  <si>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</si>
  <si>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</si>
  <si>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</si>
  <si>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</si>
  <si>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</si>
  <si>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</si>
  <si>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</si>
  <si>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</si>
  <si>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</si>
  <si>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</si>
  <si>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</si>
  <si>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</si>
  <si>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</si>
  <si>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</si>
  <si>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</si>
  <si>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</si>
  <si>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</si>
  <si>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</si>
  <si>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</si>
  <si>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</si>
  <si>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</si>
  <si>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</si>
  <si>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</si>
  <si>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</si>
  <si>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</si>
  <si>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</si>
  <si>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</si>
  <si>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</si>
  <si>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</si>
  <si>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</si>
  <si>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</si>
  <si>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</si>
  <si>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</si>
  <si>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</si>
  <si>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</si>
  <si>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</si>
  <si>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</si>
  <si>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</si>
  <si>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</si>
  <si>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</si>
  <si>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</si>
  <si>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</si>
  <si>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</si>
  <si>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</si>
  <si>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</si>
  <si>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</si>
  <si>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</si>
  <si>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</si>
  <si>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</si>
  <si>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</si>
  <si>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</si>
  <si>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</si>
  <si>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</si>
  <si>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</si>
  <si>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</si>
  <si>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</si>
  <si>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</si>
  <si>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</si>
  <si>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</si>
  <si>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</si>
  <si>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</si>
  <si>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</si>
  <si>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</si>
  <si>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</si>
  <si>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</si>
  <si>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</si>
  <si>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</si>
  <si>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</si>
  <si>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</si>
  <si>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</si>
  <si>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</si>
  <si>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</si>
  <si>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</si>
  <si>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</si>
  <si>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</si>
  <si>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</si>
  <si>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</si>
  <si>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</si>
  <si>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</si>
  <si>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</si>
  <si>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</si>
  <si>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</si>
  <si>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</si>
  <si>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</si>
  <si>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</si>
  <si>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</si>
  <si>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</si>
  <si>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</si>
  <si>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</si>
  <si>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</si>
  <si>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</si>
  <si>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</si>
  <si>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</si>
  <si>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</si>
  <si>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</si>
  <si>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</si>
  <si>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</si>
  <si>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</si>
  <si>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</si>
  <si>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</si>
  <si>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</si>
  <si>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</si>
  <si>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</si>
  <si>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</si>
  <si>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</si>
  <si>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</si>
  <si>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</si>
  <si>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</si>
  <si>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</si>
  <si>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</si>
  <si>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</si>
  <si>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</si>
  <si>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</si>
  <si>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</si>
  <si>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</si>
  <si>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</si>
  <si>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</si>
  <si>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</si>
  <si>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</si>
  <si>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</si>
  <si>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</si>
  <si>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</si>
  <si>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</si>
  <si>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</si>
  <si>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</si>
  <si>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</si>
  <si>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</si>
  <si>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</si>
  <si>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</si>
  <si>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</si>
  <si>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</si>
  <si>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</si>
  <si>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</si>
  <si>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</si>
  <si>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</si>
  <si>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</si>
  <si>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</si>
  <si>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</si>
  <si>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</si>
  <si>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</si>
  <si>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</si>
  <si>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</si>
  <si>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</si>
  <si>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</si>
  <si>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</si>
  <si>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</si>
  <si>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</si>
  <si>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</si>
  <si>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</si>
  <si>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</si>
  <si>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</si>
  <si>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</si>
  <si>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</si>
  <si>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</si>
  <si>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</si>
  <si>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</si>
  <si>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</si>
  <si>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</si>
  <si>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</si>
  <si>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</si>
  <si>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</si>
  <si>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</si>
  <si>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</si>
  <si>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</si>
  <si>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</si>
  <si>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</si>
  <si>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</si>
  <si>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</si>
  <si>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</si>
  <si>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</si>
  <si>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</si>
  <si>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</si>
  <si>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</si>
  <si>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</si>
  <si>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</si>
  <si>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</si>
  <si>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</si>
  <si>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</si>
  <si>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</si>
  <si>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</si>
  <si>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</si>
  <si>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</si>
  <si>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</si>
  <si>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</si>
  <si>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</si>
  <si>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</si>
  <si>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</si>
  <si>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</si>
  <si>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</si>
  <si>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</si>
  <si>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</si>
  <si>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</si>
  <si>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</si>
  <si>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</si>
  <si>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</si>
  <si>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</si>
  <si>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</si>
  <si>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</si>
  <si>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</si>
  <si>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</si>
  <si>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</si>
  <si>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</si>
  <si>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</si>
  <si>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</si>
  <si>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</si>
  <si>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</si>
  <si>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</si>
  <si>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</si>
  <si>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</si>
  <si>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</si>
  <si>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</si>
  <si>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</si>
  <si>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</si>
  <si>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</si>
  <si>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</si>
  <si>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</si>
  <si>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</si>
  <si>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</si>
  <si>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</si>
  <si>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</si>
  <si>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</si>
  <si>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</si>
  <si>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</si>
  <si>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</si>
  <si>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</si>
  <si>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</si>
  <si>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</si>
  <si>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</si>
  <si>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</si>
  <si>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</si>
  <si>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</si>
  <si>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</si>
  <si>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</si>
  <si>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</si>
  <si>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</si>
  <si>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</si>
  <si>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</si>
  <si>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</si>
  <si>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</si>
  <si>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</si>
  <si>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</si>
  <si>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</si>
  <si>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</si>
  <si>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</si>
  <si>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</si>
  <si>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</si>
  <si>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</si>
  <si>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</si>
  <si>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</si>
  <si>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</si>
  <si>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</si>
  <si>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</si>
  <si>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</si>
  <si>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</si>
  <si>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</si>
  <si>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</si>
  <si>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</si>
  <si>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</si>
  <si>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</si>
  <si>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</si>
  <si>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</si>
  <si>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</si>
  <si>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</si>
  <si>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</si>
  <si>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</si>
  <si>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</si>
  <si>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</si>
  <si>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</si>
  <si>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</si>
  <si>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</si>
  <si>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</si>
  <si>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</si>
  <si>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</si>
  <si>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</si>
  <si>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</si>
  <si>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</si>
  <si>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</si>
  <si>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</si>
  <si>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</si>
  <si>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</si>
  <si>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</si>
  <si>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</si>
  <si>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</si>
  <si>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</si>
  <si>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</si>
  <si>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</si>
  <si>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</si>
  <si>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</si>
  <si>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</si>
  <si>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</si>
  <si>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</si>
  <si>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</si>
  <si>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</si>
  <si>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</si>
  <si>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</si>
  <si>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</si>
  <si>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</si>
  <si>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</si>
  <si>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</si>
  <si>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</si>
  <si>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</si>
  <si>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</si>
  <si>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</si>
  <si>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</si>
  <si>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</si>
  <si>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</si>
  <si>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</si>
  <si>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</si>
  <si>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</si>
  <si>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</si>
  <si>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</si>
  <si>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</si>
  <si>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</si>
  <si>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</si>
  <si>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</si>
  <si>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</si>
  <si>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</si>
  <si>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</si>
  <si>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</si>
  <si>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</si>
  <si>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</si>
  <si>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</si>
  <si>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</si>
  <si>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</si>
  <si>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</si>
  <si>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</si>
  <si>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</si>
  <si>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</si>
  <si>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</si>
  <si>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</si>
  <si>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</si>
  <si>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</si>
  <si>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</si>
  <si>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</si>
  <si>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</si>
  <si>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</si>
  <si>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</si>
  <si>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</si>
  <si>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</si>
  <si>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</si>
  <si>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</si>
  <si>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</si>
  <si>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</si>
  <si>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</si>
  <si>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</si>
  <si>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</si>
  <si>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</si>
  <si>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</si>
  <si>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</si>
  <si>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</si>
  <si>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</si>
  <si>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</si>
  <si>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</si>
  <si>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</si>
  <si>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</si>
  <si>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</si>
  <si>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</si>
  <si>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</si>
  <si>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</si>
  <si>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</si>
  <si>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</si>
  <si>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</si>
  <si>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</si>
  <si>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</si>
  <si>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</si>
  <si>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</si>
  <si>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</si>
  <si>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</si>
  <si>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</si>
  <si>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</si>
  <si>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</si>
  <si>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</si>
  <si>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</si>
  <si>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</si>
  <si>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</si>
  <si>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</si>
  <si>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</si>
  <si>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</si>
  <si>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</si>
  <si>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</si>
  <si>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</si>
  <si>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</si>
  <si>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</si>
  <si>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</si>
  <si>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</si>
  <si>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</si>
  <si>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</si>
  <si>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</si>
  <si>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</si>
  <si>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</si>
  <si>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</si>
  <si>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</si>
  <si>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</si>
  <si>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</si>
  <si>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</si>
  <si>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</si>
  <si>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</si>
  <si>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</si>
  <si>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</si>
  <si>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</si>
  <si>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</si>
  <si>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</si>
  <si>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</si>
  <si>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</si>
  <si>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</si>
  <si>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</si>
  <si>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</si>
  <si>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</si>
  <si>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</si>
  <si>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</si>
  <si>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</si>
  <si>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</si>
  <si>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</si>
  <si>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</si>
  <si>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</si>
  <si>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</si>
  <si>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</si>
  <si>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</si>
  <si>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</si>
  <si>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</si>
  <si>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</si>
  <si>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</si>
  <si>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</si>
  <si>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</si>
  <si>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</si>
  <si>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</si>
  <si>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</si>
  <si>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</si>
  <si>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</si>
  <si>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</si>
  <si>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</si>
  <si>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</si>
  <si>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</si>
  <si>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</si>
  <si>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</si>
  <si>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</si>
  <si>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</si>
  <si>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</si>
  <si>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</si>
  <si>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</si>
  <si>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</si>
  <si>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</si>
  <si>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</si>
  <si>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</si>
  <si>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</si>
  <si>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</si>
  <si>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</si>
  <si>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</si>
  <si>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</si>
  <si>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</si>
  <si>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</si>
  <si>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</si>
  <si>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</si>
  <si>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</si>
  <si>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</si>
  <si>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</si>
  <si>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</si>
  <si>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</si>
  <si>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</si>
  <si>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</si>
  <si>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</si>
  <si>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</si>
  <si>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</si>
  <si>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</si>
  <si>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</si>
  <si>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</si>
  <si>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</si>
  <si>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</si>
  <si>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</si>
  <si>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</si>
  <si>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</si>
  <si>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</si>
  <si>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</si>
  <si>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</si>
  <si>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</si>
  <si>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</si>
  <si>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</si>
  <si>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</si>
  <si>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</si>
  <si>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</si>
  <si>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</si>
  <si>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</si>
  <si>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</si>
  <si>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</si>
  <si>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</si>
  <si>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</si>
  <si>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</si>
  <si>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</si>
  <si>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</si>
  <si>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</si>
  <si>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</si>
  <si>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</si>
  <si>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</si>
  <si>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</si>
  <si>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</si>
  <si>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</si>
  <si>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</si>
  <si>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</si>
  <si>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</si>
  <si>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</si>
  <si>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</si>
  <si>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</si>
  <si>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</si>
  <si>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</si>
  <si>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</si>
  <si>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</si>
  <si>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</si>
  <si>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</si>
  <si>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</si>
  <si>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</si>
  <si>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</si>
  <si>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</si>
  <si>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</si>
  <si>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</si>
  <si>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</si>
  <si>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</si>
  <si>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</si>
  <si>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</si>
  <si>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</si>
  <si>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</si>
  <si>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</si>
  <si>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</si>
  <si>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</si>
  <si>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</si>
  <si>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</si>
  <si>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</si>
  <si>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</si>
  <si>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</si>
  <si>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</si>
  <si>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</si>
  <si>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</si>
  <si>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</si>
  <si>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</si>
  <si>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</si>
  <si>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</si>
  <si>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</si>
  <si>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</si>
  <si>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</si>
  <si>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</si>
  <si>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</si>
  <si>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</si>
  <si>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</si>
  <si>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</si>
  <si>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</si>
  <si>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</si>
  <si>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</si>
  <si>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</si>
  <si>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</si>
  <si>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</si>
  <si>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</si>
  <si>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</si>
  <si>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</si>
  <si>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</si>
  <si>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</si>
  <si>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</si>
  <si>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</si>
  <si>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</si>
  <si>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</si>
  <si>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</si>
  <si>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</si>
  <si>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</si>
  <si>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</si>
  <si>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</si>
  <si>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</si>
  <si>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</si>
  <si>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</si>
  <si>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</si>
  <si>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</si>
  <si>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</si>
  <si>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</si>
  <si>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</si>
  <si>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</si>
  <si>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</si>
  <si>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</si>
  <si>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</si>
  <si>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</si>
  <si>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</si>
  <si>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</si>
  <si>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</si>
  <si>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</si>
  <si>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</si>
  <si>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</si>
  <si>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</si>
  <si>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</si>
  <si>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</si>
  <si>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</si>
  <si>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</si>
  <si>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</si>
  <si>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</si>
  <si>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</si>
  <si>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</si>
  <si>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</si>
  <si>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</si>
  <si>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</si>
  <si>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</si>
  <si>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</si>
  <si>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</si>
  <si>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</si>
  <si>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</si>
  <si>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</si>
  <si>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</si>
  <si>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</si>
  <si>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</si>
  <si>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</si>
  <si>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</si>
  <si>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</si>
  <si>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</si>
  <si>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</si>
  <si>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</si>
  <si>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</si>
  <si>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</si>
  <si>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</si>
  <si>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</si>
  <si>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</si>
  <si>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</si>
  <si>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</si>
  <si>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</si>
  <si>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</si>
  <si>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</si>
  <si>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</si>
  <si>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</si>
  <si>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</si>
  <si>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</si>
  <si>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</si>
  <si>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</si>
  <si>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</si>
  <si>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</si>
  <si>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</si>
  <si>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</si>
  <si>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</si>
  <si>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</si>
  <si>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</si>
  <si>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</si>
  <si>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</si>
  <si>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</si>
  <si>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</si>
  <si>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</si>
  <si>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</si>
  <si>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</si>
  <si>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</si>
  <si>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</si>
  <si>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</si>
  <si>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</si>
  <si>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</si>
  <si>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</si>
  <si>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</si>
  <si>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</si>
  <si>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</si>
  <si>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</si>
  <si>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</si>
  <si>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</si>
  <si>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</si>
  <si>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</si>
  <si>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</si>
  <si>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</si>
  <si>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</si>
  <si>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</si>
  <si>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</si>
  <si>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</si>
  <si>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</si>
  <si>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</si>
  <si>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</si>
  <si>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</si>
  <si>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</si>
  <si>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</si>
  <si>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</si>
  <si>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</si>
  <si>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</si>
  <si>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</si>
  <si>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</si>
  <si>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</si>
  <si>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</si>
  <si>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</si>
  <si>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</si>
  <si>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</si>
  <si>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</si>
  <si>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</si>
  <si>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</si>
  <si>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</si>
  <si>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</si>
  <si>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</si>
  <si>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</si>
  <si>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</si>
  <si>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</si>
  <si>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</si>
  <si>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</si>
  <si>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</si>
  <si>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</si>
  <si>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</si>
  <si>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</si>
  <si>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</si>
  <si>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</si>
  <si>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</si>
  <si>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</si>
  <si>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</si>
  <si>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</si>
  <si>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</si>
  <si>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</si>
  <si>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</si>
  <si>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</si>
  <si>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</si>
  <si>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</si>
  <si>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</si>
  <si>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</si>
  <si>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</si>
  <si>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</si>
  <si>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</si>
  <si>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</si>
  <si>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</si>
  <si>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</si>
  <si>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</si>
  <si>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</si>
  <si>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</si>
  <si>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</si>
  <si>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</si>
  <si>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</si>
  <si>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</si>
  <si>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</si>
  <si>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</si>
  <si>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</si>
  <si>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</si>
  <si>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</si>
  <si>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</si>
  <si>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</si>
  <si>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</si>
  <si>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</si>
  <si>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</si>
  <si>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</si>
  <si>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</si>
  <si>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</si>
  <si>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</si>
  <si>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</si>
  <si>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</si>
  <si>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</si>
  <si>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</si>
  <si>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</si>
  <si>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</si>
  <si>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</si>
  <si>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</si>
  <si>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</si>
  <si>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</si>
  <si>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</si>
  <si>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</si>
  <si>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</si>
  <si>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</si>
  <si>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</si>
  <si>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</si>
  <si>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</si>
  <si>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</si>
  <si>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</si>
  <si>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</si>
  <si>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</si>
  <si>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</si>
  <si>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</si>
  <si>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</si>
  <si>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</si>
  <si>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</si>
  <si>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</si>
  <si>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</si>
  <si>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</si>
  <si>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</si>
  <si>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</si>
  <si>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</si>
  <si>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</si>
  <si>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</si>
  <si>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</si>
  <si>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</si>
  <si>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</si>
  <si>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</si>
  <si>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</si>
  <si>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</si>
  <si>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</si>
  <si>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</si>
  <si>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</si>
  <si>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</si>
  <si>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</si>
  <si>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</si>
  <si>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</si>
  <si>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</si>
  <si>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</si>
  <si>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</si>
  <si>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</si>
  <si>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</si>
  <si>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</si>
  <si>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</si>
  <si>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</si>
  <si>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</si>
  <si>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</si>
  <si>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</si>
  <si>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</si>
  <si>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</si>
  <si>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</si>
  <si>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</si>
  <si>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</si>
  <si>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</si>
  <si>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</si>
  <si>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</si>
  <si>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</si>
  <si>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</si>
  <si>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</si>
  <si>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</si>
  <si>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</si>
  <si>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</si>
  <si>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</si>
  <si>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</si>
  <si>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</si>
  <si>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</si>
  <si>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</si>
  <si>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</si>
  <si>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</si>
  <si>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</si>
  <si>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</si>
  <si>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</si>
  <si>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</si>
  <si>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</si>
  <si>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</si>
  <si>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</si>
  <si>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</si>
  <si>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</si>
  <si>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</si>
  <si>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</si>
  <si>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</si>
  <si>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</si>
  <si>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</si>
  <si>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</si>
  <si>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</si>
  <si>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</si>
  <si>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</si>
  <si>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</si>
  <si>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</si>
  <si>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</si>
  <si>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</si>
  <si>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</si>
  <si>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</si>
  <si>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</si>
  <si>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</si>
  <si>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</si>
  <si>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</si>
  <si>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</si>
  <si>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</si>
  <si>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</si>
  <si>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</si>
  <si>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</si>
  <si>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</si>
  <si>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</si>
  <si>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</si>
  <si>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</si>
  <si>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</si>
  <si>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</si>
  <si>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</si>
  <si>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</si>
  <si>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</si>
  <si>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</si>
  <si>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</si>
  <si>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</si>
  <si>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</si>
  <si>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</si>
  <si>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</si>
  <si>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</si>
  <si>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</si>
  <si>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</si>
  <si>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</si>
  <si>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</si>
  <si>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</si>
  <si>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</si>
  <si>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</si>
  <si>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</si>
  <si>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</si>
  <si>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</si>
  <si>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</si>
  <si>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</si>
  <si>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</si>
  <si>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</si>
  <si>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</si>
  <si>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</si>
  <si>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</si>
  <si>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</si>
  <si>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</si>
  <si>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</si>
  <si>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</si>
  <si>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</si>
  <si>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</si>
  <si>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</si>
  <si>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</si>
  <si>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</si>
  <si>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</si>
  <si>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</si>
  <si>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</si>
  <si>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</si>
  <si>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</si>
  <si>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</si>
  <si>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</si>
  <si>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</si>
  <si>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</si>
  <si>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</si>
  <si>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</si>
  <si>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</si>
  <si>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</si>
  <si>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</si>
  <si>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</si>
  <si>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</si>
  <si>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</si>
  <si>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</si>
  <si>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</si>
  <si>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</si>
  <si>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</si>
  <si>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</si>
  <si>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</si>
  <si>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</si>
  <si>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</si>
  <si>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</si>
  <si>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</si>
  <si>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</si>
  <si>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</si>
  <si>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</si>
  <si>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</si>
  <si>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</si>
  <si>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</si>
  <si>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</si>
  <si>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</si>
  <si>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</si>
  <si>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</si>
  <si>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</si>
  <si>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</si>
  <si>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</si>
  <si>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</si>
  <si>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</si>
  <si>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</si>
  <si>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</si>
  <si>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</si>
  <si>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</si>
  <si>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</si>
  <si>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</si>
  <si>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</si>
  <si>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</si>
  <si>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</si>
  <si>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</si>
  <si>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</si>
  <si>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</si>
  <si>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</si>
  <si>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</si>
  <si>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</si>
  <si>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</si>
  <si>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</si>
  <si>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</si>
  <si>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</si>
  <si>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</si>
  <si>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</si>
  <si>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</si>
  <si>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</si>
  <si>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</si>
  <si>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</si>
  <si>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</si>
  <si>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</si>
  <si>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</si>
  <si>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</si>
  <si>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</si>
  <si>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</si>
  <si>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</si>
  <si>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</si>
  <si>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</si>
  <si>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</si>
  <si>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</si>
  <si>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</si>
  <si>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</si>
  <si>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</si>
  <si>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</si>
  <si>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</si>
  <si>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</si>
  <si>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</si>
  <si>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</si>
  <si>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</si>
  <si>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</si>
  <si>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</si>
  <si>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</si>
  <si>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</si>
  <si>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</si>
  <si>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</si>
  <si>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</si>
  <si>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</si>
  <si>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</si>
  <si>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</si>
  <si>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</si>
  <si>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</si>
  <si>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</si>
  <si>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</si>
  <si>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</si>
  <si>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</si>
  <si>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</si>
  <si>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</si>
  <si>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</si>
  <si>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</si>
  <si>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</si>
  <si>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</si>
  <si>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</si>
  <si>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</si>
  <si>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</si>
  <si>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</si>
  <si>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</si>
  <si>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</si>
  <si>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</si>
  <si>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</si>
  <si>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</si>
  <si>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</si>
  <si>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</si>
  <si>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</si>
  <si>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</si>
  <si>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</si>
  <si>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</si>
  <si>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</si>
  <si>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</si>
  <si>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</si>
  <si>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</si>
  <si>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</si>
  <si>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</si>
  <si>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</si>
  <si>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</si>
  <si>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</si>
  <si>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</si>
  <si>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</si>
  <si>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</si>
  <si>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</si>
  <si>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</si>
  <si>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</si>
  <si>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</si>
  <si>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</si>
  <si>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</si>
  <si>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</si>
  <si>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</si>
  <si>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</si>
  <si>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</si>
  <si>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</si>
  <si>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</si>
  <si>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</si>
  <si>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</si>
  <si>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</si>
  <si>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</si>
  <si>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</si>
  <si>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</si>
  <si>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</si>
  <si>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</si>
  <si>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</si>
  <si>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</si>
  <si>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</si>
  <si>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</si>
  <si>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</si>
  <si>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</si>
  <si>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</si>
  <si>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</si>
  <si>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</si>
  <si>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</si>
  <si>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</si>
  <si>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</si>
  <si>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</si>
  <si>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</si>
  <si>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</si>
  <si>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</si>
  <si>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</si>
  <si>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</si>
  <si>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</si>
  <si>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</si>
  <si>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</si>
  <si>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</si>
  <si>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</si>
  <si>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</si>
  <si>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</si>
  <si>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</si>
  <si>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</si>
  <si>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</si>
  <si>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</si>
  <si>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</si>
  <si>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</si>
  <si>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</si>
  <si>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</si>
  <si>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</si>
  <si>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</si>
  <si>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</si>
  <si>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</si>
  <si>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</si>
  <si>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</si>
  <si>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</si>
  <si>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</si>
  <si>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</si>
  <si>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</si>
  <si>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</si>
  <si>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</si>
  <si>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</si>
  <si>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</si>
  <si>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</si>
  <si>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</si>
  <si>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</si>
  <si>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</si>
  <si>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</si>
  <si>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</si>
  <si>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</si>
  <si>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</si>
  <si>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</si>
  <si>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</si>
  <si>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</si>
  <si>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</si>
  <si>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</si>
  <si>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</si>
  <si>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</si>
  <si>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</si>
  <si>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</si>
  <si>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</si>
  <si>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</si>
  <si>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</si>
  <si>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</si>
  <si>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</si>
  <si>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</si>
  <si>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</si>
  <si>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</si>
  <si>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</si>
  <si>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</si>
  <si>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</si>
  <si>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</si>
  <si>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</si>
  <si>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</si>
  <si>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</si>
  <si>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</si>
  <si>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</si>
  <si>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</si>
  <si>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</si>
  <si>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</si>
  <si>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</si>
  <si>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</si>
  <si>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</si>
  <si>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</si>
  <si>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</si>
  <si>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</si>
  <si>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</si>
  <si>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</si>
  <si>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</si>
  <si>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</si>
  <si>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</si>
  <si>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</si>
  <si>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</si>
  <si>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</si>
  <si>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</si>
  <si>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</si>
  <si>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</si>
  <si>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</si>
  <si>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</si>
  <si>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</si>
  <si>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</si>
  <si>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</si>
  <si>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</si>
  <si>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</si>
  <si>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</si>
  <si>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</si>
  <si>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</si>
  <si>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</si>
  <si>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</si>
  <si>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</si>
  <si>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</si>
  <si>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</si>
  <si>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</si>
  <si>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</si>
  <si>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</si>
  <si>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</si>
  <si>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</si>
  <si>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</si>
  <si>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</si>
  <si>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</si>
  <si>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</si>
  <si>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</si>
  <si>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</si>
  <si>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</si>
  <si>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</si>
  <si>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</si>
  <si>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</si>
  <si>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</si>
  <si>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</si>
  <si>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</si>
  <si>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</si>
  <si>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</si>
  <si>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</si>
  <si>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</si>
  <si>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</si>
  <si>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</si>
  <si>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</si>
  <si>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</si>
  <si>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</si>
  <si>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</si>
  <si>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</si>
  <si>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</si>
  <si>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</si>
  <si>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</si>
  <si>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</si>
  <si>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</si>
  <si>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</si>
  <si>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</si>
  <si>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</si>
  <si>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</si>
  <si>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</si>
  <si>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</si>
  <si>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</si>
  <si>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</si>
  <si>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</si>
  <si>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</si>
  <si>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</si>
  <si>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</si>
  <si>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</si>
  <si>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</si>
  <si>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</si>
  <si>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</si>
  <si>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</si>
  <si>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</si>
  <si>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</si>
  <si>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</si>
  <si>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</si>
  <si>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</si>
  <si>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</si>
  <si>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</si>
  <si>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</si>
  <si>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</si>
  <si>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</si>
  <si>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</si>
  <si>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</si>
  <si>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</si>
  <si>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</si>
  <si>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</si>
  <si>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</si>
  <si>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</si>
  <si>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</si>
  <si>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</si>
  <si>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</si>
  <si>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</si>
  <si>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</si>
  <si>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</si>
  <si>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</si>
  <si>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</si>
  <si>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</si>
  <si>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</si>
  <si>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</si>
  <si>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</si>
  <si>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</si>
  <si>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</si>
  <si>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</si>
  <si>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</si>
  <si>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</si>
  <si>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</si>
  <si>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</si>
  <si>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</si>
  <si>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</si>
  <si>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</si>
  <si>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</si>
  <si>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</si>
  <si>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</si>
  <si>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</si>
  <si>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</si>
  <si>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</si>
  <si>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</si>
  <si>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</si>
  <si>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</si>
  <si>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</si>
  <si>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</si>
  <si>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</si>
  <si>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</si>
  <si>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</si>
  <si>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</si>
  <si>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</si>
  <si>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</si>
  <si>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</si>
  <si>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</si>
  <si>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</si>
  <si>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</si>
  <si>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</si>
  <si>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</si>
  <si>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</si>
  <si>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</si>
  <si>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</si>
  <si>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</si>
  <si>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</si>
  <si>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</si>
  <si>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</si>
  <si>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</si>
  <si>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</si>
  <si>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</si>
  <si>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</si>
  <si>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</si>
  <si>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</si>
  <si>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</si>
  <si>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</si>
  <si>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</si>
  <si>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</si>
  <si>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</si>
  <si>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</si>
  <si>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</si>
  <si>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</si>
  <si>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</si>
  <si>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</si>
  <si>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</si>
  <si>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</si>
  <si>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</si>
  <si>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</si>
  <si>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</si>
  <si>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</si>
  <si>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</si>
  <si>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</si>
  <si>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</si>
  <si>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</si>
  <si>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</si>
  <si>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</si>
  <si>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</si>
  <si>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</si>
  <si>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</si>
  <si>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</si>
  <si>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</si>
  <si>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</si>
  <si>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</si>
  <si>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</si>
  <si>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</si>
  <si>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</si>
  <si>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</si>
  <si>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</si>
  <si>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</si>
  <si>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</si>
  <si>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</si>
  <si>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</si>
  <si>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</si>
  <si>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</si>
  <si>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</si>
  <si>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</si>
  <si>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</si>
  <si>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</si>
  <si>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</si>
  <si>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</si>
  <si>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</si>
  <si>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</si>
  <si>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</si>
  <si>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</si>
  <si>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</si>
  <si>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</si>
  <si>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</si>
  <si>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</si>
  <si>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</si>
  <si>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</si>
  <si>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</si>
  <si>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</si>
  <si>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</si>
  <si>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</si>
  <si>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</si>
  <si>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</si>
  <si>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</si>
  <si>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</si>
  <si>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</si>
  <si>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</si>
  <si>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</si>
  <si>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</si>
  <si>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</si>
  <si>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</si>
  <si>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</si>
  <si>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</si>
  <si>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</si>
  <si>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</si>
  <si>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</si>
  <si>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</si>
  <si>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</si>
  <si>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</si>
  <si>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</si>
  <si>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</si>
  <si>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</si>
  <si>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</si>
  <si>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</si>
  <si>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</si>
  <si>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</si>
  <si>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</si>
  <si>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</si>
  <si>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</si>
  <si>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</si>
  <si>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</si>
  <si>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</si>
  <si>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</si>
  <si>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</si>
  <si>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</si>
  <si>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</si>
  <si>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</si>
  <si>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</si>
  <si>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</si>
  <si>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</si>
  <si>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</si>
  <si>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</si>
  <si>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</si>
  <si>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</si>
  <si>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</si>
  <si>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</si>
  <si>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</si>
  <si>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</si>
  <si>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</si>
  <si>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</si>
  <si>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</si>
  <si>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</si>
  <si>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</si>
  <si>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</si>
  <si>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</si>
  <si>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</si>
  <si>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</si>
  <si>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</si>
  <si>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</si>
  <si>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</si>
  <si>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</si>
  <si>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</si>
  <si>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</si>
  <si>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</si>
  <si>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</si>
  <si>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</si>
  <si>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</si>
  <si>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</si>
  <si>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</si>
  <si>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</si>
  <si>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</si>
  <si>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</si>
  <si>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</si>
  <si>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</si>
  <si>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</si>
  <si>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</si>
  <si>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</si>
  <si>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</si>
  <si>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</si>
  <si>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</si>
  <si>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</si>
  <si>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</si>
  <si>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</si>
  <si>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</si>
  <si>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</si>
  <si>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</si>
  <si>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</si>
  <si>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</si>
  <si>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</si>
  <si>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</si>
  <si>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</si>
  <si>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</si>
  <si>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</si>
  <si>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</si>
  <si>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</si>
  <si>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</si>
  <si>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</si>
  <si>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</si>
  <si>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</si>
  <si>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</si>
  <si>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</si>
  <si>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</si>
  <si>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</si>
  <si>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</si>
  <si>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</si>
  <si>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</si>
  <si>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</si>
  <si>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</si>
  <si>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</si>
  <si>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</si>
  <si>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</si>
  <si>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</si>
  <si>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</si>
  <si>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</si>
  <si>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</si>
  <si>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</si>
  <si>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</si>
  <si>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</si>
  <si>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</si>
  <si>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</si>
  <si>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</si>
  <si>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</si>
  <si>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</si>
  <si>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</si>
  <si>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</si>
  <si>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</si>
  <si>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</si>
  <si>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</si>
  <si>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</si>
  <si>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</si>
  <si>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</si>
  <si>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</si>
  <si>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</si>
  <si>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</si>
  <si>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</si>
  <si>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</si>
  <si>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</si>
  <si>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</si>
  <si>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</si>
  <si>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</si>
  <si>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</si>
  <si>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</si>
  <si>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</si>
  <si>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</si>
  <si>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</si>
  <si>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</si>
  <si>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</si>
  <si>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</si>
  <si>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</si>
  <si>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</si>
  <si>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</si>
  <si>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</si>
  <si>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</si>
  <si>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</si>
  <si>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</si>
  <si>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</si>
  <si>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</si>
  <si>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</si>
  <si>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</si>
  <si>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</si>
  <si>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</si>
  <si>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</si>
  <si>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</si>
  <si>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</si>
  <si>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</si>
  <si>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</si>
  <si>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</si>
  <si>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</si>
  <si>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</si>
  <si>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</si>
  <si>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</si>
  <si>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</si>
  <si>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</si>
  <si>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</si>
  <si>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</si>
  <si>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</si>
  <si>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</si>
  <si>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</si>
  <si>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</si>
  <si>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</si>
  <si>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</si>
  <si>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</si>
  <si>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</si>
  <si>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</si>
  <si>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</si>
  <si>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</si>
  <si>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</si>
  <si>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</si>
  <si>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</si>
  <si>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</si>
  <si>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</si>
  <si>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</si>
  <si>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</si>
  <si>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</si>
  <si>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</si>
  <si>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</si>
  <si>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</si>
  <si>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</si>
  <si>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</si>
  <si>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</si>
  <si>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</si>
  <si>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</si>
  <si>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</si>
  <si>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</si>
  <si>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</si>
  <si>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</si>
  <si>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</si>
  <si>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</si>
  <si>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</si>
  <si>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</si>
  <si>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</si>
  <si>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</si>
  <si>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</si>
  <si>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</si>
  <si>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</si>
  <si>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</si>
  <si>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</si>
  <si>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</si>
  <si>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</si>
  <si>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</si>
  <si>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</si>
  <si>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</si>
  <si>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</si>
  <si>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</si>
  <si>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</si>
  <si>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</si>
  <si>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</si>
  <si>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</si>
  <si>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</si>
  <si>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</si>
  <si>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</si>
  <si>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</si>
  <si>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</si>
  <si>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</si>
  <si>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</si>
  <si>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</si>
  <si>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</si>
  <si>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</si>
  <si>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</si>
  <si>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</si>
  <si>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</si>
  <si>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</si>
  <si>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</si>
  <si>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</si>
  <si>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</si>
  <si>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</si>
  <si>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</si>
  <si>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</si>
  <si>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</si>
  <si>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</si>
  <si>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</si>
  <si>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</si>
  <si>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</si>
  <si>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</si>
  <si>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</si>
  <si>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</si>
  <si>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</si>
  <si>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</si>
  <si>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</si>
  <si>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</si>
  <si>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</si>
  <si>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</si>
  <si>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</si>
  <si>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</si>
  <si>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</si>
  <si>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</si>
  <si>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</si>
  <si>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</si>
  <si>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</si>
  <si>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</si>
  <si>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</si>
  <si>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</si>
  <si>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</si>
  <si>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</si>
  <si>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</si>
  <si>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</si>
  <si>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</si>
  <si>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</si>
  <si>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</si>
  <si>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</si>
  <si>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</si>
  <si>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</si>
  <si>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</si>
  <si>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</si>
  <si>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</si>
  <si>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</si>
  <si>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</si>
  <si>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</si>
  <si>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</si>
  <si>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</si>
  <si>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</si>
  <si>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</si>
  <si>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</si>
  <si>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</si>
  <si>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</si>
  <si>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</si>
  <si>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</si>
  <si>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</si>
  <si>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</si>
  <si>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</si>
  <si>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</si>
  <si>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</si>
  <si>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</si>
  <si>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</si>
  <si>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</si>
  <si>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</si>
  <si>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</si>
  <si>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</si>
  <si>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</si>
  <si>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</si>
  <si>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</si>
  <si>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</si>
  <si>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</si>
  <si>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</si>
  <si>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</si>
  <si>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</si>
  <si>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</si>
  <si>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</si>
  <si>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</si>
  <si>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</si>
  <si>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</si>
  <si>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</si>
  <si>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</si>
  <si>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</si>
  <si>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</si>
  <si>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</si>
  <si>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</si>
  <si>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</si>
  <si>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</si>
  <si>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</si>
  <si>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</si>
  <si>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</si>
  <si>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</si>
  <si>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</si>
  <si>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</si>
  <si>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</si>
  <si>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</si>
  <si>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</si>
  <si>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</si>
  <si>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</si>
  <si>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</si>
  <si>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</si>
  <si>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</si>
  <si>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</si>
  <si>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</si>
  <si>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</si>
  <si>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</si>
  <si>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</si>
  <si>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</si>
  <si>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</si>
  <si>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</si>
  <si>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</si>
  <si>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</si>
  <si>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</si>
  <si>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</si>
  <si>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</si>
  <si>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</si>
  <si>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</si>
  <si>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</si>
  <si>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</si>
  <si>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</si>
  <si>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</si>
  <si>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</si>
  <si>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</si>
  <si>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</si>
  <si>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</si>
  <si>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</si>
  <si>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</si>
  <si>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</si>
  <si>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</si>
  <si>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</si>
  <si>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</si>
  <si>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</si>
  <si>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</si>
  <si>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</si>
  <si>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</si>
  <si>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</si>
  <si>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</si>
  <si>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</si>
  <si>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</si>
  <si>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</si>
  <si>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</si>
  <si>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</si>
  <si>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</si>
  <si>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</si>
  <si>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</si>
  <si>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</si>
  <si>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</si>
  <si>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</si>
  <si>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</si>
  <si>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</si>
  <si>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</si>
  <si>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</si>
  <si>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</si>
  <si>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</si>
  <si>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</si>
  <si>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</si>
  <si>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</si>
  <si>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</si>
  <si>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</si>
  <si>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</si>
  <si>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</si>
  <si>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</si>
  <si>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</si>
  <si>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</si>
  <si>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</si>
  <si>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</si>
  <si>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</si>
  <si>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</si>
  <si>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</si>
  <si>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</si>
  <si>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</si>
  <si>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</si>
  <si>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</si>
  <si>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</si>
  <si>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</si>
  <si>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</si>
  <si>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</si>
  <si>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</si>
  <si>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</si>
  <si>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</si>
  <si>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</si>
  <si>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</si>
  <si>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</si>
  <si>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</si>
  <si>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</si>
  <si>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</si>
  <si>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</si>
  <si>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</si>
  <si>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</si>
  <si>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</si>
  <si>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</si>
  <si>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</si>
  <si>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</si>
  <si>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</si>
  <si>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</si>
  <si>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</si>
  <si>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</si>
  <si>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</si>
  <si>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</si>
  <si>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</si>
  <si>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</si>
  <si>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</si>
  <si>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</si>
  <si>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</si>
  <si>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</si>
  <si>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</si>
  <si>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</si>
  <si>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</si>
  <si>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</si>
  <si>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</si>
  <si>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</si>
  <si>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</si>
  <si>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</si>
  <si>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</si>
  <si>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</si>
  <si>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</si>
  <si>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</si>
  <si>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</si>
  <si>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</si>
  <si>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</si>
  <si>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</si>
  <si>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</si>
  <si>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</si>
  <si>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</si>
  <si>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</si>
  <si>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</si>
  <si>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</si>
  <si>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</si>
  <si>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</si>
  <si>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</si>
  <si>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</si>
  <si>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</si>
  <si>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</si>
  <si>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</si>
  <si>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</si>
  <si>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</si>
  <si>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</si>
  <si>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</si>
  <si>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</si>
  <si>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</si>
  <si>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</si>
  <si>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</si>
  <si>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</si>
  <si>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</si>
  <si>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</si>
  <si>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</si>
  <si>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</si>
  <si>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</si>
  <si>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</si>
  <si>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</si>
  <si>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</si>
  <si>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</si>
  <si>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</si>
  <si>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</si>
  <si>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</si>
  <si>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</si>
  <si>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</si>
  <si>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</si>
  <si>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</si>
  <si>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</si>
  <si>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</si>
  <si>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</si>
  <si>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</si>
  <si>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</si>
  <si>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</si>
  <si>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</si>
  <si>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</si>
  <si>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</si>
  <si>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</si>
  <si>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</si>
  <si>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</si>
  <si>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</si>
  <si>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</si>
  <si>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</si>
  <si>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</si>
  <si>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</si>
  <si>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</si>
  <si>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</si>
  <si>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</si>
  <si>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</si>
  <si>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</si>
  <si>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</si>
  <si>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</si>
  <si>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</si>
  <si>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</si>
  <si>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</si>
  <si>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</si>
  <si>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</si>
  <si>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</si>
  <si>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</si>
  <si>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</si>
  <si>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</si>
  <si>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</si>
  <si>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</si>
  <si>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</si>
  <si>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</si>
  <si>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</si>
  <si>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</si>
  <si>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</si>
  <si>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</si>
  <si>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</si>
  <si>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</si>
  <si>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</si>
  <si>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</si>
  <si>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</si>
  <si>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</si>
  <si>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</si>
  <si>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</si>
  <si>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</si>
  <si>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</si>
  <si>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</si>
  <si>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</si>
  <si>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</si>
  <si>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</si>
  <si>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</si>
  <si>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</si>
  <si>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</si>
  <si>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</si>
  <si>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</si>
  <si>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</si>
  <si>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</si>
  <si>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</si>
  <si>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</si>
  <si>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</si>
  <si>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</si>
  <si>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</si>
  <si>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</si>
  <si>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</si>
  <si>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</si>
  <si>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</si>
  <si>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</si>
  <si>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</si>
  <si>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</si>
  <si>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</si>
  <si>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</si>
  <si>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</si>
  <si>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</si>
  <si>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</si>
  <si>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</si>
  <si>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</si>
  <si>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</si>
  <si>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</si>
  <si>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</si>
  <si>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</si>
  <si>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</si>
  <si>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</si>
  <si>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</si>
  <si>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</si>
  <si>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</si>
  <si>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</si>
  <si>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</si>
  <si>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</si>
  <si>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</si>
  <si>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</si>
  <si>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</si>
  <si>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</si>
  <si>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</si>
  <si>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</si>
  <si>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</si>
  <si>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</si>
  <si>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</si>
  <si>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</si>
  <si>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</si>
  <si>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</si>
  <si>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</si>
  <si>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</si>
  <si>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</si>
  <si>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</si>
  <si>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</si>
  <si>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</si>
  <si>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</si>
  <si>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</si>
  <si>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</si>
  <si>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</si>
  <si>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</si>
  <si>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</si>
  <si>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</si>
  <si>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</si>
  <si>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</si>
  <si>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</si>
  <si>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</si>
  <si>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</si>
  <si>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</si>
  <si>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</si>
  <si>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</si>
  <si>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</si>
  <si>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</si>
  <si>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</si>
  <si>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</si>
  <si>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</si>
  <si>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</si>
  <si>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</si>
  <si>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</si>
  <si>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</si>
  <si>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</si>
  <si>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</si>
  <si>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</si>
  <si>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</si>
  <si>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</si>
  <si>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</si>
  <si>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</si>
  <si>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</si>
  <si>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</si>
  <si>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</si>
  <si>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</si>
  <si>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</si>
  <si>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</si>
  <si>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</si>
  <si>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</si>
  <si>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</si>
  <si>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</si>
  <si>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</si>
  <si>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</si>
  <si>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</si>
  <si>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</si>
  <si>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</si>
  <si>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</si>
  <si>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</si>
  <si>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</si>
  <si>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</si>
  <si>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</si>
  <si>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</si>
  <si>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</si>
  <si>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</si>
  <si>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</si>
  <si>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</si>
  <si>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</si>
  <si>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</si>
  <si>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</si>
  <si>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</si>
  <si>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</si>
  <si>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</si>
  <si>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</si>
  <si>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</si>
  <si>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</si>
  <si>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</si>
  <si>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</si>
  <si>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</si>
  <si>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</si>
  <si>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</si>
  <si>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</si>
  <si>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</si>
  <si>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</si>
  <si>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</si>
  <si>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</si>
  <si>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</si>
  <si>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</si>
  <si>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</si>
  <si>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</si>
  <si>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</si>
  <si>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</si>
  <si>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</si>
  <si>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</si>
  <si>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</si>
  <si>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</si>
  <si>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</si>
  <si>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</si>
  <si>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</si>
  <si>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</si>
  <si>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</si>
  <si>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</si>
  <si>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</si>
  <si>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</si>
  <si>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</si>
  <si>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</si>
  <si>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</si>
  <si>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</si>
  <si>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</si>
  <si>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</si>
  <si>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</si>
  <si>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</si>
  <si>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</si>
  <si>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</si>
  <si>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</si>
  <si>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</si>
  <si>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</si>
  <si>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</si>
  <si>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</si>
  <si>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</si>
  <si>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</si>
  <si>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</si>
  <si>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</si>
  <si>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</si>
  <si>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</si>
  <si>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</si>
  <si>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</si>
  <si>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</si>
  <si>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</si>
  <si>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</si>
  <si>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</si>
  <si>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</si>
  <si>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</si>
  <si>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</si>
  <si>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</si>
  <si>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</si>
  <si>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</si>
  <si>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</si>
  <si>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</si>
  <si>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</si>
  <si>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</si>
  <si>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</si>
  <si>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</si>
  <si>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</si>
  <si>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</si>
  <si>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</si>
  <si>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</si>
  <si>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</si>
  <si>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</si>
  <si>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</si>
  <si>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</si>
  <si>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</si>
  <si>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</si>
  <si>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</si>
  <si>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</si>
  <si>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</si>
  <si>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</si>
  <si>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</si>
  <si>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</si>
  <si>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</si>
  <si>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</si>
  <si>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</si>
  <si>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</si>
  <si>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</si>
  <si>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</si>
  <si>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</si>
  <si>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</si>
  <si>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</si>
  <si>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</si>
  <si>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</si>
  <si>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</si>
  <si>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</si>
  <si>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</si>
  <si>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</si>
  <si>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</si>
  <si>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</si>
  <si>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</si>
  <si>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</si>
  <si>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</si>
  <si>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</si>
  <si>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</si>
  <si>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</si>
  <si>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</si>
  <si>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</si>
  <si>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</si>
  <si>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</si>
  <si>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</si>
  <si>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</si>
  <si>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</si>
  <si>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</si>
  <si>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</si>
  <si>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</si>
  <si>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</si>
  <si>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</si>
  <si>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</si>
  <si>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</si>
  <si>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</si>
  <si>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</si>
  <si>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</si>
  <si>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</si>
  <si>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</si>
  <si>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</si>
  <si>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</si>
  <si>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</si>
  <si>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</si>
  <si>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</si>
  <si>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</si>
  <si>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</si>
  <si>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</si>
  <si>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</si>
  <si>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</si>
  <si>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</si>
  <si>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</si>
  <si>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</si>
  <si>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</si>
  <si>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</si>
  <si>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</si>
  <si>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</si>
  <si>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</si>
  <si>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</si>
  <si>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</si>
  <si>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</si>
  <si>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</si>
  <si>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</si>
  <si>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</si>
  <si>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</si>
  <si>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</si>
  <si>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</si>
  <si>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</si>
  <si>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</si>
  <si>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</si>
  <si>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</si>
  <si>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</si>
  <si>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</si>
  <si>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</si>
  <si>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</si>
  <si>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</si>
  <si>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</si>
  <si>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</si>
  <si>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</si>
  <si>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</si>
  <si>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</si>
  <si>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</si>
  <si>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</si>
  <si>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</si>
  <si>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</si>
  <si>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</si>
  <si>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</si>
  <si>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</si>
  <si>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</si>
  <si>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</si>
  <si>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</si>
  <si>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</si>
  <si>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</si>
  <si>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</si>
  <si>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</si>
  <si>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</si>
  <si>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</si>
  <si>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</si>
  <si>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</si>
  <si>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</si>
  <si>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</si>
  <si>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</si>
  <si>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</si>
  <si>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</si>
  <si>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</si>
  <si>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</si>
  <si>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</si>
  <si>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</si>
  <si>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</si>
  <si>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</si>
  <si>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</si>
  <si>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</si>
  <si>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</si>
  <si>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</si>
  <si>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</si>
  <si>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</si>
  <si>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</si>
  <si>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</si>
  <si>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</si>
  <si>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</si>
  <si>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</si>
  <si>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</si>
  <si>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</si>
  <si>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</si>
  <si>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</si>
  <si>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</si>
  <si>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</si>
  <si>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</si>
  <si>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</si>
  <si>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</si>
  <si>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</si>
  <si>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</si>
  <si>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</si>
  <si>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</si>
  <si>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</si>
  <si>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</si>
  <si>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</si>
  <si>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</si>
  <si>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</si>
  <si>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</si>
  <si>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</si>
  <si>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</si>
  <si>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</si>
  <si>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</si>
  <si>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</si>
  <si>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</si>
  <si>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</si>
  <si>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</si>
  <si>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</si>
  <si>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</si>
  <si>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</si>
  <si>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</si>
  <si>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</si>
  <si>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</si>
  <si>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</si>
  <si>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</si>
  <si>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</si>
  <si>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</si>
  <si>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</si>
  <si>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</si>
  <si>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</si>
  <si>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</si>
  <si>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</si>
  <si>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</si>
  <si>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</si>
  <si>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</si>
  <si>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</si>
  <si>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</si>
  <si>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</si>
  <si>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</si>
  <si>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</si>
  <si>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</si>
  <si>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</si>
  <si>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</si>
  <si>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</si>
  <si>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</si>
  <si>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</si>
  <si>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</si>
  <si>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</si>
  <si>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</si>
  <si>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</si>
  <si>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</si>
  <si>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</si>
  <si>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</si>
  <si>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</si>
  <si>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</si>
  <si>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</si>
  <si>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</si>
  <si>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</si>
  <si>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</si>
  <si>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</si>
  <si>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</si>
  <si>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</si>
  <si>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</si>
  <si>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</si>
  <si>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</si>
  <si>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</si>
  <si>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</si>
  <si>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</si>
  <si>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</si>
  <si>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</si>
  <si>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</si>
  <si>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</si>
  <si>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</si>
  <si>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</si>
  <si>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</si>
  <si>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</si>
  <si>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</si>
  <si>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</si>
  <si>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</si>
  <si>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</si>
  <si>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</si>
  <si>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</si>
  <si>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</si>
  <si>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</si>
  <si>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</si>
  <si>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</si>
  <si>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</si>
  <si>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</si>
  <si>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</si>
  <si>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</si>
  <si>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</si>
  <si>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</si>
  <si>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</si>
  <si>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</si>
  <si>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</si>
  <si>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</si>
  <si>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</si>
  <si>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</si>
  <si>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</si>
  <si>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</si>
  <si>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</si>
  <si>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</si>
  <si>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</si>
  <si>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</si>
  <si>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</si>
  <si>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</si>
  <si>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</si>
  <si>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</si>
  <si>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</si>
  <si>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</si>
  <si>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</si>
  <si>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</si>
  <si>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</si>
  <si>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</si>
  <si>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</si>
  <si>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</si>
  <si>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</si>
  <si>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</si>
  <si>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</si>
  <si>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</si>
  <si>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</si>
  <si>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</si>
  <si>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</si>
  <si>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</si>
  <si>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</si>
  <si>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</si>
  <si>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</si>
  <si>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</si>
  <si>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</si>
  <si>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</si>
  <si>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</si>
  <si>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</si>
  <si>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</si>
  <si>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</si>
  <si>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</si>
  <si>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</si>
  <si>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</si>
  <si>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</si>
  <si>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</si>
  <si>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</si>
  <si>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</si>
  <si>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</si>
  <si>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</si>
  <si>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</si>
  <si>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</si>
  <si>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</si>
  <si>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</si>
  <si>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</si>
  <si>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</si>
  <si>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</si>
  <si>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</si>
  <si>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</si>
  <si>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</si>
  <si>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</si>
  <si>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</si>
  <si>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</si>
  <si>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</si>
  <si>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</si>
  <si>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</si>
  <si>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</si>
  <si>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</si>
  <si>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</si>
  <si>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</si>
  <si>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</si>
  <si>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</si>
  <si>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</si>
  <si>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</si>
  <si>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</si>
  <si>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</si>
  <si>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</si>
  <si>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</si>
  <si>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</si>
  <si>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</si>
  <si>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</si>
  <si>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</si>
  <si>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</si>
  <si>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</si>
  <si>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</si>
  <si>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</si>
  <si>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</si>
  <si>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</si>
  <si>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</si>
  <si>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</si>
  <si>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</si>
  <si>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</si>
  <si>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</si>
  <si>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</si>
  <si>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</si>
  <si>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</si>
  <si>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</si>
  <si>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</si>
  <si>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</si>
  <si>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</si>
  <si>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</si>
  <si>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</si>
  <si>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</si>
  <si>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</si>
  <si>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</si>
  <si>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</si>
  <si>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</si>
  <si>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</si>
  <si>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</si>
  <si>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</si>
  <si>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</si>
  <si>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</si>
  <si>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</si>
  <si>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</si>
  <si>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</si>
  <si>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</si>
  <si>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</si>
  <si>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</si>
  <si>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</si>
  <si>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</si>
  <si>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</si>
  <si>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</si>
  <si>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</si>
  <si>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</si>
  <si>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</si>
  <si>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</si>
  <si>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</si>
  <si>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</si>
  <si>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</si>
  <si>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</si>
  <si>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</si>
  <si>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</si>
  <si>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</si>
  <si>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</si>
  <si>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</si>
  <si>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</si>
  <si>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</si>
  <si>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</si>
  <si>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</si>
  <si>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</si>
  <si>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</si>
  <si>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</si>
  <si>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</si>
  <si>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</si>
  <si>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</si>
  <si>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</si>
  <si>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</si>
  <si>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</si>
  <si>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</si>
  <si>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</si>
  <si>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</si>
  <si>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</si>
  <si>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</si>
  <si>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</si>
  <si>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</si>
  <si>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</si>
  <si>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</si>
  <si>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</si>
  <si>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</si>
  <si>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</si>
  <si>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</si>
  <si>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</si>
  <si>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</si>
  <si>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</si>
  <si>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</si>
  <si>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</si>
  <si>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</si>
  <si>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</si>
  <si>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</si>
  <si>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</si>
  <si>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</si>
  <si>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</si>
  <si>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</si>
  <si>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</si>
  <si>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</si>
  <si>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</si>
  <si>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</si>
  <si>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</si>
  <si>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</si>
  <si>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</si>
  <si>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</si>
  <si>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</si>
  <si>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</si>
  <si>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</si>
  <si>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</si>
  <si>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</si>
  <si>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</si>
  <si>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</si>
  <si>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</si>
  <si>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</si>
  <si>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</si>
  <si>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</si>
  <si>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</si>
  <si>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</si>
  <si>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</si>
  <si>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</si>
  <si>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</si>
  <si>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</si>
  <si>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</si>
  <si>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</si>
  <si>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</si>
  <si>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</si>
  <si>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</si>
  <si>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</si>
  <si>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</si>
  <si>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</si>
  <si>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</si>
  <si>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</si>
  <si>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</si>
  <si>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</si>
  <si>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</si>
  <si>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</si>
  <si>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</si>
  <si>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</si>
  <si>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</si>
  <si>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</si>
  <si>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</si>
  <si>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</si>
  <si>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</si>
  <si>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</si>
  <si>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</si>
  <si>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</si>
  <si>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</si>
  <si>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</si>
  <si>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</si>
  <si>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</si>
  <si>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</si>
  <si>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</si>
  <si>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</si>
  <si>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</si>
  <si>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</si>
  <si>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</si>
  <si>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</si>
  <si>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</si>
  <si>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</si>
  <si>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</si>
  <si>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</si>
  <si>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</si>
  <si>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</si>
  <si>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</si>
  <si>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</si>
  <si>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</si>
  <si>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</si>
  <si>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</si>
  <si>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</si>
  <si>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</si>
  <si>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</si>
  <si>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</si>
  <si>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</si>
  <si>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</si>
  <si>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</si>
  <si>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</si>
  <si>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</si>
  <si>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</si>
  <si>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</si>
  <si>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</si>
  <si>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</si>
  <si>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</si>
  <si>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</si>
  <si>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</si>
  <si>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</si>
  <si>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</si>
  <si>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</si>
  <si>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</si>
  <si>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</si>
  <si>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</si>
  <si>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</si>
  <si>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</si>
  <si>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</si>
  <si>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</si>
  <si>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</si>
  <si>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</si>
  <si>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</si>
  <si>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</si>
  <si>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</si>
  <si>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</si>
  <si>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</si>
  <si>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</si>
  <si>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</si>
  <si>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</si>
  <si>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</si>
  <si>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</si>
  <si>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</si>
  <si>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</si>
  <si>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</si>
  <si>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</si>
  <si>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</si>
  <si>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</si>
  <si>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</si>
  <si>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</si>
  <si>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</si>
  <si>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</si>
  <si>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</si>
  <si>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</si>
  <si>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</si>
  <si>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</si>
  <si>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</si>
  <si>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</si>
  <si>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</si>
  <si>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</si>
  <si>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</si>
  <si>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</si>
  <si>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</si>
  <si>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</si>
  <si>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</si>
  <si>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</si>
  <si>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</si>
  <si>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</si>
  <si>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</si>
  <si>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</si>
  <si>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</si>
  <si>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</si>
  <si>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</si>
  <si>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</si>
  <si>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</si>
  <si>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</si>
  <si>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</si>
  <si>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</si>
  <si>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</si>
  <si>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</si>
  <si>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</si>
  <si>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</si>
  <si>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</si>
  <si>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</si>
  <si>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</si>
  <si>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</si>
  <si>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</si>
  <si>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</si>
  <si>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</si>
  <si>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</si>
  <si>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</si>
  <si>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</si>
  <si>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</si>
  <si>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</si>
  <si>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</si>
  <si>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</si>
  <si>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</si>
  <si>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</si>
  <si>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</si>
  <si>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</si>
  <si>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</si>
  <si>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</si>
  <si>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</si>
  <si>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</si>
  <si>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</si>
  <si>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</si>
  <si>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</si>
  <si>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</si>
  <si>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</si>
  <si>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</si>
  <si>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</si>
  <si>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</si>
  <si>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</si>
  <si>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</si>
  <si>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</si>
  <si>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</si>
  <si>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</si>
  <si>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</si>
  <si>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</si>
  <si>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</si>
  <si>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</si>
  <si>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</si>
  <si>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</si>
  <si>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</si>
  <si>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</si>
  <si>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</si>
  <si>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</si>
  <si>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</si>
  <si>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</si>
  <si>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</si>
  <si>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</si>
  <si>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</si>
  <si>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</si>
  <si>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</si>
  <si>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</si>
  <si>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</si>
  <si>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</si>
  <si>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</si>
  <si>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</si>
  <si>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</si>
  <si>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</si>
  <si>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</si>
  <si>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</si>
  <si>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</si>
  <si>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</si>
  <si>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</si>
  <si>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</si>
  <si>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</si>
  <si>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</si>
  <si>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</si>
  <si>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</si>
  <si>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</si>
  <si>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</si>
  <si>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</si>
  <si>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</si>
  <si>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</si>
  <si>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</si>
  <si>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</si>
  <si>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</si>
  <si>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</si>
  <si>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</si>
  <si>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</si>
  <si>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</si>
  <si>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</si>
  <si>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</si>
  <si>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</si>
  <si>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</si>
  <si>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</si>
  <si>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</si>
  <si>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</si>
  <si>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</si>
  <si>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</si>
  <si>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</si>
  <si>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</si>
  <si>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</si>
  <si>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</si>
  <si>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</si>
  <si>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</si>
  <si>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</si>
  <si>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</si>
  <si>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</si>
  <si>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</si>
  <si>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</si>
  <si>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</si>
  <si>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</si>
  <si>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</si>
  <si>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</si>
  <si>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</si>
  <si>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</si>
  <si>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</si>
  <si>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</si>
  <si>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</si>
  <si>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</si>
  <si>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</si>
  <si>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</si>
  <si>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</si>
  <si>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</si>
  <si>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</si>
  <si>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</si>
  <si>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</si>
  <si>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</si>
  <si>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</si>
  <si>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</si>
  <si>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</si>
  <si>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</si>
  <si>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</si>
  <si>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</si>
  <si>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</si>
  <si>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</si>
  <si>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</si>
  <si>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</si>
  <si>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</si>
  <si>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</si>
  <si>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</si>
  <si>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</si>
  <si>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</si>
  <si>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</si>
  <si>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</si>
  <si>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</si>
  <si>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</si>
  <si>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</si>
  <si>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</si>
  <si>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</si>
  <si>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</si>
  <si>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</si>
  <si>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</si>
  <si>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</si>
  <si>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</si>
  <si>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</si>
  <si>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</si>
  <si>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</si>
  <si>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</si>
  <si>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</si>
  <si>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</si>
  <si>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</si>
  <si>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</si>
  <si>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</si>
  <si>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</si>
  <si>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</si>
  <si>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</si>
  <si>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</si>
  <si>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</si>
  <si>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</si>
  <si>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</si>
  <si>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</si>
  <si>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</si>
  <si>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</si>
  <si>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</si>
  <si>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</si>
  <si>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</si>
  <si>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</si>
  <si>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</si>
  <si>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</si>
  <si>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</si>
  <si>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</si>
  <si>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</si>
  <si>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</si>
  <si>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</si>
  <si>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</si>
  <si>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</si>
  <si>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</si>
  <si>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</si>
  <si>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</si>
  <si>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</si>
  <si>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</si>
  <si>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</si>
  <si>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</si>
  <si>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</si>
  <si>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</si>
  <si>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</si>
  <si>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</si>
  <si>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</si>
  <si>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</si>
  <si>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</si>
  <si>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</si>
  <si>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</si>
  <si>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</si>
  <si>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</si>
  <si>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</si>
  <si>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</si>
  <si>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</si>
  <si>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</si>
  <si>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</si>
  <si>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</si>
  <si>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</si>
  <si>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</si>
  <si>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</si>
  <si>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</si>
  <si>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</si>
  <si>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</si>
  <si>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</si>
  <si>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</si>
  <si>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</si>
  <si>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</si>
  <si>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</si>
  <si>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</si>
  <si>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</si>
  <si>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</si>
  <si>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</si>
  <si>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</si>
  <si>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</si>
  <si>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</si>
  <si>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</si>
  <si>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</si>
  <si>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</si>
  <si>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</si>
  <si>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</si>
  <si>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</si>
  <si>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</si>
  <si>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</si>
  <si>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</si>
  <si>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</si>
  <si>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</si>
  <si>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</si>
  <si>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</si>
  <si>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</si>
  <si>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</si>
  <si>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</si>
  <si>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</si>
  <si>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</si>
  <si>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</si>
  <si>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</si>
  <si>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</si>
  <si>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</si>
  <si>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</si>
  <si>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</si>
  <si>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</si>
  <si>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</si>
  <si>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</si>
  <si>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</si>
  <si>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</si>
  <si>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</si>
  <si>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</si>
  <si>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</si>
  <si>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</si>
  <si>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</si>
  <si>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</si>
  <si>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</si>
  <si>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</si>
  <si>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</si>
  <si>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</si>
  <si>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</si>
  <si>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</si>
  <si>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</si>
  <si>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</si>
  <si>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</si>
  <si>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</si>
  <si>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</si>
  <si>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</si>
  <si>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</si>
  <si>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</si>
  <si>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</si>
  <si>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</si>
  <si>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</si>
  <si>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</si>
  <si>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</si>
  <si>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</si>
  <si>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</si>
  <si>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</si>
  <si>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</si>
  <si>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</si>
  <si>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</si>
  <si>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</si>
  <si>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</si>
  <si>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</si>
  <si>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</si>
  <si>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</si>
  <si>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</si>
  <si>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</si>
  <si>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</si>
  <si>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</si>
  <si>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</si>
  <si>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</si>
  <si>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</si>
  <si>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</si>
  <si>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</si>
  <si>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</si>
  <si>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</si>
  <si>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</si>
  <si>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</si>
  <si>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</si>
  <si>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</si>
  <si>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</si>
  <si>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</si>
  <si>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</si>
  <si>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</si>
  <si>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</si>
  <si>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</si>
  <si>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</si>
  <si>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</si>
  <si>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</si>
  <si>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</si>
  <si>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</si>
  <si>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</si>
  <si>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</si>
  <si>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</si>
  <si>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</si>
  <si>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</si>
  <si>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</si>
  <si>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</si>
  <si>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</si>
  <si>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</si>
  <si>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</si>
  <si>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</si>
  <si>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</si>
  <si>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</si>
  <si>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</si>
  <si>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</si>
  <si>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</si>
  <si>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</si>
  <si>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</si>
  <si>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</si>
  <si>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</si>
  <si>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</si>
  <si>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</si>
  <si>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</si>
  <si>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</si>
  <si>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</si>
  <si>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</si>
  <si>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</si>
  <si>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</si>
  <si>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</si>
  <si>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</si>
  <si>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</si>
  <si>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</si>
  <si>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</si>
  <si>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</si>
  <si>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</si>
  <si>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</si>
  <si>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</si>
  <si>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</si>
  <si>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</si>
  <si>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</si>
  <si>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</si>
  <si>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</si>
  <si>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</si>
  <si>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</si>
  <si>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</si>
  <si>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</si>
  <si>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</si>
  <si>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</si>
  <si>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</si>
  <si>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</si>
  <si>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</si>
  <si>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</si>
  <si>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</si>
  <si>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</si>
  <si>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</si>
  <si>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</si>
  <si>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</si>
  <si>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</si>
  <si>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</si>
  <si>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</si>
  <si>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</si>
  <si>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</si>
  <si>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</si>
  <si>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</si>
  <si>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</si>
  <si>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</si>
  <si>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</si>
  <si>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</si>
  <si>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</si>
  <si>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</si>
  <si>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</si>
  <si>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</si>
  <si>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</si>
  <si>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</si>
  <si>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</si>
  <si>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</si>
  <si>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</si>
  <si>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</si>
  <si>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</si>
  <si>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</si>
  <si>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</si>
  <si>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</si>
  <si>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</si>
  <si>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</si>
  <si>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</si>
  <si>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</si>
  <si>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</si>
  <si>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</si>
  <si>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</si>
  <si>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</si>
  <si>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</si>
  <si>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</si>
  <si>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</si>
  <si>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</si>
  <si>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</si>
  <si>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</si>
  <si>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</si>
  <si>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</si>
  <si>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</si>
  <si>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</si>
  <si>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</si>
  <si>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</si>
  <si>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</si>
  <si>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</si>
  <si>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</si>
  <si>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</si>
  <si>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</si>
  <si>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</si>
  <si>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</si>
  <si>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</si>
  <si>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</si>
  <si>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</si>
  <si>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</si>
  <si>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</si>
  <si>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</si>
  <si>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</si>
  <si>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</si>
  <si>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</si>
  <si>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</si>
  <si>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</si>
  <si>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</si>
  <si>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</si>
  <si>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</si>
  <si>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</si>
  <si>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</si>
  <si>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</si>
  <si>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</si>
  <si>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</si>
  <si>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</si>
  <si>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</si>
  <si>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</si>
  <si>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</si>
  <si>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</si>
  <si>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</si>
  <si>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</si>
  <si>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</si>
  <si>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</si>
  <si>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</si>
  <si>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</si>
  <si>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</si>
  <si>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</si>
  <si>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</si>
  <si>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</si>
  <si>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</si>
  <si>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</si>
  <si>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</si>
  <si>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</si>
  <si>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</si>
  <si>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</si>
  <si>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</si>
  <si>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</si>
  <si>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</si>
  <si>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</si>
  <si>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</si>
  <si>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</si>
  <si>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</si>
  <si>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</si>
  <si>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</si>
  <si>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</si>
  <si>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</si>
  <si>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</si>
  <si>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</si>
  <si>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</si>
  <si>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</si>
  <si>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</si>
  <si>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</si>
  <si>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</si>
  <si>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</si>
  <si>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</si>
  <si>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</si>
  <si>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</si>
  <si>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</si>
  <si>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</si>
  <si>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</si>
  <si>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</si>
  <si>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</si>
  <si>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</si>
  <si>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</si>
  <si>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</si>
  <si>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</si>
  <si>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</si>
  <si>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</si>
  <si>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</si>
  <si>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</si>
  <si>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</si>
  <si>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</si>
  <si>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</si>
  <si>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</si>
  <si>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</si>
  <si>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</si>
  <si>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</si>
  <si>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</si>
  <si>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</si>
  <si>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</si>
  <si>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</si>
  <si>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</si>
  <si>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</si>
  <si>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</si>
  <si>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</si>
  <si>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</si>
  <si>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</si>
  <si>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</si>
  <si>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</si>
  <si>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</si>
  <si>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</si>
  <si>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</si>
  <si>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</si>
  <si>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</si>
  <si>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</si>
  <si>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</si>
  <si>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</si>
  <si>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</si>
  <si>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</si>
  <si>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</si>
  <si>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</si>
  <si>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</si>
  <si>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</si>
  <si>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</si>
  <si>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</si>
  <si>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</si>
  <si>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</si>
  <si>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</si>
  <si>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</si>
  <si>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</si>
  <si>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</si>
  <si>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</si>
  <si>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</si>
  <si>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</si>
  <si>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</si>
  <si>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</si>
  <si>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</si>
  <si>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</si>
  <si>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</si>
  <si>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</si>
  <si>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</si>
  <si>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</si>
  <si>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</si>
  <si>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</si>
  <si>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</si>
  <si>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</si>
  <si>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</si>
  <si>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</si>
  <si>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</si>
  <si>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</si>
  <si>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</si>
  <si>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</si>
  <si>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</si>
  <si>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</si>
  <si>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</si>
  <si>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</si>
  <si>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</si>
  <si>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</si>
  <si>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</si>
  <si>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</si>
  <si>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</si>
  <si>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</si>
  <si>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</si>
  <si>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</si>
  <si>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</si>
  <si>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</si>
  <si>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</si>
  <si>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</si>
  <si>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</si>
  <si>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</si>
  <si>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</si>
  <si>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</si>
  <si>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</si>
  <si>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</si>
  <si>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</si>
  <si>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</si>
  <si>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</si>
  <si>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</si>
  <si>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</si>
  <si>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</si>
  <si>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</si>
  <si>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</si>
  <si>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</si>
  <si>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</si>
  <si>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</si>
  <si>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</si>
  <si>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</si>
  <si>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</si>
  <si>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</si>
  <si>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</si>
  <si>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</si>
  <si>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</si>
  <si>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</si>
  <si>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</si>
  <si>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</si>
  <si>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</si>
  <si>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</si>
  <si>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</si>
  <si>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</si>
  <si>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</si>
  <si>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</si>
  <si>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</si>
  <si>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</si>
  <si>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</si>
  <si>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</si>
  <si>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</si>
  <si>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</si>
  <si>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</si>
  <si>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</si>
  <si>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</si>
  <si>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</si>
  <si>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</si>
  <si>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</si>
  <si>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</si>
  <si>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</si>
  <si>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</si>
  <si>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</si>
  <si>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</si>
  <si>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</si>
  <si>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</si>
  <si>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</si>
  <si>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</si>
  <si>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</si>
  <si>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</si>
  <si>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</si>
  <si>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</si>
  <si>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</si>
  <si>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</si>
  <si>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</si>
  <si>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</si>
  <si>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</si>
  <si>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</si>
  <si>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</si>
  <si>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</si>
  <si>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</si>
  <si>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</si>
  <si>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</si>
  <si>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</si>
  <si>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</si>
  <si>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</si>
  <si>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</si>
  <si>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</si>
  <si>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</si>
  <si>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</si>
  <si>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</si>
  <si>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</si>
  <si>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</si>
  <si>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</si>
  <si>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</si>
  <si>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</si>
  <si>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</si>
  <si>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</si>
  <si>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</si>
  <si>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</si>
  <si>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</si>
  <si>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</si>
  <si>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</si>
  <si>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</si>
  <si>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</si>
  <si>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</si>
  <si>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</si>
  <si>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</si>
  <si>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</si>
  <si>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</si>
  <si>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</si>
  <si>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</si>
  <si>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</si>
  <si>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</si>
  <si>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</si>
  <si>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</si>
  <si>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</si>
  <si>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</si>
  <si>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</si>
  <si>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</si>
  <si>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</si>
  <si>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</si>
  <si>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</si>
  <si>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</si>
  <si>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</si>
  <si>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</si>
  <si>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</si>
  <si>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</si>
  <si>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</si>
  <si>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</si>
  <si>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</si>
  <si>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</si>
  <si>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</si>
  <si>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</si>
  <si>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</si>
  <si>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</si>
  <si>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</si>
  <si>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</si>
  <si>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</si>
  <si>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</si>
  <si>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</si>
  <si>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</si>
  <si>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</si>
  <si>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</si>
  <si>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</si>
  <si>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</si>
  <si>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</si>
  <si>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</si>
  <si>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</si>
  <si>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</si>
  <si>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</si>
  <si>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</si>
  <si>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</si>
  <si>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</si>
  <si>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</si>
  <si>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</si>
  <si>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</si>
  <si>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</si>
  <si>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</si>
  <si>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</si>
  <si>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</si>
  <si>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</si>
  <si>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</si>
  <si>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</si>
  <si>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</si>
  <si>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</si>
  <si>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</si>
  <si>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</si>
  <si>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</si>
  <si>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</si>
  <si>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</si>
  <si>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</si>
  <si>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</si>
  <si>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</si>
  <si>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</si>
  <si>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</si>
  <si>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</si>
  <si>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</si>
  <si>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</si>
  <si>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</si>
  <si>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</si>
  <si>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</si>
  <si>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</si>
  <si>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</si>
  <si>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</si>
  <si>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</si>
  <si>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</si>
  <si>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</si>
  <si>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</si>
  <si>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</si>
  <si>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</si>
  <si>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</si>
  <si>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</si>
  <si>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</si>
  <si>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</si>
  <si>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</si>
  <si>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</si>
  <si>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</si>
  <si>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</si>
  <si>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</si>
  <si>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</si>
  <si>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</si>
  <si>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</si>
  <si>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</si>
  <si>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</si>
  <si>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</si>
  <si>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</si>
  <si>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</si>
  <si>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</si>
  <si>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</si>
  <si>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</si>
  <si>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</si>
  <si>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</si>
  <si>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</si>
  <si>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</si>
  <si>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</si>
  <si>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</si>
  <si>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</si>
  <si>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</si>
  <si>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</si>
  <si>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</si>
  <si>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</si>
  <si>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</si>
  <si>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</si>
  <si>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</si>
  <si>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</si>
  <si>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</si>
  <si>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</si>
  <si>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</si>
  <si>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</si>
  <si>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</si>
  <si>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</si>
  <si>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</si>
  <si>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</si>
  <si>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</si>
  <si>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</si>
  <si>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</si>
  <si>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</si>
  <si>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</si>
  <si>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</si>
  <si>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</si>
  <si>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</si>
  <si>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</si>
  <si>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</si>
  <si>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</si>
  <si>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</si>
  <si>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</si>
  <si>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</si>
  <si>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</si>
  <si>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</si>
  <si>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</si>
  <si>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</si>
  <si>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</si>
  <si>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</si>
  <si>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</si>
  <si>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</si>
  <si>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</si>
  <si>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</si>
  <si>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</si>
  <si>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</si>
  <si>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</si>
  <si>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</si>
  <si>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</si>
  <si>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</si>
  <si>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</si>
  <si>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</si>
  <si>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</si>
  <si>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</si>
  <si>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</si>
  <si>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</si>
  <si>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</si>
  <si>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</si>
  <si>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</si>
  <si>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</si>
  <si>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</si>
  <si>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</si>
  <si>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</si>
  <si>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</si>
  <si>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</si>
  <si>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</si>
  <si>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</si>
  <si>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</si>
  <si>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</si>
  <si>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</si>
  <si>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</si>
  <si>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</si>
  <si>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</si>
  <si>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</si>
  <si>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</si>
  <si>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</si>
  <si>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</si>
  <si>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</si>
  <si>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</si>
  <si>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</si>
  <si>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</si>
  <si>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</si>
  <si>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</si>
  <si>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</si>
  <si>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</si>
  <si>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</si>
  <si>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</si>
  <si>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</si>
  <si>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</si>
  <si>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</si>
  <si>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</si>
  <si>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</si>
  <si>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</si>
  <si>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</si>
  <si>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</si>
  <si>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</si>
  <si>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</si>
  <si>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</si>
  <si>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</si>
  <si>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</si>
  <si>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</si>
  <si>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</si>
  <si>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</si>
  <si>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</si>
  <si>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</si>
  <si>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</si>
  <si>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</si>
  <si>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</si>
  <si>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</si>
  <si>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</si>
  <si>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</si>
  <si>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</si>
  <si>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</si>
  <si>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</si>
  <si>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</si>
  <si>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</si>
  <si>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</si>
  <si>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</si>
  <si>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</si>
  <si>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</si>
  <si>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</si>
  <si>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</si>
  <si>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</si>
  <si>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</si>
  <si>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</si>
  <si>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</si>
  <si>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</si>
  <si>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</si>
  <si>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</si>
  <si>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</si>
  <si>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</si>
  <si>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</si>
  <si>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</si>
  <si>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</si>
  <si>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</si>
  <si>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</si>
  <si>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</si>
  <si>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</si>
  <si>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</si>
  <si>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</si>
  <si>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</si>
  <si>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</si>
  <si>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</si>
  <si>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</si>
  <si>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</si>
  <si>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</si>
  <si>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</si>
  <si>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</si>
  <si>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</si>
  <si>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</si>
  <si>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</si>
  <si>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</si>
  <si>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</si>
  <si>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</si>
  <si>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</si>
  <si>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</si>
  <si>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</si>
  <si>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</si>
  <si>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</si>
  <si>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</si>
  <si>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</si>
  <si>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</si>
  <si>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</si>
  <si>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</si>
  <si>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</si>
  <si>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</si>
  <si>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</si>
  <si>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</si>
  <si>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</si>
  <si>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</si>
  <si>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</si>
  <si>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</si>
  <si>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</si>
  <si>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</si>
  <si>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</si>
  <si>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</si>
  <si>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</si>
  <si>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</si>
  <si>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</si>
  <si>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</si>
  <si>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</si>
  <si>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</si>
  <si>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</si>
  <si>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</si>
  <si>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</si>
  <si>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</si>
  <si>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</si>
  <si>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</si>
  <si>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</si>
  <si>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</si>
  <si>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</si>
  <si>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</si>
  <si>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</si>
  <si>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</si>
  <si>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</si>
  <si>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</si>
  <si>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</si>
  <si>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</si>
  <si>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</si>
  <si>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</si>
  <si>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</si>
  <si>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</si>
  <si>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</si>
  <si>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</si>
  <si>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</si>
  <si>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</si>
  <si>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</si>
  <si>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</si>
  <si>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</si>
  <si>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</si>
  <si>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</si>
  <si>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</si>
  <si>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</si>
  <si>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</si>
  <si>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</si>
  <si>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</si>
  <si>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</si>
  <si>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</si>
  <si>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</si>
  <si>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</si>
  <si>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</si>
  <si>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</si>
  <si>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</si>
  <si>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</si>
  <si>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</si>
  <si>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</si>
  <si>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</si>
  <si>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</si>
  <si>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</si>
  <si>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</si>
  <si>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</si>
  <si>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</si>
  <si>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</si>
  <si>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</si>
  <si>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</si>
  <si>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</si>
  <si>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</si>
  <si>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</si>
  <si>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</si>
  <si>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</si>
  <si>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</si>
  <si>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</si>
  <si>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</si>
  <si>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</si>
  <si>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</si>
  <si>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</si>
  <si>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</si>
  <si>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</si>
  <si>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</si>
  <si>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</si>
  <si>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</si>
  <si>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</si>
  <si>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</si>
  <si>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</si>
  <si>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</si>
  <si>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</si>
  <si>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</si>
  <si>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</si>
  <si>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</si>
  <si>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</si>
  <si>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</si>
  <si>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</si>
  <si>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</si>
  <si>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</si>
  <si>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</si>
  <si>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</si>
  <si>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</si>
  <si>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</si>
  <si>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</si>
  <si>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</si>
  <si>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03/29/2014</t>
  </si>
  <si>
    <t>WAGNER</t>
  </si>
  <si>
    <t>FITNESS CENTER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</si>
</sst>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/>
      <c r="D3" s="62" t="str">
        <f t="shared" ref="D3:D66" si="0">IF(ISERROR(VLOOKUP(B3&amp;C3,tabble,2,0)),"INVALID",VLOOKUP(B3&amp;C3,tabble,2,0))</f>
        <v>INVALID</v>
      </c>
      <c r="E3" s="43" t="s">
        <v>44333</v>
      </c>
      <c r="F3" s="32" t="s">
        <v>38262</v>
      </c>
      <c r="G3" s="57">
        <v>25</v>
      </c>
      <c r="H3" s="33" t="s">
        <v>10073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44334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INVALID</v>
      </c>
      <c r="BB3" s="56" t="str">
        <f>IF(C3="","",IF(BA3="INVALID",BA3*1,1))</f>
        <v/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1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>
        <f>'Billing Adjustment'!C3</f>
        <v>0</v>
      </c>
      <c r="C2" s="3" t="str">
        <f>'Billing Adjustment'!D3</f>
        <v>INVALID</v>
      </c>
      <c r="D2" t="str">
        <f>'Billing Adjustment'!H3</f>
        <v>KE</v>
      </c>
      <c r="E2" s="3" t="str">
        <f>'Billing Adjustment'!A3</f>
        <v>03/29/2014</v>
      </c>
      <c r="F2" s="12" t="str">
        <f>'Billing Adjustment'!K3</f>
        <v>FITNESS CENTER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2013-03-29T15:01:19Z</dcterms:modified>
</cp:coreProperties>
</file>