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4" i="1" l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C308" i="1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A327" i="1" s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A342" i="11" s="1"/>
  <c r="B344" i="1"/>
  <c r="BA344" i="1" s="1"/>
  <c r="B345" i="1"/>
  <c r="D345" i="1" s="1"/>
  <c r="B346" i="1"/>
  <c r="B347" i="1"/>
  <c r="D347" i="1" s="1"/>
  <c r="C346" i="11" s="1"/>
  <c r="B348" i="1"/>
  <c r="B349" i="1"/>
  <c r="BA349" i="1" s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C16" i="11"/>
  <c r="C15" i="11"/>
  <c r="C11" i="11"/>
  <c r="C400" i="11"/>
  <c r="C439" i="11"/>
  <c r="BA216" i="1"/>
  <c r="BA207" i="1"/>
  <c r="BA217" i="1"/>
  <c r="BA214" i="1"/>
  <c r="A213" i="11"/>
  <c r="C82" i="11"/>
  <c r="C62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31" i="1"/>
  <c r="BA273" i="1"/>
  <c r="BA262" i="1"/>
  <c r="A261" i="11"/>
  <c r="BA254" i="1"/>
  <c r="BA252" i="1"/>
  <c r="BA250" i="1"/>
  <c r="BA194" i="1"/>
  <c r="BA351" i="1"/>
  <c r="BA308" i="1"/>
  <c r="BA297" i="1"/>
  <c r="BA287" i="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08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16" i="11" l="1"/>
  <c r="A310" i="11"/>
  <c r="A286" i="11"/>
  <c r="A296" i="11"/>
  <c r="A304" i="11"/>
  <c r="A340" i="11"/>
  <c r="BA295" i="1"/>
  <c r="A290" i="11"/>
  <c r="A232" i="11"/>
  <c r="A350" i="11"/>
  <c r="BA347" i="1"/>
  <c r="A294" i="11"/>
  <c r="A338" i="11"/>
  <c r="B13" i="1"/>
  <c r="D13" i="1" s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B9" i="1" s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B10" i="1" s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BB13" i="1" s="1"/>
  <c r="A12" i="11"/>
  <c r="BA12" i="1"/>
  <c r="BB12" i="1" s="1"/>
  <c r="A11" i="11"/>
  <c r="BA182" i="1"/>
  <c r="A181" i="11"/>
  <c r="BA175" i="1"/>
  <c r="A174" i="11"/>
  <c r="BA135" i="1"/>
  <c r="A134" i="11"/>
  <c r="A10" i="11"/>
  <c r="BA11" i="1"/>
  <c r="BB11" i="1" s="1"/>
  <c r="N1" i="1" l="1"/>
  <c r="BB1303" i="1"/>
</calcChain>
</file>

<file path=xl/sharedStrings.xml><?xml version="1.0" encoding="utf-8"?>
<sst xmlns="http://schemas.openxmlformats.org/spreadsheetml/2006/main" count="90643" uniqueCount="45038">
  <si>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</si>
  <si>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</si>
  <si>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</si>
  <si>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</si>
  <si>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</si>
  <si>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</si>
  <si>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</si>
  <si>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</si>
  <si>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</si>
  <si>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</si>
  <si>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</si>
  <si>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</si>
  <si>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</si>
  <si>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</si>
  <si>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</si>
  <si>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</si>
  <si>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</si>
  <si>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</si>
  <si>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</si>
  <si>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</si>
  <si>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</si>
  <si>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</si>
  <si>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</si>
  <si>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</si>
  <si>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</si>
  <si>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</si>
  <si>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</si>
  <si>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</si>
  <si>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</si>
  <si>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</si>
  <si>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</si>
  <si>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</si>
  <si>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</si>
  <si>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</si>
  <si>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</si>
  <si>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</si>
  <si>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</si>
  <si>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</si>
  <si>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</si>
  <si>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</si>
  <si>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</si>
  <si>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</si>
  <si>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</si>
  <si>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</si>
  <si>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</si>
  <si>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</si>
  <si>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</si>
  <si>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</si>
  <si>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</si>
  <si>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</si>
  <si>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</si>
  <si>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</si>
  <si>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</si>
  <si>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</si>
  <si>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</si>
  <si>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</si>
  <si>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</si>
  <si>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</si>
  <si>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</si>
  <si>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</si>
  <si>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</si>
  <si>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</si>
  <si>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</si>
  <si>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</si>
  <si>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</si>
  <si>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</si>
  <si>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</si>
  <si>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</si>
  <si>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</si>
  <si>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</si>
  <si>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</si>
  <si>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</si>
  <si>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</si>
  <si>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</si>
  <si>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</si>
  <si>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</si>
  <si>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</si>
  <si>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</si>
  <si>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</si>
  <si>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</si>
  <si>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</si>
  <si>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</si>
  <si>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</si>
  <si>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</si>
  <si>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</si>
  <si>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</si>
  <si>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</si>
  <si>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</si>
  <si>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</si>
  <si>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</si>
  <si>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</si>
  <si>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</si>
  <si>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</si>
  <si>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</si>
  <si>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</si>
  <si>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</si>
  <si>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</si>
  <si>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</si>
  <si>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</si>
  <si>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</si>
  <si>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</si>
  <si>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</si>
  <si>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</si>
  <si>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</si>
  <si>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</si>
  <si>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</si>
  <si>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</si>
  <si>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</si>
  <si>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</si>
  <si>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</si>
  <si>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</si>
  <si>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</si>
  <si>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</si>
  <si>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</si>
  <si>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</si>
  <si>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</si>
  <si>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</si>
  <si>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</si>
  <si>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</si>
  <si>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</si>
  <si>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</si>
  <si>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</si>
  <si>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</si>
  <si>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</si>
  <si>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</si>
  <si>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</si>
  <si>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</si>
  <si>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</si>
  <si>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</si>
  <si>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</si>
  <si>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</si>
  <si>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</si>
  <si>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</si>
  <si>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</si>
  <si>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</si>
  <si>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</si>
  <si>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</si>
  <si>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</si>
  <si>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</si>
  <si>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</si>
  <si>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</si>
  <si>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</si>
  <si>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</si>
  <si>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</si>
  <si>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</si>
  <si>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</si>
  <si>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</si>
  <si>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</si>
  <si>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</si>
  <si>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</si>
  <si>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</si>
  <si>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</si>
  <si>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</si>
  <si>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</si>
  <si>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</si>
  <si>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</si>
  <si>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</si>
  <si>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</si>
  <si>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</si>
  <si>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</si>
  <si>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</si>
  <si>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</si>
  <si>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</si>
  <si>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</si>
  <si>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</si>
  <si>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</si>
  <si>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</si>
  <si>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</si>
  <si>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</si>
  <si>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</si>
  <si>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</si>
  <si>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</si>
  <si>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</si>
  <si>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</si>
  <si>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</si>
  <si>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</si>
  <si>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</si>
  <si>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</si>
  <si>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</si>
  <si>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</si>
  <si>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</si>
  <si>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</si>
  <si>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</si>
  <si>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</si>
  <si>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</si>
  <si>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</si>
  <si>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</si>
  <si>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</si>
  <si>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</si>
  <si>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</si>
  <si>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</si>
  <si>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</si>
  <si>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</si>
  <si>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</si>
  <si>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</si>
  <si>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</si>
  <si>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</si>
  <si>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</si>
  <si>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</si>
  <si>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</si>
  <si>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</si>
  <si>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</si>
  <si>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</si>
  <si>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</si>
  <si>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</si>
  <si>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</si>
  <si>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</si>
  <si>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</si>
  <si>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</si>
  <si>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</si>
  <si>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</si>
  <si>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</si>
  <si>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</si>
  <si>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</si>
  <si>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</si>
  <si>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</si>
  <si>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</si>
  <si>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</si>
  <si>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</si>
  <si>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</si>
  <si>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</si>
  <si>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</si>
  <si>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</si>
  <si>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</si>
  <si>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</si>
  <si>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</si>
  <si>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</si>
  <si>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</si>
  <si>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</si>
  <si>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</si>
  <si>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</si>
  <si>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</si>
  <si>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</si>
  <si>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</si>
  <si>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</si>
  <si>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</si>
  <si>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</si>
  <si>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</si>
  <si>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</si>
  <si>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</si>
  <si>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</si>
  <si>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</si>
  <si>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</si>
  <si>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</si>
  <si>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</si>
  <si>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</si>
  <si>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</si>
  <si>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</si>
  <si>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</si>
  <si>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</si>
  <si>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</si>
  <si>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</si>
  <si>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</si>
  <si>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</si>
  <si>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</si>
  <si>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</si>
  <si>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</si>
  <si>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</si>
  <si>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</si>
  <si>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</si>
  <si>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</si>
  <si>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</si>
  <si>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</si>
  <si>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</si>
  <si>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</si>
  <si>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</si>
  <si>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</si>
  <si>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</si>
  <si>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</si>
  <si>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</si>
  <si>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</si>
  <si>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</si>
  <si>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</si>
  <si>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</si>
  <si>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</si>
  <si>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</si>
  <si>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</si>
  <si>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</si>
  <si>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</si>
  <si>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</si>
  <si>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</si>
  <si>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</si>
  <si>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</si>
  <si>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</si>
  <si>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</si>
  <si>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</si>
  <si>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</si>
  <si>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</si>
  <si>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</si>
  <si>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</si>
  <si>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</si>
  <si>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</si>
  <si>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</si>
  <si>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</si>
  <si>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</si>
  <si>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</si>
  <si>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</si>
  <si>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</si>
  <si>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</si>
  <si>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</si>
  <si>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</si>
  <si>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</si>
  <si>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</si>
  <si>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</si>
  <si>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</si>
  <si>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</si>
  <si>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</si>
  <si>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</si>
  <si>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</si>
  <si>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</si>
  <si>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</si>
  <si>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</si>
  <si>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</si>
  <si>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</si>
  <si>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</si>
  <si>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</si>
  <si>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</si>
  <si>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</si>
  <si>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</si>
  <si>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</si>
  <si>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</si>
  <si>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</si>
  <si>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</si>
  <si>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</si>
  <si>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</si>
  <si>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</si>
  <si>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</si>
  <si>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</si>
  <si>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</si>
  <si>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</si>
  <si>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</si>
  <si>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</si>
  <si>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</si>
  <si>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</si>
  <si>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</si>
  <si>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</si>
  <si>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</si>
  <si>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</si>
  <si>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</si>
  <si>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</si>
  <si>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</si>
  <si>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</si>
  <si>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</si>
  <si>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</si>
  <si>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</si>
  <si>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</si>
  <si>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</si>
  <si>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</si>
  <si>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</si>
  <si>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</si>
  <si>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</si>
  <si>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</si>
  <si>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</si>
  <si>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</si>
  <si>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</si>
  <si>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</si>
  <si>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</si>
  <si>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</si>
  <si>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</si>
  <si>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</si>
  <si>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</si>
  <si>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</si>
  <si>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</si>
  <si>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</si>
  <si>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</si>
  <si>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</si>
  <si>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</si>
  <si>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</si>
  <si>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</si>
  <si>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</si>
  <si>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</si>
  <si>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</si>
  <si>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</si>
  <si>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</si>
  <si>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</si>
  <si>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</si>
  <si>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</si>
  <si>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</si>
  <si>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</si>
  <si>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</si>
  <si>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</si>
  <si>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</si>
  <si>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</si>
  <si>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</si>
  <si>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</si>
  <si>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</si>
  <si>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</si>
  <si>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</si>
  <si>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</si>
  <si>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</si>
  <si>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</si>
  <si>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</si>
  <si>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</si>
  <si>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</si>
  <si>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</si>
  <si>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</si>
  <si>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</si>
  <si>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</si>
  <si>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</si>
  <si>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</si>
  <si>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</si>
  <si>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</si>
  <si>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</si>
  <si>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</si>
  <si>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</si>
  <si>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</si>
  <si>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</si>
  <si>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</si>
  <si>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</si>
  <si>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</si>
  <si>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</si>
  <si>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</si>
  <si>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</si>
  <si>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</si>
  <si>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</si>
  <si>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</si>
  <si>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</si>
  <si>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</si>
  <si>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</si>
  <si>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</si>
  <si>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</si>
  <si>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</si>
  <si>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</si>
  <si>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</si>
  <si>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</si>
  <si>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</si>
  <si>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</si>
  <si>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</si>
  <si>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</si>
  <si>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</si>
  <si>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</si>
  <si>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</si>
  <si>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</si>
  <si>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</si>
  <si>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</si>
  <si>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</si>
  <si>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</si>
  <si>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</si>
  <si>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</si>
  <si>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</si>
  <si>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</si>
  <si>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</si>
  <si>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</si>
  <si>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</si>
  <si>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</si>
  <si>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</si>
  <si>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</si>
  <si>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</si>
  <si>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</si>
  <si>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</si>
  <si>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</si>
  <si>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</si>
  <si>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</si>
  <si>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</si>
  <si>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</si>
  <si>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</si>
  <si>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</si>
  <si>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</si>
  <si>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</si>
  <si>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</si>
  <si>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</si>
  <si>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</si>
  <si>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</si>
  <si>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</si>
  <si>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</si>
  <si>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</si>
  <si>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</si>
  <si>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</si>
  <si>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</si>
  <si>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</si>
  <si>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</si>
  <si>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</si>
  <si>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</si>
  <si>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</si>
  <si>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</si>
  <si>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</si>
  <si>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</si>
  <si>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</si>
  <si>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</si>
  <si>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</si>
  <si>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</si>
  <si>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</si>
  <si>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</si>
  <si>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</si>
  <si>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</si>
  <si>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</si>
  <si>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</si>
  <si>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</si>
  <si>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</si>
  <si>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</si>
  <si>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</si>
  <si>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</si>
  <si>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</si>
  <si>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</si>
  <si>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</si>
  <si>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</si>
  <si>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</si>
  <si>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</si>
  <si>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</si>
  <si>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</si>
  <si>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</si>
  <si>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</si>
  <si>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</si>
  <si>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</si>
  <si>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</si>
  <si>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</si>
  <si>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</si>
  <si>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</si>
  <si>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</si>
  <si>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</si>
  <si>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</si>
  <si>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</si>
  <si>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</si>
  <si>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</si>
  <si>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</si>
  <si>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</si>
  <si>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</si>
  <si>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</si>
  <si>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</si>
  <si>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</si>
  <si>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</si>
  <si>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</si>
  <si>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</si>
  <si>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</si>
  <si>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</si>
  <si>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</si>
  <si>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</si>
  <si>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</si>
  <si>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</si>
  <si>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</si>
  <si>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</si>
  <si>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</si>
  <si>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</si>
  <si>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</si>
  <si>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</si>
  <si>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</si>
  <si>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</si>
  <si>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</si>
  <si>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</si>
  <si>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</si>
  <si>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</si>
  <si>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</si>
  <si>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</si>
  <si>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</si>
  <si>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</si>
  <si>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</si>
  <si>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</si>
  <si>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</si>
  <si>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</si>
  <si>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</si>
  <si>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</si>
  <si>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</si>
  <si>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</si>
  <si>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</si>
  <si>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</si>
  <si>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</si>
  <si>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</si>
  <si>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</si>
  <si>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</si>
  <si>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</si>
  <si>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</si>
  <si>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</si>
  <si>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</si>
  <si>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</si>
  <si>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</si>
  <si>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</si>
  <si>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</si>
  <si>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</si>
  <si>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</si>
  <si>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</si>
  <si>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</si>
  <si>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</si>
  <si>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</si>
  <si>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</si>
  <si>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</si>
  <si>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</si>
  <si>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</si>
  <si>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</si>
  <si>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</si>
  <si>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</si>
  <si>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</si>
  <si>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</si>
  <si>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</si>
  <si>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</si>
  <si>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</si>
  <si>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</si>
  <si>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</si>
  <si>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</si>
  <si>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</si>
  <si>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</si>
  <si>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</si>
  <si>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</si>
  <si>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</si>
  <si>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</si>
  <si>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</si>
  <si>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</si>
  <si>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</si>
  <si>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</si>
  <si>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</si>
  <si>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</si>
  <si>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</si>
  <si>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</si>
  <si>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</si>
  <si>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</si>
  <si>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</si>
  <si>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</si>
  <si>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</si>
  <si>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</si>
  <si>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</si>
  <si>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</si>
  <si>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</si>
  <si>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</si>
  <si>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</si>
  <si>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</si>
  <si>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</si>
  <si>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</si>
  <si>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</si>
  <si>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</si>
  <si>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</si>
  <si>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</si>
  <si>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</si>
  <si>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</si>
  <si>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</si>
  <si>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</si>
  <si>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</si>
  <si>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</si>
  <si>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</si>
  <si>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</si>
  <si>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</si>
  <si>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</si>
  <si>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</si>
  <si>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</si>
  <si>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</si>
  <si>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</si>
  <si>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</si>
  <si>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</si>
  <si>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</si>
  <si>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</si>
  <si>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</si>
  <si>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</si>
  <si>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</si>
  <si>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</si>
  <si>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</si>
  <si>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</si>
  <si>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</si>
  <si>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</si>
  <si>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</si>
  <si>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</si>
  <si>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</si>
  <si>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</si>
  <si>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</si>
  <si>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</si>
  <si>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</si>
  <si>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</si>
  <si>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</si>
  <si>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</si>
  <si>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</si>
  <si>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</si>
  <si>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</si>
  <si>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</si>
  <si>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</si>
  <si>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</si>
  <si>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</si>
  <si>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</si>
  <si>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</si>
  <si>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</si>
  <si>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</si>
  <si>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</si>
  <si>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</si>
  <si>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</si>
  <si>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</si>
  <si>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</si>
  <si>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</si>
  <si>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</si>
  <si>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</si>
  <si>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</si>
  <si>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</si>
  <si>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</si>
  <si>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</si>
  <si>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</si>
  <si>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</si>
  <si>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</si>
  <si>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</si>
  <si>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</si>
  <si>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</si>
  <si>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</si>
  <si>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</si>
  <si>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</si>
  <si>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</si>
  <si>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</si>
  <si>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</si>
  <si>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</si>
  <si>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</si>
  <si>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</si>
  <si>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</si>
  <si>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</si>
  <si>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</si>
  <si>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</si>
  <si>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</si>
  <si>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</si>
  <si>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</si>
  <si>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</si>
  <si>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</si>
  <si>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</si>
  <si>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</si>
  <si>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</si>
  <si>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</si>
  <si>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</si>
  <si>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</si>
  <si>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</si>
  <si>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</si>
  <si>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</si>
  <si>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</si>
  <si>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</si>
  <si>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</si>
  <si>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</si>
  <si>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</si>
  <si>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</si>
  <si>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</si>
  <si>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</si>
  <si>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</si>
  <si>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</si>
  <si>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</si>
  <si>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</si>
  <si>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</si>
  <si>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</si>
  <si>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</si>
  <si>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</si>
  <si>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</si>
  <si>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</si>
  <si>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</si>
  <si>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</si>
  <si>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</si>
  <si>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</si>
  <si>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</si>
  <si>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</si>
  <si>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</si>
  <si>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</si>
  <si>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</si>
  <si>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</si>
  <si>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</si>
  <si>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</si>
  <si>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</si>
  <si>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</si>
  <si>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</si>
  <si>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</si>
  <si>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</si>
  <si>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</si>
  <si>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</si>
  <si>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</si>
  <si>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</si>
  <si>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</si>
  <si>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</si>
  <si>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</si>
  <si>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</si>
  <si>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</si>
  <si>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</si>
  <si>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</si>
  <si>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</si>
  <si>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</si>
  <si>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</si>
  <si>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</si>
  <si>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</si>
  <si>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</si>
  <si>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</si>
  <si>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</si>
  <si>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</si>
  <si>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</si>
  <si>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</si>
  <si>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</si>
  <si>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</si>
  <si>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</si>
  <si>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</si>
  <si>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</si>
  <si>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</si>
  <si>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</si>
  <si>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</si>
  <si>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</si>
  <si>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</si>
  <si>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</si>
  <si>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</si>
  <si>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</si>
  <si>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</si>
  <si>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</si>
  <si>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</si>
  <si>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</si>
  <si>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</si>
  <si>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</si>
  <si>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</si>
  <si>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</si>
  <si>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</si>
  <si>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</si>
  <si>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</si>
  <si>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</si>
  <si>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</si>
  <si>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</si>
  <si>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</si>
  <si>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</si>
  <si>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</si>
  <si>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</si>
  <si>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</si>
  <si>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</si>
  <si>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</si>
  <si>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</si>
  <si>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</si>
  <si>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</si>
  <si>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</si>
  <si>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</si>
  <si>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</si>
  <si>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</si>
  <si>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</si>
  <si>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</si>
  <si>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</si>
  <si>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</si>
  <si>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</si>
  <si>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</si>
  <si>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</si>
  <si>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</si>
  <si>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</si>
  <si>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</si>
  <si>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</si>
  <si>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</si>
  <si>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</si>
  <si>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</si>
  <si>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</si>
  <si>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</si>
  <si>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</si>
  <si>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</si>
  <si>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</si>
  <si>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</si>
  <si>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</si>
  <si>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</si>
  <si>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</si>
  <si>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</si>
  <si>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</si>
  <si>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</si>
  <si>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</si>
  <si>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</si>
  <si>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</si>
  <si>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</si>
  <si>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</si>
  <si>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</si>
  <si>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</si>
  <si>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</si>
  <si>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</si>
  <si>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</si>
  <si>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</si>
  <si>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</si>
  <si>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</si>
  <si>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</si>
  <si>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</si>
  <si>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</si>
  <si>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</si>
  <si>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</si>
  <si>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</si>
  <si>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</si>
  <si>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</si>
  <si>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</si>
  <si>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</si>
  <si>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</si>
  <si>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</si>
  <si>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</si>
  <si>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</si>
  <si>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</si>
  <si>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</si>
  <si>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</si>
  <si>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</si>
  <si>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</si>
  <si>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</si>
  <si>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</si>
  <si>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</si>
  <si>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</si>
  <si>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</si>
  <si>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</si>
  <si>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</si>
  <si>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</si>
  <si>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</si>
  <si>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</si>
  <si>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</si>
  <si>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</si>
  <si>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</si>
  <si>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</si>
  <si>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</si>
  <si>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</si>
  <si>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</si>
  <si>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</si>
  <si>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</si>
  <si>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</si>
  <si>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</si>
  <si>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</si>
  <si>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</si>
  <si>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</si>
  <si>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</si>
  <si>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</si>
  <si>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</si>
  <si>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</si>
  <si>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</si>
  <si>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</si>
  <si>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</si>
  <si>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</si>
  <si>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</si>
  <si>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</si>
  <si>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</si>
  <si>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</si>
  <si>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</si>
  <si>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</si>
  <si>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</si>
  <si>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</si>
  <si>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</si>
  <si>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</si>
  <si>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</si>
  <si>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</si>
  <si>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</si>
  <si>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</si>
  <si>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</si>
  <si>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</si>
  <si>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</si>
  <si>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</si>
  <si>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</si>
  <si>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</si>
  <si>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</si>
  <si>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</si>
  <si>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</si>
  <si>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</si>
  <si>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</si>
  <si>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</si>
  <si>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</si>
  <si>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</si>
  <si>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</si>
  <si>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</si>
  <si>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</si>
  <si>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</si>
  <si>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</si>
  <si>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</si>
  <si>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</si>
  <si>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</si>
  <si>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</si>
  <si>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</si>
  <si>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</si>
  <si>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</si>
  <si>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</si>
  <si>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</si>
  <si>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</si>
  <si>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</si>
  <si>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</si>
  <si>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</si>
  <si>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</si>
  <si>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</si>
  <si>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</si>
  <si>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</si>
  <si>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</si>
  <si>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</si>
  <si>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</si>
  <si>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</si>
  <si>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</si>
  <si>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</si>
  <si>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</si>
  <si>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</si>
  <si>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</si>
  <si>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</si>
  <si>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</si>
  <si>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</si>
  <si>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</si>
  <si>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</si>
  <si>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</si>
  <si>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</si>
  <si>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</si>
  <si>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</si>
  <si>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</si>
  <si>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</si>
  <si>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</si>
  <si>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</si>
  <si>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</si>
  <si>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</si>
  <si>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</si>
  <si>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</si>
  <si>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</si>
  <si>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</si>
  <si>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</si>
  <si>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</si>
  <si>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</si>
  <si>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</si>
  <si>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</si>
  <si>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</si>
  <si>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</si>
  <si>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</si>
  <si>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</si>
  <si>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</si>
  <si>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</si>
  <si>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</si>
  <si>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</si>
  <si>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</si>
  <si>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</si>
  <si>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</si>
  <si>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</si>
  <si>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</si>
  <si>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</si>
  <si>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</si>
  <si>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</si>
  <si>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</si>
  <si>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</si>
  <si>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</si>
  <si>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</si>
  <si>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</si>
  <si>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</si>
  <si>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</si>
  <si>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</si>
  <si>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</si>
  <si>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</si>
  <si>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</si>
  <si>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</si>
  <si>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</si>
  <si>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</si>
  <si>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</si>
  <si>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</si>
  <si>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</si>
  <si>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</si>
  <si>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</si>
  <si>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</si>
  <si>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</si>
  <si>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</si>
  <si>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</si>
  <si>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</si>
  <si>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</si>
  <si>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</si>
  <si>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</si>
  <si>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</si>
  <si>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</si>
  <si>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</si>
  <si>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</si>
  <si>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</si>
  <si>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</si>
  <si>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</si>
  <si>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</si>
  <si>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</si>
  <si>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</si>
  <si>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</si>
  <si>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</si>
  <si>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</si>
  <si>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</si>
  <si>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</si>
  <si>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</si>
  <si>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</si>
  <si>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</si>
  <si>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</si>
  <si>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</si>
  <si>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</si>
  <si>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</si>
  <si>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</si>
  <si>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</si>
  <si>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</si>
  <si>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</si>
  <si>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</si>
  <si>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</si>
  <si>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</si>
  <si>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</si>
  <si>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</si>
  <si>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</si>
  <si>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</si>
  <si>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</si>
  <si>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</si>
  <si>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</si>
  <si>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</si>
  <si>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</si>
  <si>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</si>
  <si>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</si>
  <si>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</si>
  <si>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</si>
  <si>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</si>
  <si>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</si>
  <si>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</si>
  <si>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</si>
  <si>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</si>
  <si>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</si>
  <si>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</si>
  <si>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</si>
  <si>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</si>
  <si>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</si>
  <si>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</si>
  <si>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</si>
  <si>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</si>
  <si>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</si>
  <si>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</si>
  <si>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</si>
  <si>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</si>
  <si>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</si>
  <si>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</si>
  <si>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</si>
  <si>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</si>
  <si>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</si>
  <si>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</si>
  <si>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</si>
  <si>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</si>
  <si>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</si>
  <si>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</si>
  <si>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</si>
  <si>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</si>
  <si>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</si>
  <si>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</si>
  <si>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</si>
  <si>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</si>
  <si>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</si>
  <si>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</si>
  <si>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</si>
  <si>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</si>
  <si>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</si>
  <si>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</si>
  <si>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</si>
  <si>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</si>
  <si>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</si>
  <si>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</si>
  <si>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</si>
  <si>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</si>
  <si>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</si>
  <si>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</si>
  <si>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</si>
  <si>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</si>
  <si>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</si>
  <si>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</si>
  <si>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</si>
  <si>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</si>
  <si>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</si>
  <si>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</si>
  <si>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</si>
  <si>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</si>
  <si>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</si>
  <si>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</si>
  <si>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</si>
  <si>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</si>
  <si>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</si>
  <si>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</si>
  <si>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</si>
  <si>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</si>
  <si>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</si>
  <si>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</si>
  <si>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</si>
  <si>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</si>
  <si>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</si>
  <si>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</si>
  <si>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</si>
  <si>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</si>
  <si>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</si>
  <si>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</si>
  <si>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</si>
  <si>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</si>
  <si>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</si>
  <si>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</si>
  <si>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</si>
  <si>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</si>
  <si>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</si>
  <si>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</si>
  <si>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</si>
  <si>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</si>
  <si>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</si>
  <si>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</si>
  <si>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</si>
  <si>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</si>
  <si>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</si>
  <si>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</si>
  <si>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</si>
  <si>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</si>
  <si>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</si>
  <si>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</si>
  <si>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</si>
  <si>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</si>
  <si>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</si>
  <si>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</si>
  <si>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</si>
  <si>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</si>
  <si>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</si>
  <si>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</si>
  <si>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</si>
  <si>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</si>
  <si>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</si>
  <si>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</si>
  <si>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</si>
  <si>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</si>
  <si>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</si>
  <si>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</si>
  <si>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</si>
  <si>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</si>
  <si>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</si>
  <si>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</si>
  <si>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</si>
  <si>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</si>
  <si>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</si>
  <si>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</si>
  <si>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</si>
  <si>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</si>
  <si>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</si>
  <si>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</si>
  <si>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</si>
  <si>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</si>
  <si>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</si>
  <si>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</si>
  <si>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</si>
  <si>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</si>
  <si>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</si>
  <si>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</si>
  <si>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</si>
  <si>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</si>
  <si>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</si>
  <si>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</si>
  <si>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</si>
  <si>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</si>
  <si>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</si>
  <si>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</si>
  <si>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</si>
  <si>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</si>
  <si>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</si>
  <si>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</si>
  <si>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</si>
  <si>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</si>
  <si>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</si>
  <si>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</si>
  <si>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</si>
  <si>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</si>
  <si>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</si>
  <si>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</si>
  <si>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</si>
  <si>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</si>
  <si>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</si>
  <si>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</si>
  <si>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</si>
  <si>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</si>
  <si>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</si>
  <si>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</si>
  <si>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</si>
  <si>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</si>
  <si>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</si>
  <si>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</si>
  <si>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</si>
  <si>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</si>
  <si>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</si>
  <si>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</si>
  <si>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</si>
  <si>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</si>
  <si>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</si>
  <si>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</si>
  <si>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</si>
  <si>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</si>
  <si>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</si>
  <si>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</si>
  <si>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</si>
  <si>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</si>
  <si>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</si>
  <si>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</si>
  <si>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</si>
  <si>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</si>
  <si>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</si>
  <si>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</si>
  <si>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</si>
  <si>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</si>
  <si>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</si>
  <si>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</si>
  <si>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</si>
  <si>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</si>
  <si>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</si>
  <si>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</si>
  <si>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</si>
  <si>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</si>
  <si>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</si>
  <si>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</si>
  <si>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</si>
  <si>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</si>
  <si>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</si>
  <si>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</si>
  <si>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</si>
  <si>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</si>
  <si>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</si>
  <si>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</si>
  <si>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</si>
  <si>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</si>
  <si>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</si>
  <si>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</si>
  <si>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</si>
  <si>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</si>
  <si>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</si>
  <si>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</si>
  <si>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</si>
  <si>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</si>
  <si>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</si>
  <si>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</si>
  <si>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</si>
  <si>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</si>
  <si>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</si>
  <si>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</si>
  <si>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</si>
  <si>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</si>
  <si>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</si>
  <si>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</si>
  <si>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</si>
  <si>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</si>
  <si>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</si>
  <si>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</si>
  <si>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</si>
  <si>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</si>
  <si>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</si>
  <si>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</si>
  <si>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</si>
  <si>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</si>
  <si>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</si>
  <si>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</si>
  <si>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</si>
  <si>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</si>
  <si>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</si>
  <si>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</si>
  <si>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</si>
  <si>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</si>
  <si>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</si>
  <si>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</si>
  <si>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</si>
  <si>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</si>
  <si>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</si>
  <si>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</si>
  <si>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</si>
  <si>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</si>
  <si>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</si>
  <si>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</si>
  <si>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</si>
  <si>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</si>
  <si>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</si>
  <si>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</si>
  <si>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</si>
  <si>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</si>
  <si>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</si>
  <si>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</si>
  <si>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</si>
  <si>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</si>
  <si>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</si>
  <si>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</si>
  <si>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</si>
  <si>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</si>
  <si>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</si>
  <si>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</si>
  <si>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</si>
  <si>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</si>
  <si>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</si>
  <si>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</si>
  <si>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</si>
  <si>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</si>
  <si>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</si>
  <si>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</si>
  <si>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</si>
  <si>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</si>
  <si>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</si>
  <si>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</si>
  <si>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</si>
  <si>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</si>
  <si>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</si>
  <si>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</si>
  <si>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</si>
  <si>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</si>
  <si>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</si>
  <si>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</si>
  <si>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</si>
  <si>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</si>
  <si>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</si>
  <si>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</si>
  <si>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</si>
  <si>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</si>
  <si>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</si>
  <si>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</si>
  <si>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</si>
  <si>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</si>
  <si>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</si>
  <si>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</si>
  <si>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</si>
  <si>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</si>
  <si>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</si>
  <si>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</si>
  <si>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</si>
  <si>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</si>
  <si>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</si>
  <si>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</si>
  <si>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</si>
  <si>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</si>
  <si>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</si>
  <si>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</si>
  <si>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</si>
  <si>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</si>
  <si>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</si>
  <si>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</si>
  <si>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</si>
  <si>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</si>
  <si>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</si>
  <si>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</si>
  <si>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</si>
  <si>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</si>
  <si>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</si>
  <si>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</si>
  <si>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</si>
  <si>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</si>
  <si>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</si>
  <si>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</si>
  <si>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</si>
  <si>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</si>
  <si>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</si>
  <si>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</si>
  <si>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</si>
  <si>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</si>
  <si>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</si>
  <si>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</si>
  <si>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</si>
  <si>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</si>
  <si>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</si>
  <si>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</si>
  <si>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</si>
  <si>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</si>
  <si>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</si>
  <si>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</si>
  <si>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</si>
  <si>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</si>
  <si>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</si>
  <si>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</si>
  <si>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</si>
  <si>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</si>
  <si>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</si>
  <si>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</si>
  <si>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</si>
  <si>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</si>
  <si>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</si>
  <si>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</si>
  <si>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</si>
  <si>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</si>
  <si>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</si>
  <si>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</si>
  <si>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</si>
  <si>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</si>
  <si>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</si>
  <si>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</si>
  <si>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</si>
  <si>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</si>
  <si>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</si>
  <si>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</si>
  <si>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</si>
  <si>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</si>
  <si>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</si>
  <si>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</si>
  <si>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</si>
  <si>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</si>
  <si>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</si>
  <si>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</si>
  <si>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</si>
  <si>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</si>
  <si>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</si>
  <si>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</si>
  <si>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</si>
  <si>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</si>
  <si>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</si>
  <si>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</si>
  <si>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</si>
  <si>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</si>
  <si>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</si>
  <si>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</si>
  <si>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</si>
  <si>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</si>
  <si>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</si>
  <si>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</si>
  <si>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</si>
  <si>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</si>
  <si>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</si>
  <si>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</si>
  <si>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</si>
  <si>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</si>
  <si>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</si>
  <si>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</si>
  <si>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</si>
  <si>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</si>
  <si>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</si>
  <si>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</si>
  <si>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</si>
  <si>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</si>
  <si>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</si>
  <si>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</si>
  <si>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</si>
  <si>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</si>
  <si>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</si>
  <si>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</si>
  <si>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</si>
  <si>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</si>
  <si>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</si>
  <si>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</si>
  <si>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</si>
  <si>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</si>
  <si>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</si>
  <si>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</si>
  <si>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</si>
  <si>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</si>
  <si>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</si>
  <si>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</si>
  <si>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</si>
  <si>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</si>
  <si>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</si>
  <si>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</si>
  <si>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</si>
  <si>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</si>
  <si>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</si>
  <si>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</si>
  <si>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</si>
  <si>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</si>
  <si>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</si>
  <si>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</si>
  <si>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</si>
  <si>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</si>
  <si>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</si>
  <si>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</si>
  <si>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</si>
  <si>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</si>
  <si>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</si>
  <si>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</si>
  <si>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</si>
  <si>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</si>
  <si>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</si>
  <si>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</si>
  <si>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</si>
  <si>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</si>
  <si>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</si>
  <si>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</si>
  <si>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</si>
  <si>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</si>
  <si>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</si>
  <si>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</si>
  <si>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</si>
  <si>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</si>
  <si>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</si>
  <si>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</si>
  <si>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</si>
  <si>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</si>
  <si>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</si>
  <si>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</si>
  <si>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</si>
  <si>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</si>
  <si>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</si>
  <si>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</si>
  <si>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</si>
  <si>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</si>
  <si>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</si>
  <si>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</si>
  <si>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</si>
  <si>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</si>
  <si>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</si>
  <si>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</si>
  <si>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</si>
  <si>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</si>
  <si>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</si>
  <si>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</si>
  <si>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</si>
  <si>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</si>
  <si>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</si>
  <si>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</si>
  <si>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</si>
  <si>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</si>
  <si>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</si>
  <si>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</si>
  <si>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</si>
  <si>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</si>
  <si>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</si>
  <si>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</si>
  <si>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</si>
  <si>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</si>
  <si>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</si>
  <si>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</si>
  <si>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</si>
  <si>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</si>
  <si>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</si>
  <si>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</si>
  <si>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</si>
  <si>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</si>
  <si>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</si>
  <si>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</si>
  <si>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</si>
  <si>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</si>
  <si>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</si>
  <si>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</si>
  <si>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</si>
  <si>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</si>
  <si>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</si>
  <si>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</si>
  <si>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</si>
  <si>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</si>
  <si>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</si>
  <si>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</si>
  <si>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</si>
  <si>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</si>
  <si>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</si>
  <si>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</si>
  <si>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</si>
  <si>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</si>
  <si>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</si>
  <si>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</si>
  <si>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</si>
  <si>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</si>
  <si>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</si>
  <si>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</si>
  <si>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</si>
  <si>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</si>
  <si>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</si>
  <si>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</si>
  <si>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</si>
  <si>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</si>
  <si>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</si>
  <si>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</si>
  <si>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</si>
  <si>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</si>
  <si>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</si>
  <si>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</si>
  <si>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</si>
  <si>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</si>
  <si>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</si>
  <si>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</si>
  <si>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</si>
  <si>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</si>
  <si>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</si>
  <si>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</si>
  <si>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</si>
  <si>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</si>
  <si>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</si>
  <si>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</si>
  <si>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</si>
  <si>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</si>
  <si>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</si>
  <si>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</si>
  <si>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</si>
  <si>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</si>
  <si>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</si>
  <si>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</si>
  <si>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</si>
  <si>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</si>
  <si>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</si>
  <si>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</si>
  <si>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</si>
  <si>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</si>
  <si>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</si>
  <si>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</si>
  <si>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</si>
  <si>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</si>
  <si>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</si>
  <si>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</si>
  <si>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</si>
  <si>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</si>
  <si>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</si>
  <si>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</si>
  <si>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</si>
  <si>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</si>
  <si>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</si>
  <si>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</si>
  <si>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</si>
  <si>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</si>
  <si>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</si>
  <si>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</si>
  <si>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</si>
  <si>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</si>
  <si>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</si>
  <si>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</si>
  <si>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</si>
  <si>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</si>
  <si>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</si>
  <si>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</si>
  <si>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</si>
  <si>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</si>
  <si>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</si>
  <si>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</si>
  <si>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</si>
  <si>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</si>
  <si>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</si>
  <si>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</si>
  <si>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</si>
  <si>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</si>
  <si>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</si>
  <si>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</si>
  <si>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</si>
  <si>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</si>
  <si>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</si>
  <si>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</si>
  <si>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</si>
  <si>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</si>
  <si>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</si>
  <si>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</si>
  <si>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</si>
  <si>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</si>
  <si>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</si>
  <si>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</si>
  <si>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</si>
  <si>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</si>
  <si>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</si>
  <si>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</si>
  <si>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</si>
  <si>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</si>
  <si>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</si>
  <si>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</si>
  <si>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</si>
  <si>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</si>
  <si>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</si>
  <si>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</si>
  <si>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</si>
  <si>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</si>
  <si>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</si>
  <si>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</si>
  <si>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</si>
  <si>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</si>
  <si>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</si>
  <si>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</si>
  <si>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</si>
  <si>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</si>
  <si>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</si>
  <si>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</si>
  <si>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</si>
  <si>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</si>
  <si>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</si>
  <si>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</si>
  <si>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</si>
  <si>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</si>
  <si>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</si>
  <si>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</si>
  <si>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</si>
  <si>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</si>
  <si>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</si>
  <si>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</si>
  <si>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</si>
  <si>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</si>
  <si>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</si>
  <si>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</si>
  <si>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</si>
  <si>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</si>
  <si>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</si>
  <si>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</si>
  <si>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</si>
  <si>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</si>
  <si>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</si>
  <si>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</si>
  <si>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</si>
  <si>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</si>
  <si>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</si>
  <si>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</si>
  <si>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</si>
  <si>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</si>
  <si>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</si>
  <si>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</si>
  <si>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</si>
  <si>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</si>
  <si>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</si>
  <si>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</si>
  <si>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</si>
  <si>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</si>
  <si>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</si>
  <si>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</si>
  <si>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</si>
  <si>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</si>
  <si>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</si>
  <si>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</si>
  <si>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</si>
  <si>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</si>
  <si>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</si>
  <si>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</si>
  <si>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</si>
  <si>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</si>
  <si>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</si>
  <si>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</si>
  <si>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</si>
  <si>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</si>
  <si>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</si>
  <si>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</si>
  <si>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</si>
  <si>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</si>
  <si>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</si>
  <si>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</si>
  <si>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</si>
  <si>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</si>
  <si>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</si>
  <si>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</si>
  <si>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</si>
  <si>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</si>
  <si>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</si>
  <si>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</si>
  <si>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</si>
  <si>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</si>
  <si>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</si>
  <si>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</si>
  <si>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</si>
  <si>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</si>
  <si>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</si>
  <si>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</si>
  <si>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</si>
  <si>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</si>
  <si>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</si>
  <si>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</si>
  <si>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</si>
  <si>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</si>
  <si>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</si>
  <si>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</si>
  <si>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</si>
  <si>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</si>
  <si>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</si>
  <si>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</si>
  <si>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</si>
  <si>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</si>
  <si>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</si>
  <si>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</si>
  <si>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</si>
  <si>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</si>
  <si>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</si>
  <si>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</si>
  <si>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</si>
  <si>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</si>
  <si>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</si>
  <si>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</si>
  <si>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</si>
  <si>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</si>
  <si>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</si>
  <si>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</si>
  <si>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</si>
  <si>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</si>
  <si>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</si>
  <si>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</si>
  <si>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</si>
  <si>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</si>
  <si>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</si>
  <si>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</si>
  <si>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</si>
  <si>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</si>
  <si>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</si>
  <si>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</si>
  <si>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</si>
  <si>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</si>
  <si>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</si>
  <si>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</si>
  <si>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</si>
  <si>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</si>
  <si>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</si>
  <si>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</si>
  <si>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</si>
  <si>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</si>
  <si>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</si>
  <si>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</si>
  <si>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</si>
  <si>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</si>
  <si>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</si>
  <si>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</si>
  <si>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</si>
  <si>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</si>
  <si>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</si>
  <si>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</si>
  <si>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</si>
  <si>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</si>
  <si>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</si>
  <si>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</si>
  <si>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</si>
  <si>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</si>
  <si>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</si>
  <si>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</si>
  <si>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</si>
  <si>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</si>
  <si>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</si>
  <si>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</si>
  <si>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</si>
  <si>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</si>
  <si>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</si>
  <si>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</si>
  <si>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</si>
  <si>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</si>
  <si>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</si>
  <si>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</si>
  <si>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</si>
  <si>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</si>
  <si>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</si>
  <si>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</si>
  <si>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</si>
  <si>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</si>
  <si>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</si>
  <si>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</si>
  <si>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</si>
  <si>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</si>
  <si>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</si>
  <si>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</si>
  <si>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</si>
  <si>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</si>
  <si>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</si>
  <si>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</si>
  <si>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</si>
  <si>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</si>
  <si>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</si>
  <si>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</si>
  <si>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</si>
  <si>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</si>
  <si>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</si>
  <si>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</si>
  <si>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</si>
  <si>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</si>
  <si>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</si>
  <si>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</si>
  <si>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</si>
  <si>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</si>
  <si>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</si>
  <si>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</si>
  <si>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</si>
  <si>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</si>
  <si>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</si>
  <si>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</si>
  <si>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</si>
  <si>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</si>
  <si>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</si>
  <si>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</si>
  <si>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</si>
  <si>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</si>
  <si>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</si>
  <si>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</si>
  <si>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</si>
  <si>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</si>
  <si>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</si>
  <si>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</si>
  <si>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</si>
  <si>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</si>
  <si>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</si>
  <si>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</si>
  <si>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</si>
  <si>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</si>
  <si>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</si>
  <si>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</si>
  <si>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</si>
  <si>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</si>
  <si>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</si>
  <si>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</si>
  <si>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</si>
  <si>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</si>
  <si>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</si>
  <si>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</si>
  <si>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</si>
  <si>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</si>
  <si>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</si>
  <si>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</si>
  <si>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</si>
  <si>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</si>
  <si>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</si>
  <si>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</si>
  <si>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</si>
  <si>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</si>
  <si>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</si>
  <si>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</si>
  <si>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</si>
  <si>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</si>
  <si>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</si>
  <si>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</si>
  <si>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</si>
  <si>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</si>
  <si>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</si>
  <si>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</si>
  <si>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</si>
  <si>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</si>
  <si>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</si>
  <si>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</si>
  <si>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</si>
  <si>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</si>
  <si>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</si>
  <si>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</si>
  <si>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</si>
  <si>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</si>
  <si>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</si>
  <si>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</si>
  <si>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</si>
  <si>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</si>
  <si>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</si>
  <si>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</si>
  <si>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</si>
  <si>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</si>
  <si>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</si>
  <si>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</si>
  <si>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</si>
  <si>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</si>
  <si>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</si>
  <si>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</si>
  <si>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</si>
  <si>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</si>
  <si>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</si>
  <si>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</si>
  <si>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</si>
  <si>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</si>
  <si>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</si>
  <si>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</si>
  <si>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</si>
  <si>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</si>
  <si>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</si>
  <si>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</si>
  <si>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</si>
  <si>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</si>
  <si>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</si>
  <si>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</si>
  <si>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</si>
  <si>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</si>
  <si>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</si>
  <si>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</si>
  <si>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</si>
  <si>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</si>
  <si>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</si>
  <si>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</si>
  <si>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</si>
  <si>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</si>
  <si>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</si>
  <si>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</si>
  <si>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</si>
  <si>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</si>
  <si>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</si>
  <si>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</si>
  <si>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</si>
  <si>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</si>
  <si>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</si>
  <si>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</si>
  <si>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</si>
  <si>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</si>
  <si>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</si>
  <si>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</si>
  <si>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</si>
  <si>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</si>
  <si>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</si>
  <si>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</si>
  <si>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</si>
  <si>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</si>
  <si>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</si>
  <si>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</si>
  <si>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</si>
  <si>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</si>
  <si>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</si>
  <si>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</si>
  <si>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</si>
  <si>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</si>
  <si>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</si>
  <si>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</si>
  <si>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</si>
  <si>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</si>
  <si>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</si>
  <si>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</si>
  <si>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</si>
  <si>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</si>
  <si>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</si>
  <si>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</si>
  <si>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</si>
  <si>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</si>
  <si>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</si>
  <si>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</si>
  <si>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</si>
  <si>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</si>
  <si>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</si>
  <si>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</si>
  <si>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</si>
  <si>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</si>
  <si>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</si>
  <si>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</si>
  <si>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</si>
  <si>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</si>
  <si>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</si>
  <si>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</si>
  <si>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</si>
  <si>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</si>
  <si>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</si>
  <si>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</si>
  <si>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</si>
  <si>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</si>
  <si>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</si>
  <si>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</si>
  <si>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</si>
  <si>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</si>
  <si>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</si>
  <si>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</si>
  <si>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</si>
  <si>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</si>
  <si>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</si>
  <si>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</si>
  <si>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</si>
  <si>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</si>
  <si>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</si>
  <si>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</si>
  <si>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</si>
  <si>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</si>
  <si>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</si>
  <si>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</si>
  <si>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</si>
  <si>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</si>
  <si>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</si>
  <si>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</si>
  <si>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</si>
  <si>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</si>
  <si>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</si>
  <si>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</si>
  <si>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</si>
  <si>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</si>
  <si>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</si>
  <si>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</si>
  <si>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</si>
  <si>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</si>
  <si>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</si>
  <si>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</si>
  <si>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</si>
  <si>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</si>
  <si>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</si>
  <si>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</si>
  <si>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</si>
  <si>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</si>
  <si>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</si>
  <si>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</si>
  <si>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</si>
  <si>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</si>
  <si>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</si>
  <si>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</si>
  <si>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</si>
  <si>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</si>
  <si>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</si>
  <si>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</si>
  <si>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</si>
  <si>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</si>
  <si>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</si>
  <si>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</si>
  <si>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</si>
  <si>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</si>
  <si>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</si>
  <si>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</si>
  <si>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</si>
  <si>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</si>
  <si>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</si>
  <si>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</si>
  <si>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</si>
  <si>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</si>
  <si>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</si>
  <si>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</si>
  <si>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</si>
  <si>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</si>
  <si>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</si>
  <si>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</si>
  <si>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</si>
  <si>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</si>
  <si>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</si>
  <si>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</si>
  <si>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</si>
  <si>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</si>
  <si>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</si>
  <si>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</si>
  <si>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</si>
  <si>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</si>
  <si>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</si>
  <si>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</si>
  <si>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</si>
  <si>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</si>
  <si>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</si>
  <si>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</si>
  <si>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</si>
  <si>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</si>
  <si>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</si>
  <si>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</si>
  <si>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</si>
  <si>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</si>
  <si>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</si>
  <si>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</si>
  <si>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</si>
  <si>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</si>
  <si>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</si>
  <si>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</si>
  <si>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</si>
  <si>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</si>
  <si>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</si>
  <si>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</si>
  <si>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</si>
  <si>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</si>
  <si>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</si>
  <si>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</si>
  <si>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</si>
  <si>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</si>
  <si>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</si>
  <si>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</si>
  <si>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</si>
  <si>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</si>
  <si>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</si>
  <si>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</si>
  <si>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</si>
  <si>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</si>
  <si>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</si>
  <si>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</si>
  <si>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</si>
  <si>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</si>
  <si>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</si>
  <si>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</si>
  <si>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</si>
  <si>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</si>
  <si>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</si>
  <si>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</si>
  <si>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</si>
  <si>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</si>
  <si>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</si>
  <si>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</si>
  <si>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</si>
  <si>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</si>
  <si>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</si>
  <si>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</si>
  <si>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</si>
  <si>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</si>
  <si>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</si>
  <si>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</si>
  <si>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</si>
  <si>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</si>
  <si>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</si>
  <si>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</si>
  <si>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</si>
  <si>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</si>
  <si>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</si>
  <si>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</si>
  <si>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</si>
  <si>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</si>
  <si>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</si>
  <si>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</si>
  <si>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</si>
  <si>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</si>
  <si>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</si>
  <si>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</si>
  <si>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</si>
  <si>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</si>
  <si>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</si>
  <si>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</si>
  <si>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</si>
  <si>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</si>
  <si>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</si>
  <si>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</si>
  <si>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</si>
  <si>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</si>
  <si>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</si>
  <si>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</si>
  <si>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</si>
  <si>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</si>
  <si>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</si>
  <si>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</si>
  <si>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</si>
  <si>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</si>
  <si>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</si>
  <si>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</si>
  <si>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</si>
  <si>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</si>
  <si>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</si>
  <si>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</si>
  <si>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</si>
  <si>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</si>
  <si>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</si>
  <si>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</si>
  <si>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</si>
  <si>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</si>
  <si>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</si>
  <si>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</si>
  <si>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</si>
  <si>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</si>
  <si>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</si>
  <si>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</si>
  <si>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</si>
  <si>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</si>
  <si>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</si>
  <si>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</si>
  <si>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</si>
  <si>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</si>
  <si>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</si>
  <si>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</si>
  <si>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</si>
  <si>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</si>
  <si>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</si>
  <si>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</si>
  <si>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</si>
  <si>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</si>
  <si>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</si>
  <si>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</si>
  <si>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</si>
  <si>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</si>
  <si>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</si>
  <si>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</si>
  <si>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</si>
  <si>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</si>
  <si>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</si>
  <si>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</si>
  <si>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</si>
  <si>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</si>
  <si>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</si>
  <si>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</si>
  <si>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</si>
  <si>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</si>
  <si>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</si>
  <si>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</si>
  <si>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</si>
  <si>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</si>
  <si>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</si>
  <si>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</si>
  <si>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</si>
  <si>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</si>
  <si>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</si>
  <si>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</si>
  <si>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</si>
  <si>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</si>
  <si>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</si>
  <si>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</si>
  <si>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</si>
  <si>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</si>
  <si>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</si>
  <si>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</si>
  <si>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</si>
  <si>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</si>
  <si>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</si>
  <si>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</si>
  <si>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</si>
  <si>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</si>
  <si>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</si>
  <si>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</si>
  <si>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</si>
  <si>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</si>
  <si>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</si>
  <si>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</si>
  <si>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</si>
  <si>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</si>
  <si>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</si>
  <si>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</si>
  <si>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</si>
  <si>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</si>
  <si>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</si>
  <si>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</si>
  <si>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</si>
  <si>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</si>
  <si>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</si>
  <si>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</si>
  <si>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</si>
  <si>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</si>
  <si>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</si>
  <si>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</si>
  <si>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</si>
  <si>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</si>
  <si>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</si>
  <si>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</si>
  <si>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</si>
  <si>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</si>
  <si>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</si>
  <si>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</si>
  <si>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</si>
  <si>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</si>
  <si>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</si>
  <si>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</si>
  <si>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</si>
  <si>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</si>
  <si>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</si>
  <si>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</si>
  <si>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</si>
  <si>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</si>
  <si>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</si>
  <si>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</si>
  <si>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</si>
  <si>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</si>
  <si>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</si>
  <si>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</si>
  <si>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</si>
  <si>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</si>
  <si>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</si>
  <si>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</si>
  <si>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</si>
  <si>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</si>
  <si>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</si>
  <si>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</si>
  <si>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</si>
  <si>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</si>
  <si>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</si>
  <si>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</si>
  <si>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</si>
  <si>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</si>
  <si>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</si>
  <si>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</si>
  <si>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</si>
  <si>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</si>
  <si>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</si>
  <si>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</si>
  <si>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</si>
  <si>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</si>
  <si>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</si>
  <si>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</si>
  <si>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</si>
  <si>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</si>
  <si>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</si>
  <si>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</si>
  <si>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</si>
  <si>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</si>
  <si>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</si>
  <si>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</si>
  <si>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</si>
  <si>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</si>
  <si>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</si>
  <si>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</si>
  <si>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</si>
  <si>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</si>
  <si>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</si>
  <si>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</si>
  <si>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</si>
  <si>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</si>
  <si>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</si>
  <si>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</si>
  <si>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</si>
  <si>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</si>
  <si>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</si>
  <si>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</si>
  <si>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</si>
  <si>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</si>
  <si>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</si>
  <si>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</si>
  <si>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</si>
  <si>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</si>
  <si>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</si>
  <si>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</si>
  <si>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</si>
  <si>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</si>
  <si>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</si>
  <si>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</si>
  <si>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</si>
  <si>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</si>
  <si>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</si>
  <si>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</si>
  <si>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</si>
  <si>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</si>
  <si>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</si>
  <si>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</si>
  <si>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</si>
  <si>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</si>
  <si>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</si>
  <si>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</si>
  <si>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</si>
  <si>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</si>
  <si>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</si>
  <si>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</si>
  <si>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</si>
  <si>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</si>
  <si>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</si>
  <si>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</si>
  <si>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</si>
  <si>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</si>
  <si>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</si>
  <si>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</si>
  <si>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</si>
  <si>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</si>
  <si>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</si>
  <si>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</si>
  <si>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</si>
  <si>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</si>
  <si>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</si>
  <si>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</si>
  <si>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</si>
  <si>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</si>
  <si>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</si>
  <si>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</si>
  <si>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</si>
  <si>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</si>
  <si>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</si>
  <si>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</si>
  <si>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</si>
  <si>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</si>
  <si>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</si>
  <si>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</si>
  <si>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</si>
  <si>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</si>
  <si>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</si>
  <si>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</si>
  <si>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</si>
  <si>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</si>
  <si>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</si>
  <si>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</si>
  <si>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</si>
  <si>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</si>
  <si>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</si>
  <si>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</si>
  <si>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</si>
  <si>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</si>
  <si>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</si>
  <si>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</si>
  <si>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</si>
  <si>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</si>
  <si>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</si>
  <si>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</si>
  <si>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</si>
  <si>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</si>
  <si>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</si>
  <si>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</si>
  <si>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</si>
  <si>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</si>
  <si>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</si>
  <si>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</si>
  <si>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</si>
  <si>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</si>
  <si>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</si>
  <si>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</si>
  <si>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</si>
  <si>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</si>
  <si>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</si>
  <si>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</si>
  <si>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</si>
  <si>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</si>
  <si>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</si>
  <si>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</si>
  <si>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</si>
  <si>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</si>
  <si>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</si>
  <si>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</si>
  <si>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</si>
  <si>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</si>
  <si>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</si>
  <si>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</si>
  <si>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</si>
  <si>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</si>
  <si>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</si>
  <si>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</si>
  <si>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</si>
  <si>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</si>
  <si>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</si>
  <si>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</si>
  <si>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</si>
  <si>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</si>
  <si>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</si>
  <si>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</si>
  <si>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</si>
  <si>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</si>
  <si>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</si>
  <si>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</si>
  <si>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</si>
  <si>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</si>
  <si>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</si>
  <si>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</si>
  <si>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</si>
  <si>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</si>
  <si>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</si>
  <si>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</si>
  <si>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</si>
  <si>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</si>
  <si>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</si>
  <si>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</si>
  <si>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</si>
  <si>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</si>
  <si>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</si>
  <si>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</si>
  <si>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</si>
  <si>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</si>
  <si>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</si>
  <si>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</si>
  <si>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</si>
  <si>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</si>
  <si>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</si>
  <si>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</si>
  <si>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</si>
  <si>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</si>
  <si>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</si>
  <si>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</si>
  <si>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</si>
  <si>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</si>
  <si>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</si>
  <si>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</si>
  <si>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</si>
  <si>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</si>
  <si>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</si>
  <si>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</si>
  <si>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</si>
  <si>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</si>
  <si>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</si>
  <si>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</si>
  <si>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</si>
  <si>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</si>
  <si>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</si>
  <si>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</si>
  <si>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</si>
  <si>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</si>
  <si>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</si>
  <si>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</si>
  <si>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</si>
  <si>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</si>
  <si>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</si>
  <si>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</si>
  <si>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</si>
  <si>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</si>
  <si>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</si>
  <si>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</si>
  <si>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</si>
  <si>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</si>
  <si>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</si>
  <si>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</si>
  <si>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</si>
  <si>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</si>
  <si>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</si>
  <si>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</si>
  <si>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</si>
  <si>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</si>
  <si>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</si>
  <si>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</si>
  <si>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</si>
  <si>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</si>
  <si>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</si>
  <si>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</si>
  <si>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</si>
  <si>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</si>
  <si>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</si>
  <si>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</si>
  <si>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</si>
  <si>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</si>
  <si>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</si>
  <si>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</si>
  <si>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</si>
  <si>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</si>
  <si>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</si>
  <si>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</si>
  <si>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</si>
  <si>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</si>
  <si>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</si>
  <si>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</si>
  <si>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</si>
  <si>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</si>
  <si>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</si>
  <si>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</si>
  <si>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</si>
  <si>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</si>
  <si>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</si>
  <si>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</si>
  <si>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</si>
  <si>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</si>
  <si>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</si>
  <si>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</si>
  <si>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</si>
  <si>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</si>
  <si>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</si>
  <si>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</si>
  <si>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</si>
  <si>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</si>
  <si>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</si>
  <si>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</si>
  <si>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</si>
  <si>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</si>
  <si>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</si>
  <si>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</si>
  <si>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</si>
  <si>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</si>
  <si>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</si>
  <si>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</si>
  <si>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</si>
  <si>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</si>
  <si>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</si>
  <si>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</si>
  <si>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</si>
  <si>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</si>
  <si>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</si>
  <si>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</si>
  <si>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</si>
  <si>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</si>
  <si>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</si>
  <si>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</si>
  <si>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</si>
  <si>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</si>
  <si>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</si>
  <si>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</si>
  <si>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</si>
  <si>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</si>
  <si>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</si>
  <si>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</si>
  <si>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</si>
  <si>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</si>
  <si>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</si>
  <si>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</si>
  <si>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</si>
  <si>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</si>
  <si>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</si>
  <si>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</si>
  <si>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</si>
  <si>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</si>
  <si>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</si>
  <si>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</si>
  <si>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</si>
  <si>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</si>
  <si>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</si>
  <si>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</si>
  <si>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</si>
  <si>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</si>
  <si>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</si>
  <si>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</si>
  <si>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</si>
  <si>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</si>
  <si>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</si>
  <si>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</si>
  <si>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</si>
  <si>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</si>
  <si>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</si>
  <si>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</si>
  <si>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</si>
  <si>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</si>
  <si>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</si>
  <si>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</si>
  <si>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</si>
  <si>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</si>
  <si>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</si>
  <si>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</si>
  <si>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</si>
  <si>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</si>
  <si>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</si>
  <si>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</si>
  <si>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</si>
  <si>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</si>
  <si>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</si>
  <si>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</si>
  <si>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</si>
  <si>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</si>
  <si>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</si>
  <si>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</si>
  <si>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</si>
  <si>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</si>
  <si>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</si>
  <si>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</si>
  <si>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</si>
  <si>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</si>
  <si>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</si>
  <si>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</si>
  <si>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</si>
  <si>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</si>
  <si>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</si>
  <si>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</si>
  <si>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</si>
  <si>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</si>
  <si>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</si>
  <si>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</si>
  <si>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</si>
  <si>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</si>
  <si>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</si>
  <si>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</si>
  <si>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</si>
  <si>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</si>
  <si>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</si>
  <si>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</si>
  <si>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</si>
  <si>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</si>
  <si>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</si>
  <si>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</si>
  <si>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</si>
  <si>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</si>
  <si>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</si>
  <si>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</si>
  <si>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</si>
  <si>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</si>
  <si>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</si>
  <si>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</si>
  <si>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</si>
  <si>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</si>
  <si>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</si>
  <si>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</si>
  <si>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</si>
  <si>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</si>
  <si>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</si>
  <si>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</si>
  <si>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</si>
  <si>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</si>
  <si>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</si>
  <si>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</si>
  <si>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</si>
  <si>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</si>
  <si>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</si>
  <si>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</si>
  <si>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</si>
  <si>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</si>
  <si>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</si>
  <si>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</si>
  <si>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</si>
  <si>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</si>
  <si>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</si>
  <si>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</si>
  <si>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</si>
  <si>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</si>
  <si>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</si>
  <si>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</si>
  <si>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</si>
  <si>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</si>
  <si>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</si>
  <si>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</si>
  <si>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</si>
  <si>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</si>
  <si>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</si>
  <si>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</si>
  <si>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</si>
  <si>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</si>
  <si>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</si>
  <si>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</si>
  <si>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</si>
  <si>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</si>
  <si>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</si>
  <si>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</si>
  <si>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</si>
  <si>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</si>
  <si>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</si>
  <si>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</si>
  <si>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</si>
  <si>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</si>
  <si>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</si>
  <si>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</si>
  <si>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</si>
  <si>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</si>
  <si>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</si>
  <si>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</si>
  <si>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</si>
  <si>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</si>
  <si>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</si>
  <si>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</si>
  <si>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</si>
  <si>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</si>
  <si>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</si>
  <si>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</si>
  <si>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</si>
  <si>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</si>
  <si>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</si>
  <si>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</si>
  <si>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</si>
  <si>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</si>
  <si>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</si>
  <si>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</si>
  <si>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</si>
  <si>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</si>
  <si>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</si>
  <si>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</si>
  <si>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</si>
  <si>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</si>
  <si>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</si>
  <si>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</si>
  <si>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</si>
  <si>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</si>
  <si>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</si>
  <si>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</si>
  <si>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</si>
  <si>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</si>
  <si>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</si>
  <si>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</si>
  <si>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</si>
  <si>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</si>
  <si>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</si>
  <si>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</si>
  <si>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</si>
  <si>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</si>
  <si>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</si>
  <si>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</si>
  <si>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</si>
  <si>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</si>
  <si>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</si>
  <si>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</si>
  <si>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</si>
  <si>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</si>
  <si>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</si>
  <si>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</si>
  <si>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</si>
  <si>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</si>
  <si>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</si>
  <si>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</si>
  <si>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</si>
  <si>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</si>
  <si>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</si>
  <si>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</si>
  <si>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</si>
  <si>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</si>
  <si>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</si>
  <si>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</si>
  <si>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</si>
  <si>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</si>
  <si>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</si>
  <si>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</si>
  <si>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</si>
  <si>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</si>
  <si>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</si>
  <si>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</si>
  <si>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</si>
  <si>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</si>
  <si>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</si>
  <si>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</si>
  <si>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</si>
  <si>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</si>
  <si>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</si>
  <si>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</si>
  <si>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</si>
  <si>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</si>
  <si>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</si>
  <si>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</si>
  <si>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</si>
  <si>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</si>
  <si>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</si>
  <si>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</si>
  <si>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</si>
  <si>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</si>
  <si>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</si>
  <si>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</si>
  <si>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</si>
  <si>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</si>
  <si>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</si>
  <si>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</si>
  <si>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</si>
  <si>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</si>
  <si>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</si>
  <si>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</si>
  <si>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</si>
  <si>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</si>
  <si>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</si>
  <si>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</si>
  <si>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</si>
  <si>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</si>
  <si>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</si>
  <si>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</si>
  <si>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</si>
  <si>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</si>
  <si>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</si>
  <si>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</si>
  <si>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</si>
  <si>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</si>
  <si>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</si>
  <si>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</si>
  <si>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</si>
  <si>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</si>
  <si>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</si>
  <si>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</si>
  <si>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</si>
  <si>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</si>
  <si>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</si>
  <si>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</si>
  <si>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</si>
  <si>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</si>
  <si>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</si>
  <si>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</si>
  <si>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</si>
  <si>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</si>
  <si>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</si>
  <si>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</si>
  <si>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</si>
  <si>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</si>
  <si>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</si>
  <si>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</si>
  <si>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</si>
  <si>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</si>
  <si>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</si>
  <si>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</si>
  <si>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</si>
  <si>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</si>
  <si>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</si>
  <si>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</si>
  <si>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</si>
  <si>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</si>
  <si>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</si>
  <si>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</si>
  <si>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</si>
  <si>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</si>
  <si>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</si>
  <si>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</si>
  <si>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</si>
  <si>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</si>
  <si>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</si>
  <si>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</si>
  <si>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</si>
  <si>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</si>
  <si>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</si>
  <si>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</si>
  <si>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</si>
  <si>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</si>
  <si>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</si>
  <si>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</si>
  <si>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</si>
  <si>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</si>
  <si>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</si>
  <si>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</si>
  <si>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</si>
  <si>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</si>
  <si>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</si>
  <si>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</si>
  <si>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</si>
  <si>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</si>
  <si>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</si>
  <si>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</si>
  <si>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</si>
  <si>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</si>
  <si>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</si>
  <si>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</si>
  <si>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</si>
  <si>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</si>
  <si>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</si>
  <si>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</si>
  <si>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</si>
  <si>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</si>
  <si>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</si>
  <si>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</si>
  <si>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</si>
  <si>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</si>
  <si>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</si>
  <si>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</si>
  <si>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</si>
  <si>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</si>
  <si>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</si>
  <si>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</si>
  <si>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</si>
  <si>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</si>
  <si>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</si>
  <si>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</si>
  <si>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</si>
  <si>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</si>
  <si>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</si>
  <si>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</si>
  <si>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</si>
  <si>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</si>
  <si>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</si>
  <si>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</si>
  <si>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</si>
  <si>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</si>
  <si>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</si>
  <si>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</si>
  <si>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</si>
  <si>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</si>
  <si>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</si>
  <si>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</si>
  <si>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</si>
  <si>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</si>
  <si>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</si>
  <si>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</si>
  <si>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</si>
  <si>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</si>
  <si>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</si>
  <si>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</si>
  <si>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</si>
  <si>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</si>
  <si>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</si>
  <si>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</si>
  <si>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</si>
  <si>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</si>
  <si>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</si>
  <si>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</si>
  <si>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</si>
  <si>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</si>
  <si>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</si>
  <si>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</si>
  <si>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</si>
  <si>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</si>
  <si>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</si>
  <si>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</si>
  <si>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</si>
  <si>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</si>
  <si>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</si>
  <si>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</si>
  <si>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</si>
  <si>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</si>
  <si>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</si>
  <si>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</si>
  <si>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</si>
  <si>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</si>
  <si>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</si>
  <si>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</si>
  <si>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</si>
  <si>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</si>
  <si>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</si>
  <si>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</si>
  <si>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</si>
  <si>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</si>
  <si>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</si>
  <si>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</si>
  <si>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</si>
  <si>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</si>
  <si>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</si>
  <si>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</si>
  <si>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</si>
  <si>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</si>
  <si>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</si>
  <si>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</si>
  <si>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</si>
  <si>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</si>
  <si>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</si>
  <si>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</si>
  <si>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</si>
  <si>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</si>
  <si>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</si>
  <si>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</si>
  <si>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</si>
  <si>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</si>
  <si>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</si>
  <si>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</si>
  <si>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</si>
  <si>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</si>
  <si>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</si>
  <si>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</si>
  <si>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</si>
  <si>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</si>
  <si>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</si>
  <si>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</si>
  <si>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</si>
  <si>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</si>
  <si>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</si>
  <si>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</si>
  <si>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</si>
  <si>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</si>
  <si>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</si>
  <si>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</si>
  <si>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</si>
  <si>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</si>
  <si>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</si>
  <si>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</si>
  <si>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</si>
  <si>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</si>
  <si>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</si>
  <si>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</si>
  <si>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</si>
  <si>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</si>
  <si>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</si>
  <si>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</si>
  <si>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</si>
  <si>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</si>
  <si>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</si>
  <si>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</si>
  <si>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</si>
  <si>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</si>
  <si>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</si>
  <si>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</si>
  <si>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</si>
  <si>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</si>
  <si>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</si>
  <si>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</si>
  <si>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</si>
  <si>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</si>
  <si>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</si>
  <si>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</si>
  <si>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</si>
  <si>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</si>
  <si>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</si>
  <si>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</si>
  <si>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</si>
  <si>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</si>
  <si>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</si>
  <si>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</si>
  <si>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</si>
  <si>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</si>
  <si>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</si>
  <si>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</si>
  <si>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</si>
  <si>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</si>
  <si>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</si>
  <si>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</si>
  <si>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</si>
  <si>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</si>
  <si>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</si>
  <si>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</si>
  <si>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</si>
  <si>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</si>
  <si>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</si>
  <si>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</si>
  <si>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</si>
  <si>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</si>
  <si>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</si>
  <si>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</si>
  <si>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</si>
  <si>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</si>
  <si>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</si>
  <si>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</si>
  <si>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</si>
  <si>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</si>
  <si>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</si>
  <si>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</si>
  <si>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</si>
  <si>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</si>
  <si>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</si>
  <si>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</si>
  <si>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</si>
  <si>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</si>
  <si>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</si>
  <si>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</si>
  <si>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</si>
  <si>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</si>
  <si>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</si>
  <si>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</si>
  <si>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</si>
  <si>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</si>
  <si>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</si>
  <si>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</si>
  <si>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</si>
  <si>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</si>
  <si>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</si>
  <si>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</si>
  <si>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</si>
  <si>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</si>
  <si>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</si>
  <si>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</si>
  <si>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</si>
  <si>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</si>
  <si>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</si>
  <si>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</si>
  <si>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</si>
  <si>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</si>
  <si>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</si>
  <si>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</si>
  <si>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</si>
  <si>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</si>
  <si>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</si>
  <si>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</si>
  <si>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</si>
  <si>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</si>
  <si>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</si>
  <si>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</si>
  <si>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</si>
  <si>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</si>
  <si>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</si>
  <si>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</si>
  <si>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</si>
  <si>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</si>
  <si>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</si>
  <si>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</si>
  <si>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</si>
  <si>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</si>
  <si>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</si>
  <si>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</si>
  <si>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</si>
  <si>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</si>
  <si>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</si>
  <si>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</si>
  <si>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</si>
  <si>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</si>
  <si>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</si>
  <si>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</si>
  <si>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</si>
  <si>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</si>
  <si>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</si>
  <si>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</si>
  <si>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</si>
  <si>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</si>
  <si>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</si>
  <si>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</si>
  <si>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</si>
  <si>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</si>
  <si>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</si>
  <si>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</si>
  <si>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</si>
  <si>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</si>
  <si>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</si>
  <si>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</si>
  <si>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</si>
  <si>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</si>
  <si>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</si>
  <si>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</si>
  <si>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</si>
  <si>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</si>
  <si>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</si>
  <si>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</si>
  <si>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</si>
  <si>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</si>
  <si>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</si>
  <si>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</si>
  <si>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</si>
  <si>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</si>
  <si>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</si>
  <si>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</si>
  <si>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</si>
  <si>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</si>
  <si>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</si>
  <si>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</si>
  <si>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</si>
  <si>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</si>
  <si>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</si>
  <si>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</si>
  <si>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</si>
  <si>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</si>
  <si>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</si>
  <si>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</si>
  <si>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</si>
  <si>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</si>
  <si>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</si>
  <si>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</si>
  <si>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</si>
  <si>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</si>
  <si>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</si>
  <si>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</si>
  <si>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</si>
  <si>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</si>
  <si>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</si>
  <si>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</si>
  <si>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</si>
  <si>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</si>
  <si>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</si>
  <si>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</si>
  <si>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</si>
  <si>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</si>
  <si>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</si>
  <si>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</si>
  <si>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</si>
  <si>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</si>
  <si>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</si>
  <si>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</si>
  <si>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</si>
  <si>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</si>
  <si>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</si>
  <si>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</si>
  <si>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</si>
  <si>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</si>
  <si>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</si>
  <si>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</si>
  <si>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</si>
  <si>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</si>
  <si>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</si>
  <si>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</si>
  <si>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</si>
  <si>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</si>
  <si>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</si>
  <si>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</si>
  <si>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</si>
  <si>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</si>
  <si>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</si>
  <si>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</si>
  <si>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</si>
  <si>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</si>
  <si>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</si>
  <si>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</si>
  <si>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</si>
  <si>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</si>
  <si>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</si>
  <si>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</si>
  <si>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</si>
  <si>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</si>
  <si>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</si>
  <si>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</si>
  <si>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</si>
  <si>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</si>
  <si>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</si>
  <si>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</si>
  <si>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</si>
  <si>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</si>
  <si>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</si>
  <si>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</si>
  <si>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</si>
  <si>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</si>
  <si>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</si>
  <si>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</si>
  <si>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</si>
  <si>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</si>
  <si>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</si>
  <si>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</si>
  <si>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</si>
  <si>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</si>
  <si>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</si>
  <si>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</si>
  <si>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</si>
  <si>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</si>
  <si>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</si>
  <si>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</si>
  <si>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</si>
  <si>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</si>
  <si>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</si>
  <si>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</si>
  <si>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</si>
  <si>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</si>
  <si>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</si>
  <si>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</si>
  <si>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</si>
  <si>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</si>
  <si>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</si>
  <si>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</si>
  <si>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</si>
  <si>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</si>
  <si>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</si>
  <si>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</si>
  <si>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</si>
  <si>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</si>
  <si>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</si>
  <si>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</si>
  <si>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</si>
  <si>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</si>
  <si>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</si>
  <si>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</si>
  <si>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</si>
  <si>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</si>
  <si>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</si>
  <si>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</si>
  <si>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</si>
  <si>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</si>
  <si>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</si>
  <si>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</si>
  <si>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</si>
  <si>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</si>
  <si>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</si>
  <si>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</si>
  <si>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</si>
  <si>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</si>
  <si>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</si>
  <si>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</si>
  <si>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</si>
  <si>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</si>
  <si>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</si>
  <si>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</si>
  <si>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</si>
  <si>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</si>
  <si>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</si>
  <si>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</si>
  <si>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</si>
  <si>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</si>
  <si>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</si>
  <si>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</si>
  <si>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</si>
  <si>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</si>
  <si>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</si>
  <si>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</si>
  <si>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</si>
  <si>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</si>
  <si>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</si>
  <si>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</si>
  <si>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</si>
  <si>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</si>
  <si>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</si>
  <si>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</si>
  <si>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</si>
  <si>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</si>
  <si>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</si>
  <si>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</si>
  <si>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</si>
  <si>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</si>
  <si>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</si>
  <si>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</si>
  <si>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</si>
  <si>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</si>
  <si>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</si>
  <si>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</si>
  <si>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</si>
  <si>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</si>
  <si>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</si>
  <si>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</si>
  <si>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</si>
  <si>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</si>
  <si>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</si>
  <si>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</si>
  <si>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</si>
  <si>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</si>
  <si>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</si>
  <si>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</si>
  <si>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</si>
  <si>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</si>
  <si>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</si>
  <si>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</si>
  <si>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</si>
  <si>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</si>
  <si>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</si>
  <si>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</si>
  <si>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</si>
  <si>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</si>
  <si>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</si>
  <si>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</si>
  <si>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</si>
  <si>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</si>
  <si>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</si>
  <si>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</si>
  <si>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</si>
  <si>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</si>
  <si>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</si>
  <si>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</si>
  <si>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</si>
  <si>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</si>
  <si>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</si>
  <si>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</si>
  <si>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</si>
  <si>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</si>
  <si>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</si>
  <si>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</si>
  <si>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</si>
  <si>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</si>
  <si>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</si>
  <si>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</si>
  <si>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</si>
  <si>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</si>
  <si>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</si>
  <si>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</si>
  <si>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</si>
  <si>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</si>
  <si>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</si>
  <si>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</si>
  <si>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</si>
  <si>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</si>
  <si>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</si>
  <si>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</si>
  <si>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</si>
  <si>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</si>
  <si>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</si>
  <si>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</si>
  <si>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</si>
  <si>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</si>
  <si>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</si>
  <si>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</si>
  <si>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</si>
  <si>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</si>
  <si>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</si>
  <si>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</si>
  <si>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</si>
  <si>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</si>
  <si>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</si>
  <si>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</si>
  <si>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</si>
  <si>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</si>
  <si>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</si>
  <si>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</si>
  <si>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</si>
  <si>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</si>
  <si>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</si>
  <si>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</si>
  <si>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</si>
  <si>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</si>
  <si>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</si>
  <si>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</si>
  <si>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</si>
  <si>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</si>
  <si>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</si>
  <si>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</si>
  <si>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</si>
  <si>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</si>
  <si>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</si>
  <si>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</si>
  <si>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</si>
  <si>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</si>
  <si>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</si>
  <si>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</si>
  <si>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</si>
  <si>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</si>
  <si>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</si>
  <si>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</si>
  <si>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</si>
  <si>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</si>
  <si>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</si>
  <si>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</si>
  <si>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</si>
  <si>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</si>
  <si>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</si>
  <si>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</si>
  <si>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</si>
  <si>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</si>
  <si>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</si>
  <si>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</si>
  <si>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</si>
  <si>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</si>
  <si>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</si>
  <si>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</si>
  <si>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</si>
  <si>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</si>
  <si>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</si>
  <si>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</si>
  <si>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</si>
  <si>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</si>
  <si>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</si>
  <si>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</si>
  <si>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</si>
  <si>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</si>
  <si>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</si>
  <si>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</si>
  <si>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</si>
  <si>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</si>
  <si>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</si>
  <si>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</si>
  <si>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</si>
  <si>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</si>
  <si>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</si>
  <si>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</si>
  <si>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</si>
  <si>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</si>
  <si>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</si>
  <si>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</si>
  <si>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</si>
  <si>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</si>
  <si>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</si>
  <si>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</si>
  <si>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</si>
  <si>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</si>
  <si>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</si>
  <si>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</si>
  <si>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</si>
  <si>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</si>
  <si>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</si>
  <si>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</si>
  <si>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</si>
  <si>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</si>
  <si>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</si>
  <si>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</si>
  <si>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</si>
  <si>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</si>
  <si>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</si>
  <si>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</si>
  <si>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</si>
  <si>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</si>
  <si>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</si>
  <si>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</si>
  <si>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</si>
  <si>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</si>
  <si>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</si>
  <si>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</si>
  <si>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</si>
  <si>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</si>
  <si>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</si>
  <si>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</si>
  <si>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</si>
  <si>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</si>
  <si>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</si>
  <si>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</si>
  <si>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</si>
  <si>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</si>
  <si>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</si>
  <si>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</si>
  <si>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</si>
  <si>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</si>
  <si>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</si>
  <si>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</si>
  <si>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</si>
  <si>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</si>
  <si>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</si>
  <si>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</si>
  <si>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</si>
  <si>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</si>
  <si>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</si>
  <si>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</si>
  <si>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</si>
  <si>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</si>
  <si>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</si>
  <si>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</si>
  <si>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</si>
  <si>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</si>
  <si>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</si>
  <si>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</si>
  <si>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</si>
  <si>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</si>
  <si>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</si>
  <si>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</si>
  <si>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</si>
  <si>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</si>
  <si>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</si>
  <si>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</si>
  <si>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</si>
  <si>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</si>
  <si>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</si>
  <si>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</si>
  <si>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</si>
  <si>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</si>
  <si>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</si>
  <si>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</si>
  <si>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</si>
  <si>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</si>
  <si>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</si>
  <si>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</si>
  <si>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</si>
  <si>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</si>
  <si>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</si>
  <si>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</si>
  <si>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</si>
  <si>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</si>
  <si>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</si>
  <si>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</si>
  <si>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</si>
  <si>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</si>
  <si>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</si>
  <si>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</si>
  <si>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</si>
  <si>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</si>
  <si>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</si>
  <si>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</si>
  <si>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</si>
  <si>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</si>
  <si>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</si>
  <si>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</si>
  <si>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</si>
  <si>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</si>
  <si>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</si>
  <si>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</si>
  <si>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</si>
  <si>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</si>
  <si>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</si>
  <si>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</si>
  <si>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</si>
  <si>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</si>
  <si>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</si>
  <si>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</si>
  <si>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</si>
  <si>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</si>
  <si>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</si>
  <si>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</si>
  <si>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</si>
  <si>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</si>
  <si>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</si>
  <si>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</si>
  <si>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</si>
  <si>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</si>
  <si>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</si>
  <si>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</si>
  <si>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</si>
  <si>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</si>
  <si>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</si>
  <si>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</si>
  <si>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</si>
  <si>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</si>
  <si>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</si>
  <si>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</si>
  <si>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</si>
  <si>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</si>
  <si>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</si>
  <si>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</si>
  <si>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</si>
  <si>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</si>
  <si>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</si>
  <si>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</si>
  <si>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</si>
  <si>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</si>
  <si>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</si>
  <si>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</si>
  <si>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</si>
  <si>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</si>
  <si>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</si>
  <si>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</si>
  <si>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</si>
  <si>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</si>
  <si>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</si>
  <si>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</si>
  <si>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</si>
  <si>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</si>
  <si>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</si>
  <si>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</si>
  <si>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</si>
  <si>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</si>
  <si>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</si>
  <si>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</si>
  <si>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</si>
  <si>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</si>
  <si>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</si>
  <si>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</si>
  <si>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</si>
  <si>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</si>
  <si>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</si>
  <si>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</si>
  <si>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</si>
  <si>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</si>
  <si>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</si>
  <si>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</si>
  <si>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</si>
  <si>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</si>
  <si>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</si>
  <si>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</si>
  <si>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</si>
  <si>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</si>
  <si>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</si>
  <si>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</si>
  <si>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</si>
  <si>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</si>
  <si>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</si>
  <si>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</si>
  <si>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</si>
  <si>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</si>
  <si>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</si>
  <si>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</si>
  <si>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</si>
  <si>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</si>
  <si>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</si>
  <si>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</si>
  <si>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</si>
  <si>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</si>
  <si>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</si>
  <si>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</si>
  <si>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</si>
  <si>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</si>
  <si>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</si>
  <si>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</si>
  <si>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</si>
  <si>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</si>
  <si>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</si>
  <si>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</si>
  <si>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</si>
  <si>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</si>
  <si>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</si>
  <si>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</si>
  <si>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</si>
  <si>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</si>
  <si>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</si>
  <si>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</si>
  <si>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</si>
  <si>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</si>
  <si>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</si>
  <si>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</si>
  <si>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</si>
  <si>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</si>
  <si>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</si>
  <si>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</si>
  <si>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</si>
  <si>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</si>
  <si>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</si>
  <si>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</si>
  <si>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</si>
  <si>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</si>
  <si>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</si>
  <si>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</si>
  <si>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</si>
  <si>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</si>
  <si>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</si>
  <si>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</si>
  <si>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</si>
  <si>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</si>
  <si>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</si>
  <si>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</si>
  <si>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</si>
  <si>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</si>
  <si>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</si>
  <si>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</si>
  <si>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</si>
  <si>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</si>
  <si>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</si>
  <si>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</si>
  <si>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</si>
  <si>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</si>
  <si>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</si>
  <si>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</si>
  <si>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</si>
  <si>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</si>
  <si>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</si>
  <si>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</si>
  <si>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</si>
  <si>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</si>
  <si>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</si>
  <si>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</si>
  <si>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</si>
  <si>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</si>
  <si>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</si>
  <si>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</si>
  <si>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</si>
  <si>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</si>
  <si>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</si>
  <si>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</si>
  <si>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</si>
  <si>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</si>
  <si>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</si>
  <si>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</si>
  <si>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</si>
  <si>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</si>
  <si>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</si>
  <si>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</si>
  <si>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</si>
  <si>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</si>
  <si>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</si>
  <si>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</si>
  <si>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</si>
  <si>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</si>
  <si>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</si>
  <si>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</si>
  <si>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</si>
  <si>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</si>
  <si>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</si>
  <si>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</si>
  <si>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</si>
  <si>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</si>
  <si>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</si>
  <si>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</si>
  <si>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</si>
  <si>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</si>
  <si>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</si>
  <si>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</si>
  <si>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</si>
  <si>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</si>
  <si>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</si>
  <si>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</si>
  <si>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</si>
  <si>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</si>
  <si>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</si>
  <si>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</si>
  <si>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</si>
  <si>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</si>
  <si>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</si>
  <si>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</si>
  <si>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</si>
  <si>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</si>
  <si>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</si>
  <si>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</si>
  <si>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</si>
  <si>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</si>
  <si>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</si>
  <si>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</si>
  <si>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</si>
  <si>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</si>
  <si>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</si>
  <si>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</si>
  <si>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</si>
  <si>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</si>
  <si>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</si>
  <si>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</si>
  <si>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</si>
  <si>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</si>
  <si>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</si>
  <si>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</si>
  <si>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</si>
  <si>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</si>
  <si>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</si>
  <si>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</si>
  <si>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</si>
  <si>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</si>
  <si>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</si>
  <si>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</si>
  <si>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</si>
  <si>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</si>
  <si>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</si>
  <si>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</si>
  <si>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</si>
  <si>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</si>
  <si>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</si>
  <si>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</si>
  <si>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</si>
  <si>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</si>
  <si>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</si>
  <si>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</si>
  <si>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</si>
  <si>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</si>
  <si>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</si>
  <si>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</si>
  <si>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</si>
  <si>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</si>
  <si>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</si>
  <si>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</si>
  <si>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</si>
  <si>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</si>
  <si>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</si>
  <si>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</si>
  <si>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</si>
  <si>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</si>
  <si>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</si>
  <si>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</si>
  <si>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</si>
  <si>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</si>
  <si>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</si>
  <si>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</si>
  <si>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</si>
  <si>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</si>
  <si>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</si>
  <si>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</si>
  <si>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</si>
  <si>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</si>
  <si>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</si>
  <si>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</si>
  <si>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</si>
  <si>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</si>
  <si>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</si>
  <si>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</si>
  <si>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</si>
  <si>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</si>
  <si>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</si>
  <si>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</si>
  <si>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</si>
  <si>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</si>
  <si>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</si>
  <si>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</si>
  <si>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</si>
  <si>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</si>
  <si>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</si>
  <si>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</si>
  <si>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</si>
  <si>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</si>
  <si>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</si>
  <si>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</si>
  <si>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</si>
  <si>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</si>
  <si>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</si>
  <si>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</si>
  <si>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</si>
  <si>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</si>
  <si>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</si>
  <si>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</si>
  <si>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</si>
  <si>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</si>
  <si>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</si>
  <si>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</si>
  <si>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</si>
  <si>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</si>
  <si>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</si>
  <si>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</si>
  <si>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</si>
  <si>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</si>
  <si>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</si>
  <si>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</si>
  <si>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</si>
  <si>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</si>
  <si>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</si>
  <si>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</si>
  <si>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</si>
  <si>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</si>
  <si>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</si>
  <si>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</si>
  <si>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</si>
  <si>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</si>
  <si>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</si>
  <si>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</si>
  <si>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</si>
  <si>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</si>
  <si>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</si>
  <si>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</si>
  <si>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</si>
  <si>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</si>
  <si>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</si>
  <si>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</si>
  <si>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</si>
  <si>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</si>
  <si>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</si>
  <si>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</si>
  <si>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</si>
  <si>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</si>
  <si>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</si>
  <si>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</si>
  <si>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</si>
  <si>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</si>
  <si>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</si>
  <si>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</si>
  <si>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</si>
  <si>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</si>
  <si>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</si>
  <si>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</si>
  <si>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</si>
  <si>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</si>
  <si>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</si>
  <si>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</si>
  <si>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</si>
  <si>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</si>
  <si>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</si>
  <si>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</si>
  <si>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</si>
  <si>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</si>
  <si>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</si>
  <si>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</si>
  <si>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</si>
  <si>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</si>
  <si>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</si>
  <si>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</si>
  <si>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</si>
  <si>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</si>
  <si>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</si>
  <si>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</si>
  <si>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</si>
  <si>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</si>
  <si>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</si>
  <si>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</si>
  <si>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</si>
  <si>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</si>
  <si>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</si>
  <si>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</si>
  <si>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</si>
  <si>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</si>
  <si>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</si>
  <si>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</si>
  <si>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</si>
  <si>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</si>
  <si>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</si>
  <si>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</si>
  <si>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</si>
  <si>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</si>
  <si>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</si>
  <si>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</si>
  <si>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</si>
  <si>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</si>
  <si>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</si>
  <si>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</si>
  <si>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</si>
  <si>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</si>
  <si>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</si>
  <si>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</si>
  <si>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</si>
  <si>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</si>
  <si>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</si>
  <si>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</si>
  <si>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</si>
  <si>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</si>
  <si>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</si>
  <si>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</si>
  <si>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</si>
  <si>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</si>
  <si>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</si>
  <si>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</si>
  <si>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</si>
  <si>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</si>
  <si>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</si>
  <si>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</si>
  <si>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</si>
  <si>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</si>
  <si>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</si>
  <si>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</si>
  <si>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</si>
  <si>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</si>
  <si>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</si>
  <si>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</si>
  <si>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</si>
  <si>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</si>
  <si>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</si>
  <si>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</si>
  <si>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</si>
  <si>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</si>
  <si>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</si>
  <si>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</si>
  <si>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</si>
  <si>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</si>
  <si>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</si>
  <si>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</si>
  <si>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</si>
  <si>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</si>
  <si>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</si>
  <si>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</si>
  <si>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</si>
  <si>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</si>
  <si>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</si>
  <si>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</si>
  <si>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</si>
  <si>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</si>
  <si>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</si>
  <si>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</si>
  <si>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</si>
  <si>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</si>
  <si>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</si>
  <si>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</si>
  <si>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</si>
  <si>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</si>
  <si>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</si>
  <si>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</si>
  <si>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</si>
  <si>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</si>
  <si>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</si>
  <si>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</si>
  <si>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</si>
  <si>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</si>
  <si>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</si>
  <si>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</si>
  <si>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</si>
  <si>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</si>
  <si>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</si>
  <si>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</si>
  <si>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</si>
  <si>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</si>
  <si>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</si>
  <si>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</si>
  <si>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</si>
  <si>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</si>
  <si>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</si>
  <si>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</si>
  <si>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</si>
  <si>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</si>
  <si>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</si>
  <si>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</si>
  <si>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</si>
  <si>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</si>
  <si>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</si>
  <si>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</si>
  <si>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</si>
  <si>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</si>
  <si>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</si>
  <si>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</si>
  <si>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</si>
  <si>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</si>
  <si>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</si>
  <si>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</si>
  <si>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</si>
  <si>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</si>
  <si>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</si>
  <si>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</si>
  <si>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</si>
  <si>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</si>
  <si>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</si>
  <si>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</si>
  <si>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</si>
  <si>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</si>
  <si>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</si>
  <si>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</si>
  <si>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</si>
  <si>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</si>
  <si>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</si>
  <si>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</si>
  <si>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</si>
  <si>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</si>
  <si>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</si>
  <si>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</si>
  <si>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</si>
  <si>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</si>
  <si>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</si>
  <si>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</si>
  <si>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</si>
  <si>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</si>
  <si>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</si>
  <si>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</si>
  <si>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</si>
  <si>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</si>
  <si>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</si>
  <si>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</si>
  <si>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</si>
  <si>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</si>
  <si>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</si>
  <si>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</si>
  <si>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</si>
  <si>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</si>
  <si>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</si>
  <si>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</si>
  <si>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</si>
  <si>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</si>
  <si>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</si>
  <si>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</si>
  <si>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</si>
  <si>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</si>
  <si>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</si>
  <si>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</si>
  <si>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</si>
  <si>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</si>
  <si>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</si>
  <si>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</si>
  <si>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</si>
  <si>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</si>
  <si>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</si>
  <si>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</si>
  <si>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</si>
  <si>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</si>
  <si>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</si>
  <si>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</si>
  <si>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</si>
  <si>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</si>
  <si>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</si>
  <si>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</si>
  <si>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</si>
  <si>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</si>
  <si>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</si>
  <si>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</si>
  <si>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</si>
  <si>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</si>
  <si>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</si>
  <si>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</si>
  <si>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</si>
  <si>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</si>
  <si>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</si>
  <si>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</si>
  <si>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</si>
  <si>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</si>
  <si>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</si>
  <si>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</si>
  <si>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</si>
  <si>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</si>
  <si>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</si>
  <si>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</si>
  <si>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</si>
  <si>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</si>
  <si>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</si>
  <si>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</si>
  <si>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</si>
  <si>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</si>
  <si>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</si>
  <si>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</si>
  <si>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</si>
  <si>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</si>
  <si>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</si>
  <si>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</si>
  <si>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</si>
  <si>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</si>
  <si>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</si>
  <si>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</si>
  <si>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</si>
  <si>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</si>
  <si>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</si>
  <si>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</si>
  <si>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</si>
  <si>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</si>
  <si>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</si>
  <si>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</si>
  <si>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</si>
  <si>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</si>
  <si>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</si>
  <si>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</si>
  <si>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</si>
  <si>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</si>
  <si>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</si>
  <si>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</si>
  <si>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</si>
  <si>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</si>
  <si>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</si>
  <si>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</si>
  <si>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</si>
  <si>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</si>
  <si>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</si>
  <si>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</si>
  <si>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</si>
  <si>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</si>
  <si>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</si>
  <si>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</si>
  <si>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</si>
  <si>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</si>
  <si>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</si>
  <si>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</si>
  <si>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</si>
  <si>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</si>
  <si>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</si>
  <si>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</si>
  <si>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</si>
  <si>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</si>
  <si>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</si>
  <si>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</si>
  <si>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</si>
  <si>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</si>
  <si>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</si>
  <si>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</si>
  <si>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</si>
  <si>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</si>
  <si>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</si>
  <si>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</si>
  <si>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</si>
  <si>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</si>
  <si>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</si>
  <si>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</si>
  <si>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</si>
  <si>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</si>
  <si>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</si>
  <si>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</si>
  <si>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</si>
  <si>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</si>
  <si>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</si>
  <si>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</si>
  <si>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</si>
  <si>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</si>
  <si>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</si>
  <si>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</si>
  <si>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</si>
  <si>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</si>
  <si>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</si>
  <si>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</si>
  <si>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</si>
  <si>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</si>
  <si>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</si>
  <si>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</si>
  <si>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</si>
  <si>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</si>
  <si>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</si>
  <si>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</si>
  <si>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</si>
  <si>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</si>
  <si>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</si>
  <si>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</si>
  <si>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</si>
  <si>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</si>
  <si>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</si>
  <si>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</si>
  <si>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</si>
  <si>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</si>
  <si>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</si>
  <si>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</si>
  <si>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</si>
  <si>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</si>
  <si>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</si>
  <si>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</si>
  <si>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</si>
  <si>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</si>
  <si>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</si>
  <si>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</si>
  <si>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</si>
  <si>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</si>
  <si>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</si>
  <si>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</si>
  <si>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</si>
  <si>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</si>
  <si>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</si>
  <si>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</si>
  <si>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</si>
  <si>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</si>
  <si>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</si>
  <si>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</si>
  <si>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</si>
  <si>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</si>
  <si>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</si>
  <si>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</si>
  <si>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</si>
  <si>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</si>
  <si>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</si>
  <si>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</si>
  <si>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</si>
  <si>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</si>
  <si>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</si>
  <si>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</si>
  <si>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</si>
  <si>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</si>
  <si>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</si>
  <si>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</si>
  <si>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</si>
  <si>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</si>
  <si>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</si>
  <si>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</si>
  <si>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</si>
  <si>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</si>
  <si>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</si>
  <si>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</si>
  <si>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</si>
  <si>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</si>
  <si>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</si>
  <si>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</si>
  <si>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</si>
  <si>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</si>
  <si>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</si>
  <si>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</si>
  <si>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</si>
  <si>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</si>
  <si>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</si>
  <si>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</si>
  <si>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</si>
  <si>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</si>
  <si>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</si>
  <si>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</si>
  <si>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</si>
  <si>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</si>
  <si>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</si>
  <si>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</si>
  <si>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</si>
  <si>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</si>
  <si>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</si>
  <si>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</si>
  <si>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</si>
  <si>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</si>
  <si>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</si>
  <si>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</si>
  <si>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</si>
  <si>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</si>
  <si>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</si>
  <si>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</si>
  <si>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</si>
  <si>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</si>
  <si>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</si>
  <si>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</si>
  <si>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</si>
  <si>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</si>
  <si>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</si>
  <si>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</si>
  <si>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</si>
  <si>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</si>
  <si>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</si>
  <si>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</si>
  <si>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</si>
  <si>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</si>
  <si>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</si>
  <si>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</si>
  <si>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</si>
  <si>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</si>
  <si>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</si>
  <si>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</si>
  <si>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</si>
  <si>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</si>
  <si>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</si>
  <si>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</si>
  <si>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</si>
  <si>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</si>
  <si>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</si>
  <si>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</si>
  <si>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</si>
  <si>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</si>
  <si>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</si>
  <si>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</si>
  <si>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</si>
  <si>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</si>
  <si>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</si>
  <si>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</si>
  <si>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</si>
  <si>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</si>
  <si>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</si>
  <si>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</si>
  <si>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</si>
  <si>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</si>
  <si>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</si>
  <si>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</si>
  <si>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</si>
  <si>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</si>
  <si>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</si>
  <si>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</si>
  <si>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</si>
  <si>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</si>
  <si>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</si>
  <si>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</si>
  <si>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</si>
  <si>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</si>
  <si>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</si>
  <si>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</si>
  <si>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</si>
  <si>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</si>
  <si>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</si>
  <si>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</si>
  <si>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</si>
  <si>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</si>
  <si>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</si>
  <si>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</si>
  <si>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</si>
  <si>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</si>
  <si>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</si>
  <si>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</si>
  <si>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</si>
  <si>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</si>
  <si>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</si>
  <si>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</si>
  <si>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</si>
  <si>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</si>
  <si>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</si>
  <si>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</si>
  <si>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</si>
  <si>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</si>
  <si>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</si>
  <si>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</si>
  <si>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</si>
  <si>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</si>
  <si>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</si>
  <si>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</si>
  <si>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</si>
  <si>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</si>
  <si>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</si>
  <si>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</si>
  <si>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</si>
  <si>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</si>
  <si>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</si>
  <si>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</si>
  <si>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</si>
  <si>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</si>
  <si>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</si>
  <si>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</si>
  <si>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</si>
  <si>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</si>
  <si>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</si>
  <si>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</si>
  <si>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</si>
  <si>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</si>
  <si>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</si>
  <si>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</si>
  <si>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</si>
  <si>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</si>
  <si>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</si>
  <si>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</si>
  <si>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</si>
  <si>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</si>
  <si>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</si>
  <si>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</si>
  <si>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</si>
  <si>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</si>
  <si>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</si>
  <si>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</si>
  <si>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</si>
  <si>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</si>
  <si>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</si>
  <si>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</si>
  <si>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</si>
  <si>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</si>
  <si>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</si>
  <si>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</si>
  <si>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</si>
  <si>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</si>
  <si>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</si>
  <si>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</si>
  <si>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</si>
  <si>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</si>
  <si>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</si>
  <si>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</si>
  <si>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</si>
  <si>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</si>
  <si>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</si>
  <si>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</si>
  <si>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</si>
  <si>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</si>
  <si>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</si>
  <si>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</si>
  <si>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</si>
  <si>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</si>
  <si>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</si>
  <si>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</si>
  <si>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</si>
  <si>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</si>
  <si>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</si>
  <si>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</si>
  <si>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</si>
  <si>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</si>
  <si>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</si>
  <si>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</si>
  <si>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</si>
  <si>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</si>
  <si>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</si>
  <si>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</si>
  <si>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</si>
  <si>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</si>
  <si>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</si>
  <si>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</si>
  <si>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</si>
  <si>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</si>
  <si>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</si>
  <si>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</si>
  <si>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</si>
  <si>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</si>
  <si>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</si>
  <si>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</si>
  <si>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</si>
  <si>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</si>
  <si>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</si>
  <si>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</si>
  <si>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</si>
  <si>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</si>
  <si>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</si>
  <si>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</si>
  <si>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</si>
  <si>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</si>
  <si>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</si>
  <si>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</si>
  <si>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</si>
  <si>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</si>
  <si>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</si>
  <si>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</si>
  <si>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</si>
  <si>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</si>
  <si>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</si>
  <si>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</si>
  <si>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</si>
  <si>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</si>
  <si>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</si>
  <si>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</si>
  <si>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</si>
  <si>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</si>
  <si>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</si>
  <si>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</si>
  <si>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</si>
  <si>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</si>
  <si>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</si>
  <si>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</si>
  <si>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</si>
  <si>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</si>
  <si>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</si>
  <si>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</si>
  <si>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</si>
  <si>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</si>
  <si>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</si>
  <si>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</si>
  <si>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</si>
  <si>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</si>
  <si>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</si>
  <si>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</si>
  <si>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</si>
  <si>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</si>
  <si>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</si>
  <si>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</si>
  <si>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</si>
  <si>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</si>
  <si>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</si>
  <si>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</si>
  <si>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</si>
  <si>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</si>
  <si>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</si>
  <si>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</si>
  <si>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</si>
  <si>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</si>
  <si>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</si>
  <si>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</si>
  <si>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</si>
  <si>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</si>
  <si>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</si>
  <si>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</si>
  <si>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</si>
  <si>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</si>
  <si>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</si>
  <si>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</si>
  <si>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</si>
  <si>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</si>
  <si>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</si>
  <si>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</si>
  <si>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</si>
  <si>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</si>
  <si>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</si>
  <si>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</si>
  <si>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</si>
  <si>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</si>
  <si>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</si>
  <si>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</si>
  <si>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</si>
  <si>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</si>
  <si>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</si>
  <si>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</si>
  <si>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</si>
  <si>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</si>
  <si>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</si>
  <si>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</si>
  <si>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</si>
  <si>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</si>
  <si>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</si>
  <si>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</si>
  <si>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</si>
  <si>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</si>
  <si>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</si>
  <si>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</si>
  <si>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</si>
  <si>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</si>
  <si>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</si>
  <si>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</si>
  <si>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</si>
  <si>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</si>
  <si>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</si>
  <si>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</si>
  <si>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</si>
  <si>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</si>
  <si>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</si>
  <si>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</si>
  <si>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</si>
  <si>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</si>
  <si>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</si>
  <si>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</si>
  <si>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</si>
  <si>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</si>
  <si>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</si>
  <si>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</si>
  <si>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</si>
  <si>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</si>
  <si>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</si>
  <si>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</si>
  <si>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</si>
  <si>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</si>
  <si>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</si>
  <si>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</si>
  <si>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</si>
  <si>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</si>
  <si>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</si>
  <si>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</si>
  <si>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</si>
  <si>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</si>
  <si>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</si>
  <si>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</si>
  <si>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</si>
  <si>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</si>
  <si>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</si>
  <si>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</si>
  <si>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</si>
  <si>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</si>
  <si>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</si>
  <si>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</si>
  <si>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</si>
  <si>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</si>
  <si>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</si>
  <si>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</si>
  <si>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</si>
  <si>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</si>
  <si>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</si>
  <si>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</si>
  <si>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</si>
  <si>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</si>
  <si>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</si>
  <si>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</si>
  <si>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</si>
  <si>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</si>
  <si>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</si>
  <si>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</si>
  <si>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</si>
  <si>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</si>
  <si>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</si>
  <si>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</si>
  <si>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</si>
  <si>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</si>
  <si>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</si>
  <si>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</si>
  <si>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</si>
  <si>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</si>
  <si>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</si>
  <si>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</si>
  <si>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</si>
  <si>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</si>
  <si>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</si>
  <si>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</si>
  <si>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</si>
  <si>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</si>
  <si>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</si>
  <si>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</si>
  <si>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</si>
  <si>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</si>
  <si>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</si>
  <si>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</si>
  <si>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</si>
  <si>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</si>
  <si>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</si>
  <si>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</si>
  <si>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</si>
  <si>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</si>
  <si>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</si>
  <si>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</si>
  <si>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</si>
  <si>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</si>
  <si>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</si>
  <si>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</si>
  <si>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</si>
  <si>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</si>
  <si>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</si>
  <si>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</si>
  <si>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</si>
  <si>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</si>
  <si>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</si>
  <si>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</si>
  <si>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</si>
  <si>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</si>
  <si>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</si>
  <si>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</si>
  <si>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</si>
  <si>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</si>
  <si>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</si>
  <si>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</si>
  <si>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</si>
  <si>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</si>
  <si>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</si>
  <si>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</si>
  <si>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</si>
  <si>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</si>
  <si>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</si>
  <si>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</si>
  <si>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</si>
  <si>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</si>
  <si>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</si>
  <si>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</si>
  <si>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</si>
  <si>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</si>
  <si>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</si>
  <si>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</si>
  <si>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</si>
  <si>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</si>
  <si>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</si>
  <si>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</si>
  <si>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</si>
  <si>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</si>
  <si>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</si>
  <si>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</si>
  <si>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</si>
  <si>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</si>
  <si>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</si>
  <si>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</si>
  <si>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</si>
  <si>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</si>
  <si>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</si>
  <si>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</si>
  <si>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</si>
  <si>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</si>
  <si>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</si>
  <si>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</si>
  <si>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</si>
  <si>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</si>
  <si>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</si>
  <si>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</si>
  <si>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</si>
  <si>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</si>
  <si>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</si>
  <si>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</si>
  <si>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</si>
  <si>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</si>
  <si>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</si>
  <si>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</si>
  <si>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</si>
  <si>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</si>
  <si>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</si>
  <si>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</si>
  <si>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</si>
  <si>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</si>
  <si>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</si>
  <si>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</si>
  <si>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</si>
  <si>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</si>
  <si>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</si>
  <si>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</si>
  <si>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</si>
  <si>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</si>
  <si>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</si>
  <si>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</si>
  <si>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</si>
  <si>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</si>
  <si>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</si>
  <si>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</si>
  <si>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</si>
  <si>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</si>
  <si>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</si>
  <si>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</si>
  <si>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</si>
  <si>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</si>
  <si>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</si>
  <si>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</si>
  <si>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</si>
  <si>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</si>
  <si>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</si>
  <si>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</si>
  <si>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</si>
  <si>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</si>
  <si>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</si>
  <si>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</si>
  <si>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</si>
  <si>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</si>
  <si>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</si>
  <si>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</si>
  <si>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</si>
  <si>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</si>
  <si>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</si>
  <si>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</si>
  <si>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</si>
  <si>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</si>
  <si>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</si>
  <si>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</si>
  <si>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</si>
  <si>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</si>
  <si>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</si>
  <si>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</si>
  <si>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</si>
  <si>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</si>
  <si>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</si>
  <si>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</si>
  <si>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</si>
  <si>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</si>
  <si>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</si>
  <si>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</si>
  <si>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</si>
  <si>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</si>
  <si>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</si>
  <si>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</si>
  <si>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</si>
  <si>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</si>
  <si>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</si>
  <si>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</si>
  <si>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</si>
  <si>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</si>
  <si>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</si>
  <si>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</si>
  <si>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</si>
  <si>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</si>
  <si>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</si>
  <si>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</si>
  <si>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</si>
  <si>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</si>
  <si>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</si>
  <si>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</si>
  <si>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</si>
  <si>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</si>
  <si>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</si>
  <si>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</si>
  <si>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</si>
  <si>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</si>
  <si>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</si>
  <si>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</si>
  <si>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</si>
  <si>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</si>
  <si>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</si>
  <si>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</si>
  <si>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</si>
  <si>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</si>
  <si>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</si>
  <si>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</si>
  <si>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</si>
  <si>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</si>
  <si>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</si>
  <si>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</si>
  <si>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</si>
  <si>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</si>
  <si>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</si>
  <si>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</si>
  <si>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</si>
  <si>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</si>
  <si>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</si>
  <si>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</si>
  <si>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</si>
  <si>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</si>
  <si>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</si>
  <si>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</si>
  <si>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</si>
  <si>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</si>
  <si>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</si>
  <si>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</si>
  <si>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</si>
  <si>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</si>
  <si>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</si>
  <si>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</si>
  <si>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</si>
  <si>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</si>
  <si>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</si>
  <si>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</si>
  <si>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</si>
  <si>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</si>
  <si>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</si>
  <si>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</si>
  <si>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</si>
  <si>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</si>
  <si>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</si>
  <si>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</si>
  <si>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</si>
  <si>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</si>
  <si>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</si>
  <si>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</si>
  <si>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</si>
  <si>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</si>
  <si>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</si>
  <si>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</si>
  <si>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</si>
  <si>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</si>
  <si>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</si>
  <si>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</si>
  <si>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</si>
  <si>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</si>
  <si>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</si>
  <si>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</si>
  <si>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</si>
  <si>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</si>
  <si>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</si>
  <si>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</si>
  <si>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</si>
  <si>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</si>
  <si>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</si>
  <si>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</si>
  <si>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</si>
  <si>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</si>
  <si>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</si>
  <si>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</si>
  <si>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</si>
  <si>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</si>
  <si>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</si>
  <si>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</si>
  <si>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</si>
  <si>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</si>
  <si>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</si>
  <si>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</si>
  <si>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</si>
  <si>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</si>
  <si>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</si>
  <si>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</si>
  <si>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</si>
  <si>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</si>
  <si>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</si>
  <si>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</si>
  <si>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</si>
  <si>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</si>
  <si>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</si>
  <si>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</si>
  <si>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</si>
  <si>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</si>
  <si>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</si>
  <si>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</si>
  <si>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</si>
  <si>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</si>
  <si>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</si>
  <si>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</si>
  <si>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</si>
  <si>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</si>
  <si>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</si>
  <si>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</si>
  <si>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</si>
  <si>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</si>
  <si>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</si>
  <si>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</si>
  <si>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</si>
  <si>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</si>
  <si>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</si>
  <si>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</si>
  <si>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</si>
  <si>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</si>
  <si>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</si>
  <si>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</si>
  <si>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</si>
  <si>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</si>
  <si>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</si>
  <si>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</si>
  <si>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</si>
  <si>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</si>
  <si>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</si>
  <si>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</si>
  <si>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</si>
  <si>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</si>
  <si>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</si>
  <si>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</si>
  <si>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</si>
  <si>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</si>
  <si>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</si>
  <si>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</si>
  <si>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</si>
  <si>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</si>
  <si>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</si>
  <si>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</si>
  <si>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</si>
  <si>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</si>
  <si>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</si>
  <si>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</si>
  <si>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</si>
  <si>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</si>
  <si>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</si>
  <si>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</si>
  <si>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</si>
  <si>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</si>
  <si>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</si>
  <si>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</si>
  <si>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</si>
  <si>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</si>
  <si>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</si>
  <si>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</si>
  <si>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</si>
  <si>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</si>
  <si>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</si>
  <si>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</si>
  <si>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</si>
  <si>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</si>
  <si>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</si>
  <si>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</si>
  <si>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</si>
  <si>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</si>
  <si>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</si>
  <si>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</si>
  <si>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</si>
  <si>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</si>
  <si>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</si>
  <si>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</si>
  <si>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</si>
  <si>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</si>
  <si>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</si>
  <si>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</si>
  <si>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</si>
  <si>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</si>
  <si>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</si>
  <si>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</si>
  <si>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</si>
  <si>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</si>
  <si>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</si>
  <si>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</si>
  <si>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</si>
  <si>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</si>
  <si>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</si>
  <si>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</si>
  <si>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</si>
  <si>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</si>
  <si>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</si>
  <si>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</si>
  <si>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</si>
  <si>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</si>
  <si>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</si>
  <si>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</si>
  <si>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</si>
  <si>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</si>
  <si>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</si>
  <si>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</si>
  <si>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</si>
  <si>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</si>
  <si>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</si>
  <si>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</si>
  <si>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</si>
  <si>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</si>
  <si>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</si>
  <si>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</si>
  <si>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</si>
  <si>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</si>
  <si>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</si>
  <si>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</si>
  <si>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</si>
  <si>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</si>
  <si>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</si>
  <si>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</si>
  <si>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</si>
  <si>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</si>
  <si>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</si>
  <si>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</si>
  <si>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</si>
  <si>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</si>
  <si>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</si>
  <si>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</si>
  <si>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</si>
  <si>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</si>
  <si>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</si>
  <si>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</si>
  <si>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</si>
  <si>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</si>
  <si>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</si>
  <si>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</si>
  <si>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</si>
  <si>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</si>
  <si>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</si>
  <si>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</si>
  <si>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</si>
  <si>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</si>
  <si>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</si>
  <si>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</si>
  <si>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</si>
  <si>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</si>
  <si>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</si>
  <si>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</si>
  <si>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</si>
  <si>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</si>
  <si>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</si>
  <si>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</si>
  <si>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</si>
  <si>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</si>
  <si>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</si>
  <si>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</si>
  <si>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</si>
  <si>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</si>
  <si>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</si>
  <si>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</si>
  <si>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</si>
  <si>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</si>
  <si>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</si>
  <si>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</si>
  <si>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</si>
  <si>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</si>
  <si>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</si>
  <si>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</si>
  <si>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</si>
  <si>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</si>
  <si>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</si>
  <si>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</si>
  <si>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</si>
  <si>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</si>
  <si>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</si>
  <si>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</si>
  <si>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</si>
  <si>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</si>
  <si>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</si>
  <si>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</si>
  <si>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</si>
  <si>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</si>
  <si>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</si>
  <si>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</si>
  <si>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</si>
  <si>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</si>
  <si>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</si>
  <si>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</si>
  <si>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</si>
  <si>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</si>
  <si>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</si>
  <si>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</si>
  <si>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</si>
  <si>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</si>
  <si>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</si>
  <si>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</si>
  <si>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</si>
  <si>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</si>
  <si>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</si>
  <si>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</si>
  <si>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</si>
  <si>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</si>
  <si>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</si>
  <si>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</si>
  <si>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</si>
  <si>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</si>
  <si>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</si>
  <si>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</si>
  <si>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</si>
  <si>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</si>
  <si>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</si>
  <si>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</si>
  <si>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</si>
  <si>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</si>
  <si>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</si>
  <si>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</si>
  <si>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</si>
  <si>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</si>
  <si>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</si>
  <si>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</si>
  <si>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</si>
  <si>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</si>
  <si>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</si>
  <si>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</si>
  <si>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</si>
  <si>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</si>
  <si>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</si>
  <si>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</si>
  <si>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</si>
  <si>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</si>
  <si>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</si>
  <si>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</si>
  <si>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</si>
  <si>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</si>
  <si>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</si>
  <si>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</si>
  <si>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</si>
  <si>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</si>
  <si>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</si>
  <si>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</si>
  <si>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</si>
  <si>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</si>
  <si>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</si>
  <si>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</si>
  <si>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</si>
  <si>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</si>
  <si>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</si>
  <si>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</si>
  <si>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</si>
  <si>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</si>
  <si>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</si>
  <si>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</si>
  <si>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</si>
  <si>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</si>
  <si>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</si>
  <si>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</si>
  <si>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</si>
  <si>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</si>
  <si>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</si>
  <si>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</si>
  <si>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</si>
  <si>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</si>
  <si>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</si>
  <si>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</si>
  <si>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</si>
  <si>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</si>
  <si>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</si>
  <si>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</si>
  <si>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</si>
  <si>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</si>
  <si>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</si>
  <si>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</si>
  <si>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</si>
  <si>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</si>
  <si>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</si>
  <si>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</si>
  <si>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</si>
  <si>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</si>
  <si>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</si>
  <si>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</si>
  <si>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</si>
  <si>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</si>
  <si>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</si>
  <si>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</si>
  <si>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</si>
  <si>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</si>
  <si>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</si>
  <si>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</si>
  <si>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</si>
  <si>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</si>
  <si>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</si>
  <si>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</si>
  <si>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</si>
  <si>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</si>
  <si>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</si>
  <si>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</si>
  <si>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</si>
  <si>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</si>
  <si>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</si>
  <si>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</si>
  <si>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</si>
  <si>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</si>
  <si>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</si>
  <si>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</si>
  <si>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</si>
  <si>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</si>
  <si>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</si>
  <si>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</si>
  <si>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</si>
  <si>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</si>
  <si>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</si>
  <si>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</si>
  <si>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</si>
  <si>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</si>
  <si>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</si>
  <si>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</si>
  <si>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</si>
  <si>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</si>
  <si>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</si>
  <si>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</si>
  <si>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</si>
  <si>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</si>
  <si>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</si>
  <si>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</si>
  <si>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</si>
  <si>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</si>
  <si>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</si>
  <si>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</si>
  <si>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</si>
  <si>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</si>
  <si>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</si>
  <si>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</si>
  <si>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</si>
  <si>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</si>
  <si>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</si>
  <si>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</si>
  <si>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</si>
  <si>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</si>
  <si>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</si>
  <si>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</si>
  <si>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</si>
  <si>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</si>
  <si>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</si>
  <si>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</si>
  <si>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</si>
  <si>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</si>
  <si>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</si>
  <si>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</si>
  <si>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</si>
  <si>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</si>
  <si>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</si>
  <si>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</si>
  <si>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</si>
  <si>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</si>
  <si>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</si>
  <si>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</si>
  <si>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</si>
  <si>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</si>
  <si>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</si>
  <si>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</si>
  <si>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</si>
  <si>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</si>
  <si>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</si>
  <si>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</si>
  <si>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</si>
  <si>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</si>
  <si>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</si>
  <si>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</si>
  <si>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</si>
  <si>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</si>
  <si>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</si>
  <si>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</si>
  <si>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</si>
  <si>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</si>
  <si>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</si>
  <si>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</si>
  <si>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</si>
  <si>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</si>
  <si>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</si>
  <si>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</si>
  <si>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</si>
  <si>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</si>
  <si>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</si>
  <si>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</si>
  <si>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</si>
  <si>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</si>
  <si>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</si>
  <si>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</si>
  <si>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</si>
  <si>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</si>
  <si>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</si>
  <si>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</si>
  <si>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</si>
  <si>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</si>
  <si>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</si>
  <si>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</si>
  <si>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</si>
  <si>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</si>
  <si>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</si>
  <si>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</si>
  <si>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</si>
  <si>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</si>
  <si>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</si>
  <si>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</si>
  <si>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</si>
  <si>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</si>
  <si>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</si>
  <si>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</si>
  <si>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</si>
  <si>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</si>
  <si>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</si>
  <si>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</si>
  <si>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</si>
  <si>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</si>
  <si>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</si>
  <si>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</si>
  <si>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</si>
  <si>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</si>
  <si>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</si>
  <si>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</si>
  <si>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</si>
  <si>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</si>
  <si>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</si>
  <si>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</si>
  <si>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</si>
  <si>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</si>
  <si>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</si>
  <si>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</si>
  <si>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</si>
  <si>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</si>
  <si>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</si>
  <si>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</si>
  <si>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</si>
  <si>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</si>
  <si>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</si>
  <si>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</si>
  <si>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</si>
  <si>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</si>
  <si>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</si>
  <si>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</si>
  <si>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</si>
  <si>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</si>
  <si>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</si>
  <si>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</si>
  <si>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</si>
  <si>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</si>
  <si>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</si>
  <si>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</si>
  <si>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</si>
  <si>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</si>
  <si>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</si>
  <si>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</si>
  <si>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</si>
  <si>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</si>
  <si>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</si>
  <si>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</si>
  <si>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</si>
  <si>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</si>
  <si>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</si>
  <si>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</si>
  <si>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</si>
  <si>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</si>
  <si>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</si>
  <si>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</si>
  <si>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</si>
  <si>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</si>
  <si>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</si>
  <si>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</si>
  <si>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</si>
  <si>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</si>
  <si>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</si>
  <si>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</si>
  <si>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</si>
  <si>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</si>
  <si>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</si>
  <si>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</si>
  <si>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</si>
  <si>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</si>
  <si>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</si>
  <si>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</si>
  <si>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</si>
  <si>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</si>
  <si>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</si>
  <si>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</si>
  <si>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</si>
  <si>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</si>
  <si>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</si>
  <si>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</si>
  <si>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</si>
  <si>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</si>
  <si>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</si>
  <si>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</si>
  <si>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</si>
  <si>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</si>
  <si>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</si>
  <si>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</si>
  <si>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</si>
  <si>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</si>
  <si>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</si>
  <si>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</si>
  <si>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</si>
  <si>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</si>
  <si>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</si>
  <si>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</si>
  <si>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</si>
  <si>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</si>
  <si>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</si>
  <si>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</si>
  <si>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</si>
  <si>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</si>
  <si>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</si>
  <si>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</si>
  <si>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</si>
  <si>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</si>
  <si>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</si>
  <si>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</si>
  <si>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</si>
  <si>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</si>
  <si>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</si>
  <si>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</si>
  <si>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</si>
  <si>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</si>
  <si>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</si>
  <si>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</si>
  <si>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</si>
  <si>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</si>
  <si>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</si>
  <si>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</si>
  <si>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</si>
  <si>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</si>
  <si>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</si>
  <si>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</si>
  <si>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</si>
  <si>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</si>
  <si>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</si>
  <si>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</si>
  <si>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</si>
  <si>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</si>
  <si>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</si>
  <si>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</si>
  <si>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</si>
  <si>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</si>
  <si>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</si>
  <si>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</si>
  <si>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</si>
  <si>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</si>
  <si>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</si>
  <si>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</si>
  <si>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</si>
  <si>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</si>
  <si>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</si>
  <si>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</si>
  <si>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</si>
  <si>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</si>
  <si>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</si>
  <si>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</si>
  <si>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</si>
  <si>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</si>
  <si>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</si>
  <si>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</si>
  <si>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</si>
  <si>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</si>
  <si>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</si>
  <si>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</si>
  <si>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</si>
  <si>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</si>
  <si>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</si>
  <si>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</si>
  <si>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</si>
  <si>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</si>
  <si>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</si>
  <si>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</si>
  <si>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</si>
  <si>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</si>
  <si>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</si>
  <si>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</si>
  <si>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</si>
  <si>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</si>
  <si>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</si>
  <si>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</si>
  <si>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</si>
  <si>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</si>
  <si>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</si>
  <si>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</si>
  <si>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</si>
  <si>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</si>
  <si>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</si>
  <si>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</si>
  <si>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</si>
  <si>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</si>
  <si>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</si>
  <si>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</si>
  <si>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</si>
  <si>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</si>
  <si>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</si>
  <si>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</si>
  <si>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</si>
  <si>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</si>
  <si>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</si>
  <si>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</si>
  <si>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</si>
  <si>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</si>
  <si>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</si>
  <si>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</si>
  <si>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</si>
  <si>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</si>
  <si>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</si>
  <si>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</si>
  <si>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</si>
  <si>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</si>
  <si>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</si>
  <si>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</si>
  <si>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</si>
  <si>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</si>
  <si>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</si>
  <si>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</si>
  <si>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</si>
  <si>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</si>
  <si>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</si>
  <si>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</si>
  <si>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</si>
  <si>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</si>
  <si>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</si>
  <si>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</si>
  <si>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</si>
  <si>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</si>
  <si>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</si>
  <si>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</si>
  <si>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</si>
  <si>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</si>
  <si>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</si>
  <si>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</si>
  <si>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</si>
  <si>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</si>
  <si>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</si>
  <si>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</si>
  <si>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</si>
  <si>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</si>
  <si>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</si>
  <si>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</si>
  <si>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</si>
  <si>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</si>
  <si>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</si>
  <si>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</si>
  <si>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</si>
  <si>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</si>
  <si>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</si>
  <si>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</si>
  <si>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</si>
  <si>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</si>
  <si>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</si>
  <si>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</si>
  <si>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</si>
  <si>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</si>
  <si>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</si>
  <si>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</si>
  <si>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</si>
  <si>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</si>
  <si>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</si>
  <si>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</si>
  <si>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</si>
  <si>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</si>
  <si>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</si>
  <si>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</si>
  <si>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</si>
  <si>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</si>
  <si>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</si>
  <si>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</si>
  <si>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</si>
  <si>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</si>
  <si>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</si>
  <si>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</si>
  <si>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</si>
  <si>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</si>
  <si>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</si>
  <si>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</si>
  <si>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</si>
  <si>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</si>
  <si>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</si>
  <si>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</si>
  <si>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</si>
  <si>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</si>
  <si>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</si>
  <si>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</si>
  <si>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</si>
  <si>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</si>
  <si>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</si>
  <si>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</si>
  <si>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</si>
  <si>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</si>
  <si>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</si>
  <si>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</si>
  <si>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</si>
  <si>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</si>
  <si>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</si>
  <si>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</si>
  <si>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</si>
  <si>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</si>
  <si>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</si>
  <si>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</si>
  <si>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</si>
  <si>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</si>
  <si>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</si>
  <si>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</si>
  <si>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</si>
  <si>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</si>
  <si>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</si>
  <si>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</si>
  <si>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</si>
  <si>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</si>
  <si>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</si>
  <si>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</si>
  <si>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</si>
  <si>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</si>
  <si>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</si>
  <si>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</si>
  <si>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</si>
  <si>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</si>
  <si>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</si>
  <si>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</si>
  <si>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</si>
  <si>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</si>
  <si>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</si>
  <si>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</si>
  <si>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</si>
  <si>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</si>
  <si>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</si>
  <si>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</si>
  <si>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</si>
  <si>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</si>
  <si>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</si>
  <si>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</si>
  <si>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</si>
  <si>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</si>
  <si>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</si>
  <si>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</si>
  <si>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</si>
  <si>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</si>
  <si>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</si>
  <si>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</si>
  <si>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</si>
  <si>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</si>
  <si>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</si>
  <si>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</si>
  <si>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</si>
  <si>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</si>
  <si>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</si>
  <si>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</si>
  <si>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</si>
  <si>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</si>
  <si>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</si>
  <si>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</si>
  <si>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</si>
  <si>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</si>
  <si>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</si>
  <si>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</si>
  <si>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</si>
  <si>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</si>
  <si>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</si>
  <si>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</si>
  <si>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</si>
  <si>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</si>
  <si>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</si>
  <si>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</si>
  <si>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</si>
  <si>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</si>
  <si>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</si>
  <si>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</si>
  <si>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</si>
  <si>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</si>
  <si>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</si>
  <si>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</si>
  <si>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</si>
  <si>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</si>
  <si>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</si>
  <si>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</si>
  <si>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</si>
  <si>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</si>
  <si>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</si>
  <si>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</si>
  <si>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</si>
  <si>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</si>
  <si>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</si>
  <si>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</si>
  <si>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</si>
  <si>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</si>
  <si>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</si>
  <si>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</si>
  <si>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</si>
  <si>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</si>
  <si>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</si>
  <si>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</si>
  <si>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</si>
  <si>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</si>
  <si>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</si>
  <si>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</si>
  <si>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</si>
  <si>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</si>
  <si>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</si>
  <si>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</si>
  <si>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</si>
  <si>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</si>
  <si>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</si>
  <si>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</si>
  <si>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</si>
  <si>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</si>
  <si>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</si>
  <si>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</si>
  <si>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</si>
  <si>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</si>
  <si>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</si>
  <si>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</si>
  <si>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</si>
  <si>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</si>
  <si>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</si>
  <si>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</si>
  <si>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</si>
  <si>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</si>
  <si>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</si>
  <si>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</si>
  <si>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</si>
  <si>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</si>
  <si>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</si>
  <si>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</si>
  <si>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</si>
  <si>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</si>
  <si>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</si>
  <si>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</si>
  <si>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</si>
  <si>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</si>
  <si>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</si>
  <si>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</si>
  <si>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</si>
  <si>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</si>
  <si>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</si>
  <si>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</si>
  <si>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</si>
  <si>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</si>
  <si>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</si>
  <si>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</si>
  <si>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</si>
  <si>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</si>
  <si>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</si>
  <si>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</si>
  <si>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</si>
  <si>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</si>
  <si>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</si>
  <si>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</si>
  <si>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</si>
  <si>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</si>
  <si>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</si>
  <si>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</si>
  <si>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</si>
  <si>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</si>
  <si>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</si>
  <si>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</si>
  <si>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</si>
  <si>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</si>
  <si>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</si>
  <si>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</si>
  <si>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</si>
  <si>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</si>
  <si>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</si>
  <si>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</si>
  <si>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</si>
  <si>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</si>
  <si>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</si>
  <si>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</si>
  <si>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</si>
  <si>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</si>
  <si>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</si>
  <si>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</si>
  <si>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</si>
  <si>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</si>
  <si>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</si>
  <si>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</si>
  <si>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</si>
  <si>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</si>
  <si>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</si>
  <si>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</si>
  <si>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</si>
  <si>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</si>
  <si>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</si>
  <si>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</si>
  <si>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</si>
  <si>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</si>
  <si>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</si>
  <si>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</si>
  <si>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</si>
  <si>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</si>
  <si>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</si>
  <si>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</si>
  <si>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</si>
  <si>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</si>
  <si>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</si>
  <si>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</si>
  <si>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</si>
  <si>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</si>
  <si>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</si>
  <si>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</si>
  <si>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</si>
  <si>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</si>
  <si>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</si>
  <si>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</si>
  <si>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</si>
  <si>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</si>
  <si>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</si>
  <si>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</si>
  <si>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</si>
  <si>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</si>
  <si>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</si>
  <si>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</si>
  <si>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</si>
  <si>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</si>
  <si>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</si>
  <si>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</si>
  <si>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</si>
  <si>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</si>
  <si>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</si>
  <si>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</si>
  <si>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</si>
  <si>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</si>
  <si>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</si>
  <si>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</si>
  <si>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</si>
  <si>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</si>
  <si>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</si>
  <si>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</si>
  <si>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</si>
  <si>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</si>
  <si>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</si>
  <si>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</si>
  <si>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</si>
  <si>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</si>
  <si>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</si>
  <si>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</si>
  <si>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</si>
  <si>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</si>
  <si>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</si>
  <si>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</si>
  <si>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</si>
  <si>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</si>
  <si>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</si>
  <si>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</si>
  <si>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</si>
  <si>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</si>
  <si>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</si>
  <si>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</si>
  <si>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</si>
  <si>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</si>
  <si>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</si>
  <si>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</si>
  <si>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</si>
  <si>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</si>
  <si>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</si>
  <si>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</si>
  <si>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</si>
  <si>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</si>
  <si>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</si>
  <si>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</si>
  <si>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</si>
  <si>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</si>
  <si>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</si>
  <si>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</si>
  <si>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</si>
  <si>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</si>
  <si>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</si>
  <si>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</si>
  <si>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</si>
  <si>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</si>
  <si>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</si>
  <si>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</si>
  <si>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</si>
  <si>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</si>
  <si>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</si>
  <si>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</si>
  <si>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</si>
  <si>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</si>
  <si>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</si>
  <si>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</si>
  <si>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</si>
  <si>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</si>
  <si>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</si>
  <si>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</si>
  <si>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</si>
  <si>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</si>
  <si>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</si>
  <si>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</si>
  <si>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</si>
  <si>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</si>
  <si>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</si>
  <si>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</si>
  <si>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</si>
  <si>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</si>
  <si>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</si>
  <si>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</si>
  <si>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</si>
  <si>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</si>
  <si>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</si>
  <si>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</si>
  <si>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</si>
  <si>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</si>
  <si>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</si>
  <si>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</si>
  <si>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</si>
  <si>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</si>
  <si>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</si>
  <si>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</si>
  <si>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</si>
  <si>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</si>
  <si>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</si>
  <si>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</si>
  <si>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</si>
  <si>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</si>
  <si>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</si>
  <si>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</si>
  <si>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</si>
  <si>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</si>
  <si>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</si>
  <si>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</si>
  <si>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</si>
  <si>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</si>
  <si>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</si>
  <si>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</si>
  <si>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</si>
  <si>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</si>
  <si>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</si>
  <si>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</si>
  <si>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</si>
  <si>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</si>
  <si>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</si>
  <si>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</si>
  <si>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</si>
  <si>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</si>
  <si>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</si>
  <si>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</si>
  <si>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</si>
  <si>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</si>
  <si>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</si>
  <si>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</si>
  <si>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</si>
  <si>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</si>
  <si>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</si>
  <si>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</si>
  <si>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</si>
  <si>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</si>
  <si>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</si>
  <si>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</si>
  <si>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</si>
  <si>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</si>
  <si>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</si>
  <si>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</si>
  <si>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</si>
  <si>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</si>
  <si>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</si>
  <si>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</si>
  <si>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</si>
  <si>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</si>
  <si>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</si>
  <si>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</si>
  <si>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</si>
  <si>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</si>
  <si>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</si>
  <si>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</si>
  <si>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</si>
  <si>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</si>
  <si>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</si>
  <si>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</si>
  <si>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</si>
  <si>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</si>
  <si>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</si>
  <si>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</si>
  <si>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</si>
  <si>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</si>
  <si>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</si>
  <si>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</si>
  <si>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</si>
  <si>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</si>
  <si>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</si>
  <si>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</si>
  <si>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</si>
  <si>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</si>
  <si>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</si>
  <si>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</si>
  <si>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</si>
  <si>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</si>
  <si>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</si>
  <si>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</si>
  <si>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</si>
  <si>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</si>
  <si>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</si>
  <si>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</si>
  <si>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</si>
  <si>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</si>
  <si>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</si>
  <si>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</si>
  <si>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</si>
  <si>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</si>
  <si>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</si>
  <si>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</si>
  <si>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</si>
  <si>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</si>
  <si>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</si>
  <si>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</si>
  <si>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</si>
  <si>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</si>
  <si>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</si>
  <si>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</si>
  <si>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</si>
  <si>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</si>
  <si>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</si>
  <si>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</si>
  <si>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</si>
  <si>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</si>
  <si>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</si>
  <si>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</si>
  <si>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</si>
  <si>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</si>
  <si>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</si>
  <si>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</si>
  <si>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</si>
  <si>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</si>
  <si>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</si>
  <si>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</si>
  <si>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</si>
  <si>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</si>
  <si>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</si>
  <si>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</si>
  <si>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</si>
  <si>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</si>
  <si>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</si>
  <si>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</si>
  <si>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</si>
  <si>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</si>
  <si>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</si>
  <si>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</si>
  <si>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</si>
  <si>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</si>
  <si>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</si>
  <si>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</si>
  <si>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</si>
  <si>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</si>
  <si>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</si>
  <si>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</si>
  <si>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</si>
  <si>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</si>
  <si>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</si>
  <si>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</si>
  <si>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</si>
  <si>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</si>
  <si>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</si>
  <si>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</si>
  <si>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</si>
  <si>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</si>
  <si>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</si>
  <si>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</si>
  <si>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</si>
  <si>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</si>
  <si>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</si>
  <si>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</si>
  <si>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</si>
  <si>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</si>
  <si>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</si>
  <si>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</si>
  <si>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</si>
  <si>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</si>
  <si>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</si>
  <si>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</si>
  <si>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</si>
  <si>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</si>
  <si>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</si>
  <si>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</si>
  <si>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</si>
  <si>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</si>
  <si>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</si>
  <si>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</si>
  <si>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</si>
  <si>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</si>
  <si>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</si>
  <si>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</si>
  <si>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</si>
  <si>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</si>
  <si>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</si>
  <si>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</si>
  <si>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</si>
  <si>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</si>
  <si>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</si>
  <si>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</si>
  <si>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</si>
  <si>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</si>
  <si>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</si>
  <si>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</si>
  <si>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</si>
  <si>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</si>
  <si>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</si>
  <si>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</si>
  <si>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</si>
  <si>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</si>
  <si>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</si>
  <si>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</si>
  <si>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</si>
  <si>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</si>
  <si>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</si>
  <si>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</si>
  <si>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</si>
  <si>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</si>
  <si>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</si>
  <si>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</si>
  <si>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</si>
  <si>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</si>
  <si>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</si>
  <si>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</si>
  <si>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</si>
  <si>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</si>
  <si>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</si>
  <si>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</si>
  <si>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</si>
  <si>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</si>
  <si>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</si>
  <si>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</si>
  <si>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</si>
  <si>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</si>
  <si>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</si>
  <si>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</si>
  <si>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</si>
  <si>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</si>
  <si>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</si>
  <si>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</si>
  <si>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</si>
  <si>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</si>
  <si>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</si>
  <si>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</si>
  <si>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</si>
  <si>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</si>
  <si>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</si>
  <si>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</si>
  <si>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</si>
  <si>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</si>
  <si>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</si>
  <si>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</si>
  <si>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</si>
  <si>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</si>
  <si>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</si>
  <si>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</si>
  <si>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</si>
  <si>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</si>
  <si>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</si>
  <si>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</si>
  <si>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</si>
  <si>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</si>
  <si>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</si>
  <si>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</si>
  <si>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</si>
  <si>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</si>
  <si>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</si>
  <si>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</si>
  <si>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</si>
  <si>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</si>
  <si>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</si>
  <si>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</si>
  <si>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</si>
  <si>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</si>
  <si>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</si>
  <si>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</si>
  <si>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</si>
  <si>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</si>
  <si>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</si>
  <si>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</si>
  <si>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</si>
  <si>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</si>
  <si>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</si>
  <si>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</si>
  <si>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</si>
  <si>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</si>
  <si>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</si>
  <si>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</si>
  <si>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</si>
  <si>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</si>
  <si>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</si>
  <si>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</si>
  <si>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</si>
  <si>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</si>
  <si>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</si>
  <si>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</si>
  <si>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</si>
  <si>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</si>
  <si>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</si>
  <si>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</si>
  <si>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</si>
  <si>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</si>
  <si>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</si>
  <si>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</si>
  <si>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</si>
  <si>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</si>
  <si>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</si>
  <si>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</si>
  <si>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</si>
  <si>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</si>
  <si>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</si>
  <si>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</si>
  <si>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</si>
  <si>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</si>
  <si>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</si>
  <si>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</si>
  <si>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</si>
  <si>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</si>
  <si>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</si>
  <si>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</si>
  <si>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</si>
  <si>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</si>
  <si>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</si>
  <si>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</si>
  <si>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</si>
  <si>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</si>
  <si>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</si>
  <si>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</si>
  <si>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</si>
  <si>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</si>
  <si>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</si>
  <si>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</si>
  <si>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</si>
  <si>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</si>
  <si>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</si>
  <si>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</si>
  <si>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</si>
  <si>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</si>
  <si>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</si>
  <si>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</si>
  <si>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</si>
  <si>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</si>
  <si>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</si>
  <si>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</si>
  <si>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</si>
  <si>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</si>
  <si>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</si>
  <si>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</si>
  <si>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</si>
  <si>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</si>
  <si>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</si>
  <si>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</si>
  <si>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</si>
  <si>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</si>
  <si>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</si>
  <si>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</si>
  <si>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</si>
  <si>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</si>
  <si>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</si>
  <si>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</si>
  <si>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</si>
  <si>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</si>
  <si>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</si>
  <si>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</si>
  <si>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</si>
  <si>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</si>
  <si>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</si>
  <si>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</si>
  <si>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</si>
  <si>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</si>
  <si>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</si>
  <si>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</si>
  <si>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</si>
  <si>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</si>
  <si>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</si>
  <si>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</si>
  <si>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</si>
  <si>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</si>
  <si>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</si>
  <si>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</si>
  <si>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</si>
  <si>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</si>
  <si>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</si>
  <si>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</si>
  <si>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</si>
  <si>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</si>
  <si>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</si>
  <si>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</si>
  <si>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</si>
  <si>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</si>
  <si>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</si>
  <si>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</si>
  <si>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</si>
  <si>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</si>
  <si>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</si>
  <si>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</si>
  <si>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</si>
  <si>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</si>
  <si>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</si>
  <si>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</si>
  <si>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</si>
  <si>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</si>
  <si>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</si>
  <si>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</si>
  <si>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</si>
  <si>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</si>
  <si>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</si>
  <si>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</si>
  <si>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</si>
  <si>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</si>
  <si>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</si>
  <si>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</si>
  <si>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</si>
  <si>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</si>
  <si>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</si>
  <si>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</si>
  <si>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</si>
  <si>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</si>
  <si>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</si>
  <si>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</si>
  <si>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</si>
  <si>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</si>
  <si>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</si>
  <si>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</si>
  <si>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</si>
  <si>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</si>
  <si>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</si>
  <si>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</si>
  <si>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</si>
  <si>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</si>
  <si>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</si>
  <si>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</si>
  <si>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</si>
  <si>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</si>
  <si>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</si>
  <si>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</si>
  <si>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</si>
  <si>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</si>
  <si>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</si>
  <si>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</si>
  <si>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</si>
  <si>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</si>
  <si>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</si>
  <si>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</si>
  <si>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</si>
  <si>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</si>
  <si>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</si>
  <si>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</si>
  <si>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</si>
  <si>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</si>
  <si>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</si>
  <si>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</si>
  <si>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</si>
  <si>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</si>
  <si>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</si>
  <si>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</si>
  <si>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</si>
  <si>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</si>
  <si>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</si>
  <si>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</si>
  <si>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</si>
  <si>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</si>
  <si>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</si>
  <si>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</si>
  <si>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</si>
  <si>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</si>
  <si>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</si>
  <si>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</si>
  <si>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</si>
  <si>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</si>
  <si>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</si>
  <si>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</si>
  <si>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</si>
  <si>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</si>
  <si>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</si>
  <si>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</si>
  <si>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</si>
  <si>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</si>
  <si>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</si>
  <si>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</si>
  <si>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</si>
  <si>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</si>
  <si>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</si>
  <si>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</si>
  <si>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</si>
  <si>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</si>
  <si>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</si>
  <si>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</si>
  <si>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</si>
  <si>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</si>
  <si>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</si>
  <si>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</si>
  <si>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</si>
  <si>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</si>
  <si>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</si>
  <si>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</si>
  <si>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</si>
  <si>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</si>
  <si>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</si>
  <si>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</si>
  <si>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</si>
  <si>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</si>
  <si>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</si>
  <si>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</si>
  <si>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</si>
  <si>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</si>
  <si>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</si>
  <si>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</si>
  <si>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</si>
  <si>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</si>
  <si>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</si>
  <si>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</si>
  <si>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</si>
  <si>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</si>
  <si>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</si>
  <si>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</si>
  <si>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</si>
  <si>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</si>
  <si>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</si>
  <si>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</si>
  <si>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</si>
  <si>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</si>
  <si>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</si>
  <si>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</si>
  <si>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</si>
  <si>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</si>
  <si>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</si>
  <si>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</si>
  <si>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</si>
  <si>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</si>
  <si>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</si>
  <si>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</si>
  <si>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</si>
  <si>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</si>
  <si>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</si>
  <si>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</si>
  <si>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</si>
  <si>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</si>
  <si>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</si>
  <si>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</si>
  <si>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</si>
  <si>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</si>
  <si>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</si>
  <si>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</si>
  <si>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</si>
  <si>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</si>
  <si>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</si>
  <si>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</si>
  <si>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</si>
  <si>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</si>
  <si>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</si>
  <si>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</si>
  <si>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</si>
  <si>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</si>
  <si>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</si>
  <si>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</si>
  <si>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</si>
  <si>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</si>
  <si>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</si>
  <si>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</si>
  <si>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</si>
  <si>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</si>
  <si>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</si>
  <si>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</si>
  <si>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</si>
  <si>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</si>
  <si>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</si>
  <si>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</si>
  <si>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</si>
  <si>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</si>
  <si>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</si>
  <si>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</si>
  <si>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</si>
  <si>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</si>
  <si>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</si>
  <si>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</si>
  <si>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</si>
  <si>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</si>
  <si>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</si>
  <si>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</si>
  <si>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</si>
  <si>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</si>
  <si>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</si>
  <si>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</si>
  <si>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</si>
  <si>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</si>
  <si>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</si>
  <si>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</si>
  <si>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</si>
  <si>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</si>
  <si>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</si>
  <si>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</si>
  <si>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</si>
  <si>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</si>
  <si>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</si>
  <si>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</si>
  <si>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</si>
  <si>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</si>
  <si>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</si>
  <si>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</si>
  <si>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</si>
  <si>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</si>
  <si>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</si>
  <si>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</si>
  <si>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</si>
  <si>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</si>
  <si>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</si>
  <si>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</si>
  <si>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</si>
  <si>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</si>
  <si>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</si>
  <si>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</si>
  <si>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</si>
  <si>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</si>
  <si>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</si>
  <si>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</si>
  <si>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</si>
  <si>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</si>
  <si>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</si>
  <si>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</si>
  <si>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</si>
  <si>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</si>
  <si>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</si>
  <si>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</si>
  <si>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</si>
  <si>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</si>
  <si>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</si>
  <si>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</si>
  <si>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</si>
  <si>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</si>
  <si>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</si>
  <si>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</si>
  <si>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</si>
  <si>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</si>
  <si>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</si>
  <si>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</si>
  <si>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</si>
  <si>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</si>
  <si>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</si>
  <si>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</si>
  <si>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</si>
  <si>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</si>
  <si>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</si>
  <si>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</si>
  <si>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</si>
  <si>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</si>
  <si>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</si>
  <si>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</si>
  <si>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</si>
  <si>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</si>
  <si>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</si>
  <si>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</si>
  <si>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</si>
  <si>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</si>
  <si>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</si>
  <si>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</si>
  <si>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</si>
  <si>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</si>
  <si>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</si>
  <si>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</si>
  <si>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</si>
  <si>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</si>
  <si>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</si>
  <si>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</si>
  <si>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</si>
  <si>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</si>
  <si>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</si>
  <si>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</si>
  <si>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</si>
  <si>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</si>
  <si>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</si>
  <si>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</si>
  <si>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</si>
  <si>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</si>
  <si>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</si>
  <si>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</si>
  <si>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</si>
  <si>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</si>
  <si>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</si>
  <si>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</si>
  <si>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</si>
  <si>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</si>
  <si>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</si>
  <si>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</si>
  <si>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</si>
  <si>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</si>
  <si>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</si>
  <si>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</si>
  <si>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</si>
  <si>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</si>
  <si>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</si>
  <si>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</si>
  <si>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</si>
  <si>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</si>
  <si>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</si>
  <si>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</si>
  <si>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</si>
  <si>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</si>
  <si>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</si>
  <si>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</si>
  <si>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</si>
  <si>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</si>
  <si>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</si>
  <si>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</si>
  <si>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</si>
  <si>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</si>
  <si>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</si>
  <si>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</si>
  <si>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</si>
  <si>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</si>
  <si>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</si>
  <si>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</si>
  <si>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</si>
  <si>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</si>
  <si>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</si>
  <si>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</si>
  <si>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</si>
  <si>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</si>
  <si>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</si>
  <si>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</si>
  <si>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</si>
  <si>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</si>
  <si>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</si>
  <si>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</si>
  <si>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</si>
  <si>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</si>
  <si>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</si>
  <si>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</si>
  <si>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</si>
  <si>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</si>
  <si>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</si>
  <si>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</si>
  <si>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</si>
  <si>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</si>
  <si>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</si>
  <si>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</si>
  <si>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</si>
  <si>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</si>
  <si>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</si>
  <si>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</si>
  <si>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</si>
  <si>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</si>
  <si>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</si>
  <si>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</si>
  <si>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</si>
  <si>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</si>
  <si>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</si>
  <si>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</si>
  <si>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</si>
  <si>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</si>
  <si>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</si>
  <si>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</si>
  <si>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</si>
  <si>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</si>
  <si>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</si>
  <si>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</si>
  <si>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</si>
  <si>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</si>
  <si>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</si>
  <si>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</si>
  <si>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</si>
  <si>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</si>
  <si>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</si>
  <si>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</si>
  <si>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</si>
  <si>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</si>
  <si>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</si>
  <si>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</si>
  <si>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</si>
  <si>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</si>
  <si>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</si>
  <si>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</si>
  <si>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</si>
  <si>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</si>
  <si>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</si>
  <si>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</si>
  <si>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</si>
  <si>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</si>
  <si>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</si>
  <si>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</si>
  <si>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</si>
  <si>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</si>
  <si>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</si>
  <si>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</si>
  <si>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</si>
  <si>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</si>
  <si>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</si>
  <si>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</si>
  <si>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</si>
  <si>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</si>
  <si>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</si>
  <si>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</si>
  <si>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</si>
  <si>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</si>
  <si>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</si>
  <si>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</si>
  <si>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</si>
  <si>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</si>
  <si>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</si>
  <si>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</si>
  <si>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</si>
  <si>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</si>
  <si>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</si>
  <si>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</si>
  <si>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</si>
  <si>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</si>
  <si>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</si>
  <si>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</si>
  <si>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</si>
  <si>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</si>
  <si>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</si>
  <si>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</si>
  <si>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</si>
  <si>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</si>
  <si>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</si>
  <si>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</si>
  <si>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</si>
  <si>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</si>
  <si>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</si>
  <si>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</si>
  <si>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</si>
  <si>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</si>
  <si>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</si>
  <si>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</si>
  <si>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</si>
  <si>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</si>
  <si>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</si>
  <si>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</si>
  <si>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</si>
  <si>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</si>
  <si>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</si>
  <si>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</si>
  <si>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</si>
  <si>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</si>
  <si>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</si>
  <si>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</si>
  <si>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</si>
  <si>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</si>
  <si>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</si>
  <si>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</si>
  <si>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</si>
  <si>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</si>
  <si>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</si>
  <si>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</si>
  <si>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</si>
  <si>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</si>
  <si>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</si>
  <si>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</si>
  <si>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</si>
  <si>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</si>
  <si>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</si>
  <si>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</si>
  <si>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</si>
  <si>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</si>
  <si>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</si>
  <si>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</si>
  <si>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</si>
  <si>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</si>
  <si>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</si>
  <si>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</si>
  <si>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</si>
  <si>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</si>
  <si>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</si>
  <si>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</si>
  <si>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</si>
  <si>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</si>
  <si>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</si>
  <si>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</si>
  <si>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</si>
  <si>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</si>
  <si>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</si>
  <si>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</si>
  <si>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</si>
  <si>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</si>
  <si>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</si>
  <si>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</si>
  <si>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</si>
  <si>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</si>
  <si>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</si>
  <si>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</si>
  <si>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</si>
  <si>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</si>
  <si>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</si>
  <si>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</si>
  <si>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</si>
  <si>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</si>
  <si>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</si>
  <si>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</si>
  <si>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</si>
  <si>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</si>
  <si>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</si>
  <si>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</si>
  <si>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</si>
  <si>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</si>
  <si>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</si>
  <si>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</si>
  <si>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</si>
  <si>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</si>
  <si>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</si>
  <si>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</si>
  <si>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</si>
  <si>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</si>
  <si>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</si>
  <si>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</si>
  <si>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</si>
  <si>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</si>
  <si>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</si>
  <si>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</si>
  <si>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</si>
  <si>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</si>
  <si>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</si>
  <si>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</si>
  <si>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</si>
  <si>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</si>
  <si>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</si>
  <si>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</si>
  <si>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</si>
  <si>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</si>
  <si>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</si>
  <si>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</si>
  <si>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</si>
  <si>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</si>
  <si>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</si>
  <si>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</si>
  <si>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</si>
  <si>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</si>
  <si>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</si>
  <si>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</si>
  <si>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</si>
  <si>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</si>
  <si>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</si>
  <si>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</si>
  <si>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</si>
  <si>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</si>
  <si>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</si>
  <si>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</si>
  <si>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</si>
  <si>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</si>
  <si>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</si>
  <si>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</si>
  <si>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</si>
  <si>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</si>
  <si>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</si>
  <si>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</si>
  <si>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</si>
  <si>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</si>
  <si>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</si>
  <si>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</si>
  <si>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</si>
  <si>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</si>
  <si>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</si>
  <si>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</si>
  <si>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</si>
  <si>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</si>
  <si>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</si>
  <si>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</si>
  <si>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</si>
  <si>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</si>
  <si>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</si>
  <si>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</si>
  <si>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</si>
  <si>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</si>
  <si>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</si>
  <si>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</si>
  <si>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</si>
  <si>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</si>
  <si>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</si>
  <si>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</si>
  <si>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</si>
  <si>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</si>
  <si>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</si>
  <si>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</si>
  <si>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</si>
  <si>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</si>
  <si>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</si>
  <si>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</si>
  <si>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</si>
  <si>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</si>
  <si>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</si>
  <si>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</si>
  <si>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</si>
  <si>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</si>
  <si>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</si>
  <si>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</si>
  <si>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</si>
  <si>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</si>
  <si>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</si>
  <si>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</si>
  <si>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</si>
  <si>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</si>
  <si>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</si>
  <si>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</si>
  <si>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</si>
  <si>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</si>
  <si>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</si>
  <si>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</si>
  <si>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</si>
  <si>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</si>
  <si>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</si>
  <si>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</si>
  <si>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</si>
  <si>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</si>
  <si>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</si>
  <si>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</si>
  <si>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</si>
  <si>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</si>
  <si>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</si>
  <si>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</si>
  <si>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</si>
  <si>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</si>
  <si>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</si>
  <si>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</si>
  <si>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</si>
  <si>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</si>
  <si>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</si>
  <si>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</si>
  <si>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</si>
  <si>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</si>
  <si>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</si>
  <si>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</si>
  <si>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</si>
  <si>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</si>
  <si>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</si>
  <si>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</si>
  <si>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</si>
  <si>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</si>
  <si>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</si>
  <si>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</si>
  <si>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</si>
  <si>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</si>
  <si>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</si>
  <si>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</si>
  <si>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</si>
  <si>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</si>
  <si>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</si>
  <si>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</si>
  <si>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</si>
  <si>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</si>
  <si>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</si>
  <si>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</si>
  <si>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</si>
  <si>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</si>
  <si>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</si>
  <si>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</si>
  <si>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</si>
  <si>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</si>
  <si>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</si>
  <si>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</si>
  <si>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</si>
  <si>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</si>
  <si>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</si>
  <si>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</si>
  <si>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</si>
  <si>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</si>
  <si>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</si>
  <si>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</si>
  <si>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</si>
  <si>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</si>
  <si>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</si>
  <si>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</si>
  <si>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</si>
  <si>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</si>
  <si>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</si>
  <si>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</si>
  <si>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</si>
  <si>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</si>
  <si>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</si>
  <si>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</si>
  <si>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</si>
  <si>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</si>
  <si>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</si>
  <si>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</si>
  <si>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</si>
  <si>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</si>
  <si>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</si>
  <si>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</si>
  <si>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</si>
  <si>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</si>
  <si>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</si>
  <si>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</si>
  <si>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</si>
  <si>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</si>
  <si>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</si>
  <si>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</si>
  <si>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</si>
  <si>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</si>
  <si>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</si>
  <si>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</si>
  <si>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</si>
  <si>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</si>
  <si>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</si>
  <si>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</si>
  <si>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</si>
  <si>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</si>
  <si>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</si>
  <si>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</si>
  <si>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</si>
  <si>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</si>
  <si>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</si>
  <si>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</si>
  <si>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</si>
  <si>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</si>
  <si>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</si>
  <si>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</si>
  <si>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</si>
  <si>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</si>
  <si>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</si>
  <si>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</si>
  <si>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</si>
  <si>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</si>
  <si>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</si>
  <si>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</si>
  <si>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</si>
  <si>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</si>
  <si>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</si>
  <si>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</si>
  <si>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</si>
  <si>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</si>
  <si>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</si>
  <si>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</si>
  <si>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</si>
  <si>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</si>
  <si>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</si>
  <si>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</si>
  <si>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</si>
  <si>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</si>
  <si>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</si>
  <si>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</si>
  <si>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</si>
  <si>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</si>
  <si>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</si>
  <si>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</si>
  <si>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</si>
  <si>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</si>
  <si>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</si>
  <si>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</si>
  <si>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</si>
  <si>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</si>
  <si>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</si>
  <si>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</si>
  <si>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</si>
  <si>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</si>
  <si>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</si>
  <si>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</si>
  <si>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</si>
  <si>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</si>
  <si>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</si>
  <si>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</si>
  <si>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</si>
  <si>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</si>
  <si>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</si>
  <si>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</si>
  <si>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</si>
  <si>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</si>
  <si>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</si>
  <si>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</si>
  <si>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</si>
  <si>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</si>
  <si>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</si>
  <si>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</si>
  <si>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</si>
  <si>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</si>
  <si>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</si>
  <si>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</si>
  <si>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</si>
  <si>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</si>
  <si>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</si>
  <si>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</si>
  <si>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</si>
  <si>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</si>
  <si>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</si>
  <si>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</si>
  <si>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</si>
  <si>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</si>
  <si>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</si>
  <si>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</si>
  <si>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</si>
  <si>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</si>
  <si>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</si>
  <si>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</si>
  <si>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</si>
  <si>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</si>
  <si>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</si>
  <si>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</si>
  <si>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</si>
  <si>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</si>
  <si>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</si>
  <si>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</si>
  <si>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</si>
  <si>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</si>
  <si>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</si>
  <si>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</si>
  <si>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</si>
  <si>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</si>
  <si>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</si>
  <si>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</si>
  <si>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</si>
  <si>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</si>
  <si>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</si>
  <si>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</si>
  <si>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</si>
  <si>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</si>
  <si>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</si>
  <si>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</si>
  <si>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</si>
  <si>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</si>
  <si>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</si>
  <si>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</si>
  <si>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</si>
  <si>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</si>
  <si>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</si>
  <si>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</si>
  <si>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</si>
  <si>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</si>
  <si>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</si>
  <si>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</si>
  <si>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</si>
  <si>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</si>
  <si>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</si>
  <si>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</si>
  <si>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</si>
  <si>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</si>
  <si>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</si>
  <si>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</si>
  <si>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</si>
  <si>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</si>
  <si>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</si>
  <si>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</si>
  <si>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</si>
  <si>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</si>
  <si>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</si>
  <si>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</si>
  <si>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</si>
  <si>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</si>
  <si>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</si>
  <si>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</si>
  <si>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</si>
  <si>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</si>
  <si>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</si>
  <si>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</si>
  <si>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</si>
  <si>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</si>
  <si>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</si>
  <si>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</si>
  <si>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</si>
  <si>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</si>
  <si>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</si>
  <si>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</si>
  <si>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</si>
  <si>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</si>
  <si>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</si>
  <si>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</si>
  <si>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</si>
  <si>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</si>
  <si>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</si>
  <si>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</si>
  <si>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</si>
  <si>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</si>
  <si>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</si>
  <si>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</si>
  <si>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</si>
  <si>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</si>
  <si>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</si>
  <si>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</si>
  <si>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</si>
  <si>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</si>
  <si>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</si>
  <si>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</si>
  <si>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</si>
  <si>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</si>
  <si>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</si>
  <si>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</si>
  <si>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</si>
  <si>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</si>
  <si>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</si>
  <si>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</si>
  <si>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</si>
  <si>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</si>
  <si>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</si>
  <si>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</si>
  <si>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</si>
  <si>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</si>
  <si>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</si>
  <si>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</si>
  <si>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</si>
  <si>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</si>
  <si>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</si>
  <si>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</si>
  <si>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</si>
  <si>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</si>
  <si>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</si>
  <si>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</si>
  <si>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</si>
  <si>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</si>
  <si>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</si>
  <si>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</si>
  <si>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</si>
  <si>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</si>
  <si>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</si>
  <si>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</si>
  <si>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</si>
  <si>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</si>
  <si>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</si>
  <si>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</si>
  <si>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</si>
  <si>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</si>
  <si>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</si>
  <si>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</si>
  <si>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</si>
  <si>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</si>
  <si>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</si>
  <si>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</si>
  <si>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</si>
  <si>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</si>
  <si>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</si>
  <si>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</si>
  <si>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</si>
  <si>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</si>
  <si>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</si>
  <si>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</si>
  <si>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</si>
  <si>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</si>
  <si>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</si>
  <si>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</si>
  <si>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</si>
  <si>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</si>
  <si>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</si>
  <si>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</si>
  <si>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</si>
  <si>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</si>
  <si>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</si>
  <si>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</si>
  <si>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</si>
  <si>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</si>
  <si>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</si>
  <si>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</si>
  <si>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</si>
  <si>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</si>
  <si>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</si>
  <si>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</si>
  <si>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</si>
  <si>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</si>
  <si>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</si>
  <si>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</si>
  <si>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</si>
  <si>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</si>
  <si>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</si>
  <si>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</si>
  <si>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</si>
  <si>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</si>
  <si>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</si>
  <si>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</si>
  <si>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</si>
  <si>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</si>
  <si>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</si>
  <si>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</si>
  <si>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</si>
  <si>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</si>
  <si>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</si>
  <si>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</si>
  <si>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</si>
  <si>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</si>
  <si>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</si>
  <si>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</si>
  <si>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</si>
  <si>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</si>
  <si>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</si>
  <si>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</si>
  <si>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</si>
  <si>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</si>
  <si>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</si>
  <si>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</si>
  <si>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</si>
  <si>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</si>
  <si>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</si>
  <si>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</si>
  <si>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</si>
  <si>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</si>
  <si>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</si>
  <si>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</si>
  <si>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</si>
  <si>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</si>
  <si>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</si>
  <si>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</si>
  <si>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</si>
  <si>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</si>
  <si>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</si>
  <si>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</si>
  <si>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</si>
  <si>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</si>
  <si>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</si>
  <si>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</si>
  <si>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</si>
  <si>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</si>
  <si>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</si>
  <si>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</si>
  <si>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</si>
  <si>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</si>
  <si>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</si>
  <si>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</si>
  <si>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</si>
  <si>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</si>
  <si>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</si>
  <si>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</si>
  <si>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</si>
  <si>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</si>
  <si>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</si>
  <si>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</si>
  <si>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</si>
  <si>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</si>
  <si>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</si>
  <si>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</si>
  <si>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</si>
  <si>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</si>
  <si>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</si>
  <si>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</si>
  <si>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</si>
  <si>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</si>
  <si>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</si>
  <si>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</si>
  <si>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</si>
  <si>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</si>
  <si>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</si>
  <si>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</si>
  <si>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</si>
  <si>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</si>
  <si>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</si>
  <si>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</si>
  <si>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</si>
  <si>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</si>
  <si>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</si>
  <si>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</si>
  <si>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</si>
  <si>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</si>
  <si>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</si>
  <si>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</si>
  <si>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</si>
  <si>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</si>
  <si>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</si>
  <si>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</si>
  <si>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</si>
  <si>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</si>
  <si>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</si>
  <si>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</si>
  <si>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</si>
  <si>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</si>
  <si>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</si>
  <si>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</si>
  <si>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</si>
  <si>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</si>
  <si>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</si>
  <si>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</si>
  <si>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</si>
  <si>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</si>
  <si>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</si>
  <si>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</si>
  <si>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</si>
  <si>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</si>
  <si>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</si>
  <si>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</si>
  <si>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</si>
  <si>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</si>
  <si>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</si>
  <si>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</si>
  <si>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</si>
  <si>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</si>
  <si>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</si>
  <si>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</si>
  <si>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</si>
  <si>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</si>
  <si>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</si>
  <si>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</si>
  <si>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</si>
  <si>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</si>
  <si>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</si>
  <si>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</si>
  <si>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</si>
  <si>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</si>
  <si>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</si>
  <si>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</si>
  <si>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</si>
  <si>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</si>
  <si>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</si>
  <si>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</si>
  <si>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</si>
  <si>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</si>
  <si>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</si>
  <si>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</si>
  <si>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</si>
  <si>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</si>
  <si>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</si>
  <si>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</si>
  <si>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</si>
  <si>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</si>
  <si>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</si>
  <si>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</si>
  <si>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</si>
  <si>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</si>
  <si>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</si>
  <si>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</si>
  <si>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</si>
  <si>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</si>
  <si>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</si>
  <si>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</si>
  <si>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</si>
  <si>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</si>
  <si>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</si>
  <si>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</si>
  <si>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</si>
  <si>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</si>
  <si>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</si>
  <si>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</si>
  <si>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</si>
  <si>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</si>
  <si>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</si>
  <si>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</si>
  <si>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</si>
  <si>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</si>
  <si>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</si>
  <si>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</si>
  <si>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</si>
  <si>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</si>
  <si>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</si>
  <si>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</si>
  <si>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</si>
  <si>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</si>
  <si>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</si>
  <si>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</si>
  <si>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</si>
  <si>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</si>
  <si>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</si>
  <si>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</si>
  <si>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</si>
  <si>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</si>
  <si>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</si>
  <si>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</si>
  <si>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</si>
  <si>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</si>
  <si>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</si>
  <si>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</si>
  <si>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</si>
  <si>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</si>
  <si>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</si>
  <si>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</si>
  <si>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</si>
  <si>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</si>
  <si>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</si>
  <si>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</si>
  <si>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</si>
  <si>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</si>
  <si>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</si>
  <si>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</si>
  <si>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</si>
  <si>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</si>
  <si>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</si>
  <si>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</si>
  <si>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</si>
  <si>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</si>
  <si>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</si>
  <si>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</si>
  <si>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</si>
  <si>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</si>
  <si>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</si>
  <si>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</si>
  <si>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</si>
  <si>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</si>
  <si>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</si>
  <si>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</si>
  <si>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</si>
  <si>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</si>
  <si>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</si>
  <si>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</si>
  <si>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</si>
  <si>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</si>
  <si>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</si>
  <si>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</si>
  <si>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</si>
  <si>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</si>
  <si>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</si>
  <si>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</si>
  <si>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</si>
  <si>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</si>
  <si>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</si>
  <si>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</si>
  <si>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</si>
  <si>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</si>
  <si>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</si>
  <si>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</si>
  <si>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</si>
  <si>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</si>
  <si>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</si>
  <si>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</si>
  <si>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</si>
  <si>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</si>
  <si>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</si>
  <si>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</si>
  <si>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</si>
  <si>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</si>
  <si>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</si>
  <si>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</si>
  <si>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</si>
  <si>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</si>
  <si>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</si>
  <si>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</si>
  <si>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</si>
  <si>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</si>
  <si>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</si>
  <si>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</si>
  <si>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</si>
  <si>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</si>
  <si>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</si>
  <si>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</si>
  <si>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</si>
  <si>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</si>
  <si>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</si>
  <si>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</si>
  <si>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</si>
  <si>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</si>
  <si>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</si>
  <si>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</si>
  <si>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</si>
  <si>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</si>
  <si>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</si>
  <si>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</si>
  <si>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</si>
  <si>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</si>
  <si>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</si>
  <si>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</si>
  <si>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</si>
  <si>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</si>
  <si>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</si>
  <si>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</si>
  <si>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</si>
  <si>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</si>
  <si>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</si>
  <si>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</si>
  <si>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</si>
  <si>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</si>
  <si>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</si>
  <si>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</si>
  <si>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</si>
  <si>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</si>
  <si>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</si>
  <si>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</si>
  <si>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</si>
  <si>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</si>
  <si>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</si>
  <si>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</si>
  <si>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</si>
  <si>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</si>
  <si>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</si>
  <si>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</si>
  <si>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</si>
  <si>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</si>
  <si>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</si>
  <si>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</si>
  <si>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</si>
  <si>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</si>
  <si>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</si>
  <si>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</si>
  <si>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</si>
  <si>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</si>
  <si>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</si>
  <si>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</si>
  <si>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</si>
  <si>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</si>
  <si>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</si>
  <si>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</si>
  <si>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</si>
  <si>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</si>
  <si>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</si>
  <si>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</si>
  <si>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</si>
  <si>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</si>
  <si>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</si>
  <si>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</si>
  <si>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</si>
  <si>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</si>
  <si>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</si>
  <si>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</si>
  <si>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</si>
  <si>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</si>
  <si>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</si>
  <si>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</si>
  <si>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</si>
  <si>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</si>
  <si>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</si>
  <si>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</si>
  <si>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</si>
  <si>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</si>
  <si>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</si>
  <si>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</si>
  <si>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</si>
  <si>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</si>
  <si>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</si>
  <si>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</si>
  <si>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</si>
  <si>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</si>
  <si>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</si>
  <si>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</si>
  <si>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</si>
  <si>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</si>
  <si>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</si>
  <si>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</si>
  <si>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</si>
  <si>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</si>
  <si>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</si>
  <si>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</si>
  <si>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</si>
  <si>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</si>
  <si>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</si>
  <si>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</si>
  <si>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</si>
  <si>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</si>
  <si>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</si>
  <si>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</si>
  <si>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</si>
  <si>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</si>
  <si>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</si>
  <si>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</si>
  <si>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</si>
  <si>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</si>
  <si>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</si>
  <si>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</si>
  <si>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</si>
  <si>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</si>
  <si>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</si>
  <si>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</si>
  <si>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</si>
  <si>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</si>
  <si>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</si>
  <si>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</si>
  <si>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</si>
  <si>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</si>
  <si>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</si>
  <si>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</si>
  <si>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</si>
  <si>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</si>
  <si>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</si>
  <si>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</si>
  <si>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</si>
  <si>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</si>
  <si>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</si>
  <si>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</si>
  <si>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</si>
  <si>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</si>
  <si>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</si>
  <si>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</si>
  <si>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</si>
  <si>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</si>
  <si>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</si>
  <si>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</si>
  <si>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</si>
  <si>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</si>
  <si>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</si>
  <si>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</si>
  <si>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</si>
  <si>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</si>
  <si>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</si>
  <si>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</si>
  <si>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</si>
  <si>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</si>
  <si>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</si>
  <si>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</si>
  <si>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</si>
  <si>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</si>
  <si>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</si>
  <si>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</si>
  <si>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</si>
  <si>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</si>
  <si>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</si>
  <si>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</si>
  <si>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</si>
  <si>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</si>
  <si>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</si>
  <si>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</si>
  <si>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</si>
  <si>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</si>
  <si>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</si>
  <si>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</si>
  <si>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</si>
  <si>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</si>
  <si>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</si>
  <si>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</si>
  <si>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</si>
  <si>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</si>
  <si>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</si>
  <si>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</si>
  <si>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</si>
  <si>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</si>
  <si>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</si>
  <si>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</si>
  <si>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</si>
  <si>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</si>
  <si>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</si>
  <si>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</si>
  <si>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</si>
  <si>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</si>
  <si>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</si>
  <si>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</si>
  <si>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</si>
  <si>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</si>
  <si>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</si>
  <si>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</si>
  <si>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</si>
  <si>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</si>
  <si>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</si>
  <si>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</si>
  <si>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</si>
  <si>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</si>
  <si>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</si>
  <si>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</si>
  <si>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</si>
  <si>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</si>
  <si>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</si>
  <si>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</si>
  <si>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</si>
  <si>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</si>
  <si>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</si>
  <si>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</si>
  <si>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</si>
  <si>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</si>
  <si>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</si>
  <si>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</si>
  <si>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</si>
  <si>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</si>
  <si>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</si>
  <si>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</si>
  <si>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</si>
  <si>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</si>
  <si>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</si>
  <si>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</si>
  <si>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</si>
  <si>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</si>
  <si>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</si>
  <si>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</si>
  <si>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</si>
  <si>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</si>
  <si>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</si>
  <si>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</si>
  <si>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</si>
  <si>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</si>
  <si>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</si>
  <si>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</si>
  <si>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</si>
  <si>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</si>
  <si>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</si>
  <si>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</si>
  <si>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</si>
  <si>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</si>
  <si>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</si>
  <si>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</si>
  <si>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</si>
  <si>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</si>
  <si>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</si>
  <si>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</si>
  <si>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</si>
  <si>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</si>
  <si>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</si>
  <si>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</si>
  <si>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</si>
  <si>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</si>
  <si>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</si>
  <si>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</si>
  <si>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</si>
  <si>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</si>
  <si>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</si>
  <si>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</si>
  <si>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</si>
  <si>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</si>
  <si>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</si>
  <si>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</si>
  <si>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</si>
  <si>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</si>
  <si>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</si>
  <si>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</si>
  <si>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</si>
  <si>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</si>
  <si>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</si>
  <si>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</si>
  <si>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</si>
  <si>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</si>
  <si>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</si>
  <si>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</si>
  <si>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</si>
  <si>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</si>
  <si>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</si>
  <si>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</si>
  <si>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</si>
  <si>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</si>
  <si>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</si>
  <si>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</si>
  <si>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</si>
  <si>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</si>
  <si>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</si>
  <si>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</si>
  <si>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</si>
  <si>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</si>
  <si>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</si>
  <si>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</si>
  <si>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</si>
  <si>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</si>
  <si>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</si>
  <si>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</si>
  <si>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</si>
  <si>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</si>
  <si>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</si>
  <si>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</si>
  <si>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</si>
  <si>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</si>
  <si>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</si>
  <si>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</si>
  <si>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</si>
  <si>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</si>
  <si>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</si>
  <si>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</si>
  <si>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</si>
  <si>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</si>
  <si>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</si>
  <si>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</si>
  <si>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</si>
  <si>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</si>
  <si>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</si>
  <si>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</si>
  <si>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</si>
  <si>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</si>
  <si>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</si>
  <si>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</si>
  <si>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</si>
  <si>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</si>
  <si>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</si>
  <si>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</si>
  <si>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</si>
  <si>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</si>
  <si>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</si>
  <si>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</si>
  <si>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</si>
  <si>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</si>
  <si>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</si>
  <si>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</si>
  <si>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</si>
  <si>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</si>
  <si>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</si>
  <si>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</si>
  <si>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</si>
  <si>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</si>
  <si>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</si>
  <si>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</si>
  <si>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</si>
  <si>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</si>
  <si>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</si>
  <si>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</si>
  <si>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</si>
  <si>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</si>
  <si>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</si>
  <si>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</si>
  <si>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</si>
  <si>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</si>
  <si>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</si>
  <si>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</si>
  <si>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</si>
  <si>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</si>
  <si>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</si>
  <si>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</si>
  <si>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</si>
  <si>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</si>
  <si>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</si>
  <si>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</si>
  <si>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</si>
  <si>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</si>
  <si>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</si>
  <si>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</si>
  <si>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</si>
  <si>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</si>
  <si>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</si>
  <si>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</si>
  <si>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</si>
  <si>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</si>
  <si>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</si>
  <si>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</si>
  <si>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</si>
  <si>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</si>
  <si>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</si>
  <si>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</si>
  <si>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</si>
  <si>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</si>
  <si>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</si>
  <si>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</si>
  <si>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</si>
  <si>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</si>
  <si>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</si>
  <si>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</si>
  <si>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</si>
  <si>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</si>
  <si>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</si>
  <si>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</si>
  <si>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</si>
  <si>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</si>
  <si>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</si>
  <si>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</si>
  <si>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</si>
  <si>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</si>
  <si>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</si>
  <si>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</si>
  <si>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</si>
  <si>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</si>
  <si>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</si>
  <si>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</si>
  <si>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</si>
  <si>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</si>
  <si>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</si>
  <si>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</si>
  <si>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</si>
  <si>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</si>
  <si>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</si>
  <si>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</si>
  <si>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</si>
  <si>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</si>
  <si>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</si>
  <si>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</si>
  <si>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</si>
  <si>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</si>
  <si>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</si>
  <si>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</si>
  <si>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</si>
  <si>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</si>
  <si>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</si>
  <si>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</si>
  <si>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</si>
  <si>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</si>
  <si>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</si>
  <si>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</si>
  <si>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</si>
  <si>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</si>
  <si>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</si>
  <si>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</si>
  <si>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</si>
  <si>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</si>
  <si>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</si>
  <si>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</si>
  <si>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</si>
  <si>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</si>
  <si>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</si>
  <si>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</si>
  <si>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</si>
  <si>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</si>
  <si>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</si>
  <si>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</si>
  <si>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</si>
  <si>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</si>
  <si>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</si>
  <si>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</si>
  <si>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</si>
  <si>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</si>
  <si>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</si>
  <si>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</si>
  <si>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</si>
  <si>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</si>
  <si>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</si>
  <si>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</si>
  <si>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</si>
  <si>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</si>
  <si>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</si>
  <si>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</si>
  <si>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</si>
  <si>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</si>
  <si>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</si>
  <si>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</si>
  <si>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</si>
  <si>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</si>
  <si>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</si>
  <si>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</si>
  <si>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</si>
  <si>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</si>
  <si>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</si>
  <si>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</si>
  <si>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</si>
  <si>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</si>
  <si>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</si>
  <si>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</si>
  <si>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</si>
  <si>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</si>
  <si>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</si>
  <si>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</si>
  <si>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</si>
  <si>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</si>
  <si>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</si>
  <si>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</si>
  <si>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</si>
  <si>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</si>
  <si>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</si>
  <si>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</si>
  <si>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</si>
  <si>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</si>
  <si>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</si>
  <si>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</si>
  <si>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</si>
  <si>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</si>
  <si>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</si>
  <si>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</si>
  <si>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</si>
  <si>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</si>
  <si>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</si>
  <si>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</si>
  <si>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</si>
  <si>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</si>
  <si>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</si>
  <si>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</si>
  <si>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</si>
  <si>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</si>
  <si>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</si>
  <si>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</si>
  <si>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</si>
  <si>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</si>
  <si>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</si>
  <si>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</si>
  <si>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</si>
  <si>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</si>
  <si>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</si>
  <si>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</si>
  <si>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</si>
  <si>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</si>
  <si>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</si>
  <si>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</si>
  <si>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</si>
  <si>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</si>
  <si>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</si>
  <si>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</si>
  <si>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</si>
  <si>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</si>
  <si>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</si>
  <si>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</si>
  <si>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</si>
  <si>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</si>
  <si>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</si>
  <si>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</si>
  <si>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</si>
  <si>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</si>
  <si>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</si>
  <si>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</si>
  <si>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</si>
  <si>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</si>
  <si>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</si>
  <si>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</si>
  <si>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</si>
  <si>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</si>
  <si>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</si>
  <si>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</si>
  <si>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</si>
  <si>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</si>
  <si>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</si>
  <si>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</si>
  <si>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</si>
  <si>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</si>
  <si>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</si>
  <si>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</si>
  <si>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</si>
  <si>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</si>
  <si>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</si>
  <si>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</si>
  <si>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</si>
  <si>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</si>
  <si>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</si>
  <si>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</si>
  <si>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</si>
  <si>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</si>
  <si>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</si>
  <si>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</si>
  <si>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</si>
  <si>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</si>
  <si>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</si>
  <si>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</si>
  <si>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</si>
  <si>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</si>
  <si>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</si>
  <si>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</si>
  <si>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</si>
  <si>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</si>
  <si>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</si>
  <si>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</si>
  <si>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</si>
  <si>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</si>
  <si>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</si>
  <si>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</si>
  <si>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</si>
  <si>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</si>
  <si>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</si>
  <si>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</si>
  <si>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</si>
  <si>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</si>
  <si>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</si>
  <si>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</si>
  <si>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</si>
  <si>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</si>
  <si>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</si>
  <si>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</si>
  <si>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</si>
  <si>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</si>
  <si>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</si>
  <si>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</si>
  <si>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</si>
  <si>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</si>
  <si>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</si>
  <si>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</si>
  <si>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</si>
  <si>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</si>
  <si>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</si>
  <si>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</si>
  <si>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</si>
  <si>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</si>
  <si>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</si>
  <si>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</si>
  <si>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</si>
  <si>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</si>
  <si>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</si>
  <si>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</si>
  <si>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</si>
  <si>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</si>
  <si>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</si>
  <si>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</si>
  <si>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</si>
  <si>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</si>
  <si>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</si>
  <si>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</si>
  <si>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</si>
  <si>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</si>
  <si>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</si>
  <si>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</si>
  <si>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</si>
  <si>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</si>
  <si>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</si>
  <si>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</si>
  <si>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</si>
  <si>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</si>
  <si>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</si>
  <si>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</si>
  <si>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</si>
  <si>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</si>
  <si>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</si>
  <si>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</si>
  <si>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</si>
  <si>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</si>
  <si>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</si>
  <si>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</si>
  <si>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</si>
  <si>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</si>
  <si>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</si>
  <si>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</si>
  <si>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</si>
  <si>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</si>
  <si>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</si>
  <si>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</si>
  <si>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</si>
  <si>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</si>
  <si>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</si>
  <si>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</si>
  <si>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</si>
  <si>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</si>
  <si>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</si>
  <si>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</si>
  <si>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</si>
  <si>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</si>
  <si>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</si>
  <si>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</si>
  <si>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</si>
  <si>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</si>
  <si>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</si>
  <si>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</si>
  <si>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</si>
  <si>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</si>
  <si>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</si>
  <si>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</si>
  <si>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</si>
  <si>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</si>
  <si>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</si>
  <si>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</si>
  <si>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</si>
  <si>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</si>
  <si>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</si>
  <si>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</si>
  <si>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</si>
  <si>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</si>
  <si>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</si>
  <si>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</si>
  <si>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</si>
  <si>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</si>
  <si>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</si>
  <si>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</si>
  <si>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</si>
  <si>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</si>
  <si>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</si>
  <si>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</si>
  <si>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</si>
  <si>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</si>
  <si>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</si>
  <si>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</si>
  <si>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</si>
  <si>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</si>
  <si>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</si>
  <si>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</si>
  <si>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</si>
  <si>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</si>
  <si>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</si>
  <si>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</si>
  <si>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</si>
  <si>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</si>
  <si>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</si>
  <si>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</si>
  <si>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</si>
  <si>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</si>
  <si>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</si>
  <si>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</si>
  <si>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</si>
  <si>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</si>
  <si>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</si>
  <si>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</si>
  <si>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</si>
  <si>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</si>
  <si>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</si>
  <si>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</si>
  <si>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</si>
  <si>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</si>
  <si>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</si>
  <si>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</si>
  <si>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</si>
  <si>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</si>
  <si>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</si>
  <si>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</si>
  <si>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</si>
  <si>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</si>
  <si>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</si>
  <si>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</si>
  <si>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</si>
  <si>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</si>
  <si>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</si>
  <si>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</si>
  <si>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</si>
  <si>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</si>
  <si>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</si>
  <si>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</si>
  <si>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</si>
  <si>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</si>
  <si>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</si>
  <si>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</si>
  <si>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</si>
  <si>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</si>
  <si>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</si>
  <si>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</si>
  <si>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</si>
  <si>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</si>
  <si>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</si>
  <si>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</si>
  <si>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</si>
  <si>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</si>
  <si>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</si>
  <si>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</si>
  <si>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</si>
  <si>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</si>
  <si>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</si>
  <si>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</si>
  <si>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</si>
  <si>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</si>
  <si>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</si>
  <si>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</si>
  <si>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</si>
  <si>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</si>
  <si>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</si>
  <si>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</si>
  <si>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</si>
  <si>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</si>
  <si>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</si>
  <si>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</si>
  <si>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</si>
  <si>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</si>
  <si>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</si>
  <si>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</si>
  <si>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</si>
  <si>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</si>
  <si>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</si>
  <si>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</si>
  <si>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</si>
  <si>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</si>
  <si>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</si>
  <si>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</si>
  <si>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</si>
  <si>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</si>
  <si>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</si>
  <si>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</si>
  <si>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</si>
  <si>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</si>
  <si>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</si>
  <si>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</si>
  <si>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</si>
  <si>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</si>
  <si>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</si>
  <si>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</si>
  <si>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</si>
  <si>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</si>
  <si>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</si>
  <si>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</si>
  <si>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</si>
  <si>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</si>
  <si>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</si>
  <si>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</si>
  <si>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</si>
  <si>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</si>
  <si>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</si>
  <si>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</si>
  <si>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</si>
  <si>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</si>
  <si>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</si>
  <si>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</si>
  <si>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</si>
  <si>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</si>
  <si>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</si>
  <si>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</si>
  <si>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</si>
  <si>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</si>
  <si>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</si>
  <si>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</si>
  <si>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</si>
  <si>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</si>
  <si>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</si>
  <si>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</si>
  <si>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</si>
  <si>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</si>
  <si>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</si>
  <si>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</si>
  <si>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</si>
  <si>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</si>
  <si>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</si>
  <si>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</si>
  <si>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</si>
  <si>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</si>
  <si>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</si>
  <si>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</si>
  <si>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</si>
  <si>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</si>
  <si>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</si>
  <si>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</si>
  <si>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</si>
  <si>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</si>
  <si>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</si>
  <si>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</si>
  <si>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</si>
  <si>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</si>
  <si>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</si>
  <si>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</si>
  <si>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</si>
  <si>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</si>
  <si>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</si>
  <si>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</si>
  <si>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</si>
  <si>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</si>
  <si>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</si>
  <si>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</si>
  <si>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</si>
  <si>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</si>
  <si>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</si>
  <si>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</si>
  <si>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</si>
  <si>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</si>
  <si>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</si>
  <si>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</si>
  <si>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</si>
  <si>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</si>
  <si>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</si>
  <si>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</si>
  <si>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</si>
  <si>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</si>
  <si>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</si>
  <si>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</si>
  <si>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</si>
  <si>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</si>
  <si>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</si>
  <si>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</si>
  <si>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</si>
  <si>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</si>
  <si>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</si>
  <si>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</si>
  <si>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</si>
  <si>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</si>
  <si>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</si>
  <si>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</si>
  <si>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</si>
  <si>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</si>
  <si>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</si>
  <si>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</si>
  <si>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</si>
  <si>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</si>
  <si>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</si>
  <si>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</si>
  <si>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</si>
  <si>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</si>
  <si>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</si>
  <si>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</si>
  <si>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</si>
  <si>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</si>
  <si>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</si>
  <si>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</si>
  <si>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</si>
  <si>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</si>
  <si>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</si>
  <si>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</si>
  <si>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</si>
  <si>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</si>
  <si>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</si>
  <si>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</si>
  <si>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</si>
  <si>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</si>
  <si>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</si>
  <si>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</si>
  <si>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</si>
  <si>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</si>
  <si>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</si>
  <si>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</si>
  <si>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</si>
  <si>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</si>
  <si>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</si>
  <si>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</si>
  <si>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</si>
  <si>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</si>
  <si>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</si>
  <si>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</si>
  <si>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</si>
  <si>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</si>
  <si>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</si>
  <si>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</si>
  <si>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</si>
  <si>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</si>
  <si>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</si>
  <si>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</si>
  <si>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</si>
  <si>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</si>
  <si>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</si>
  <si>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</si>
  <si>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</si>
  <si>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</si>
  <si>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</si>
  <si>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</si>
  <si>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</si>
  <si>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</si>
  <si>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</si>
  <si>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</si>
  <si>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</si>
  <si>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</si>
  <si>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</si>
  <si>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</si>
  <si>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</si>
  <si>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</si>
  <si>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</si>
  <si>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</si>
  <si>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</si>
  <si>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</si>
  <si>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</si>
  <si>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</si>
  <si>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</si>
  <si>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</si>
  <si>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</si>
  <si>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</si>
  <si>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</si>
  <si>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</si>
  <si>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</si>
  <si>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</si>
  <si>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</si>
  <si>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</si>
  <si>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</si>
  <si>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</si>
  <si>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</si>
  <si>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</si>
  <si>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</si>
  <si>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</si>
  <si>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</si>
  <si>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</si>
  <si>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</si>
  <si>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</si>
  <si>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</si>
  <si>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</si>
  <si>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</si>
  <si>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</si>
  <si>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</si>
  <si>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</si>
  <si>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</si>
  <si>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</si>
  <si>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</si>
  <si>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</si>
  <si>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</si>
  <si>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</si>
  <si>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</si>
  <si>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</si>
  <si>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</si>
  <si>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</si>
  <si>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</si>
  <si>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</si>
  <si>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</si>
  <si>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</si>
  <si>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</si>
  <si>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</si>
  <si>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</si>
  <si>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</si>
  <si>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</si>
  <si>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</si>
  <si>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</si>
  <si>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</si>
  <si>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</si>
  <si>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</si>
  <si>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</si>
  <si>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</si>
  <si>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</si>
  <si>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</si>
  <si>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</si>
  <si>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</si>
  <si>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</si>
  <si>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</si>
  <si>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</si>
  <si>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</si>
  <si>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</si>
  <si>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</si>
  <si>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</si>
  <si>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</si>
  <si>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</si>
  <si>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</si>
  <si>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</si>
  <si>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</si>
  <si>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</si>
  <si>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</si>
  <si>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</si>
  <si>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</si>
  <si>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</si>
  <si>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</si>
  <si>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</si>
  <si>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</si>
  <si>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</si>
  <si>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</si>
  <si>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</si>
  <si>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</si>
  <si>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</si>
  <si>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</si>
  <si>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</si>
  <si>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</si>
  <si>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</si>
  <si>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</si>
  <si>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</si>
  <si>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</si>
  <si>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</si>
  <si>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</si>
  <si>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</si>
  <si>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</si>
  <si>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</si>
  <si>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</si>
  <si>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</si>
  <si>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</si>
  <si>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</si>
  <si>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</si>
  <si>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</si>
  <si>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</si>
  <si>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</si>
  <si>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</si>
  <si>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</si>
  <si>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</si>
  <si>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</si>
  <si>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</si>
  <si>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</si>
  <si>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</si>
  <si>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</si>
  <si>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</si>
  <si>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</si>
  <si>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</si>
  <si>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</si>
  <si>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</si>
  <si>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</si>
  <si>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</si>
  <si>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</si>
  <si>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</si>
  <si>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</si>
  <si>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</si>
  <si>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</si>
  <si>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</si>
  <si>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</si>
  <si>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</si>
  <si>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</si>
  <si>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</si>
  <si>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</si>
  <si>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</si>
  <si>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</si>
  <si>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</si>
  <si>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</si>
  <si>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</si>
  <si>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</si>
  <si>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</si>
  <si>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</si>
  <si>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</si>
  <si>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</si>
  <si>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</si>
  <si>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</si>
  <si>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</si>
  <si>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</si>
  <si>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</si>
  <si>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</si>
  <si>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</si>
  <si>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</si>
  <si>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</si>
  <si>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</si>
  <si>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</si>
  <si>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</si>
  <si>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</si>
  <si>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</si>
  <si>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</si>
  <si>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</si>
  <si>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</si>
  <si>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</si>
  <si>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</si>
  <si>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</si>
  <si>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</si>
  <si>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</si>
  <si>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</si>
  <si>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</si>
  <si>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</si>
  <si>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</si>
  <si>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</si>
  <si>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</si>
  <si>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</si>
  <si>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</si>
  <si>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</si>
  <si>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</si>
  <si>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</si>
  <si>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</si>
  <si>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</si>
  <si>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</si>
  <si>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</si>
  <si>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</si>
  <si>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</si>
  <si>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</si>
  <si>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</si>
  <si>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</si>
  <si>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</si>
  <si>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</si>
  <si>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</si>
  <si>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</si>
  <si>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</si>
  <si>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</si>
  <si>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</si>
  <si>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</si>
  <si>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</si>
  <si>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</si>
  <si>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</si>
  <si>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</si>
  <si>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</si>
  <si>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</si>
  <si>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</si>
  <si>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</si>
  <si>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</si>
  <si>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</si>
  <si>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</si>
  <si>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</si>
  <si>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</si>
  <si>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</si>
  <si>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</si>
  <si>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</si>
  <si>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</si>
  <si>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</si>
  <si>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</si>
  <si>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</si>
  <si>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</si>
  <si>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</si>
  <si>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</si>
  <si>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</si>
  <si>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</si>
  <si>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</si>
  <si>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</si>
  <si>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</si>
  <si>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</si>
  <si>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</si>
  <si>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</si>
  <si>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</si>
  <si>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</si>
  <si>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</si>
  <si>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</si>
  <si>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</si>
  <si>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</si>
  <si>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</si>
  <si>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</si>
  <si>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</si>
  <si>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</si>
  <si>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</si>
  <si>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</si>
  <si>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</si>
  <si>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</si>
  <si>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</si>
  <si>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</si>
  <si>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</si>
  <si>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</si>
  <si>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</si>
  <si>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</si>
  <si>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</si>
  <si>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</si>
  <si>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</si>
  <si>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</si>
  <si>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</si>
  <si>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</si>
  <si>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</si>
  <si>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</si>
  <si>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</si>
  <si>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</si>
  <si>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</si>
  <si>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</si>
  <si>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</si>
  <si>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</si>
  <si>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</si>
  <si>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</si>
  <si>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</si>
  <si>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</si>
  <si>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</si>
  <si>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</si>
  <si>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</si>
  <si>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</si>
  <si>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</si>
  <si>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</si>
  <si>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</si>
  <si>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</si>
  <si>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</si>
  <si>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</si>
  <si>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</si>
  <si>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</si>
  <si>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</si>
  <si>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</si>
  <si>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</si>
  <si>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</si>
  <si>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</si>
  <si>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</si>
  <si>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</si>
  <si>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</si>
  <si>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</si>
  <si>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</si>
  <si>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</si>
  <si>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</si>
  <si>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</si>
  <si>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</si>
  <si>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</si>
  <si>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</si>
  <si>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</si>
  <si>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</si>
  <si>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</si>
  <si>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</si>
  <si>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</si>
  <si>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</si>
  <si>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</si>
  <si>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</si>
  <si>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</si>
  <si>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</si>
  <si>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</si>
  <si>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</si>
  <si>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</si>
  <si>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</si>
  <si>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</si>
  <si>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</si>
  <si>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</si>
  <si>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</si>
  <si>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</si>
  <si>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</si>
  <si>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</si>
  <si>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</si>
  <si>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</si>
  <si>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</si>
  <si>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</si>
  <si>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</si>
  <si>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</si>
  <si>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</si>
  <si>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</si>
  <si>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</si>
  <si>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</si>
  <si>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</si>
  <si>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</si>
  <si>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</si>
  <si>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</si>
  <si>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</si>
  <si>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</si>
  <si>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</si>
  <si>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</si>
  <si>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</si>
  <si>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</si>
  <si>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</si>
  <si>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</si>
  <si>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</si>
  <si>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</si>
  <si>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</si>
  <si>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</si>
  <si>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</si>
  <si>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</si>
  <si>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</si>
  <si>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</si>
  <si>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</si>
  <si>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</si>
  <si>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</si>
  <si>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</si>
  <si>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</si>
  <si>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</si>
  <si>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</si>
  <si>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</si>
  <si>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</si>
  <si>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</si>
  <si>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</si>
  <si>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</si>
  <si>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</si>
  <si>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</si>
  <si>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</si>
  <si>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</si>
  <si>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</si>
  <si>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</si>
  <si>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</si>
  <si>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</si>
  <si>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</si>
  <si>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</si>
  <si>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</si>
  <si>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</si>
  <si>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</si>
  <si>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</si>
  <si>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</si>
  <si>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</si>
  <si>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</si>
  <si>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</si>
  <si>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</si>
  <si>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</si>
  <si>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</si>
  <si>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</si>
  <si>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</si>
  <si>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</si>
  <si>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</si>
  <si>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</si>
  <si>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</si>
  <si>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</si>
  <si>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</si>
  <si>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</si>
  <si>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</si>
  <si>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</si>
  <si>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</si>
  <si>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</si>
  <si>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</si>
  <si>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</si>
  <si>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</si>
  <si>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</si>
  <si>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</si>
  <si>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</si>
  <si>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</si>
  <si>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</si>
  <si>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</si>
  <si>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</si>
  <si>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</si>
  <si>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</si>
  <si>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</si>
  <si>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</si>
  <si>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</si>
  <si>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</si>
  <si>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</si>
  <si>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</si>
  <si>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</si>
  <si>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</si>
  <si>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</si>
  <si>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</si>
  <si>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</si>
  <si>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</si>
  <si>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</si>
  <si>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</si>
  <si>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</si>
  <si>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</si>
  <si>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</si>
  <si>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</si>
  <si>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</si>
  <si>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</si>
  <si>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</si>
  <si>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</si>
  <si>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</si>
  <si>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</si>
  <si>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</si>
  <si>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</si>
  <si>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</si>
  <si>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</si>
  <si>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</si>
  <si>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</si>
  <si>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</si>
  <si>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</si>
  <si>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</si>
  <si>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</si>
  <si>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</si>
  <si>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</si>
  <si>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</si>
  <si>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</si>
  <si>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</si>
  <si>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</si>
  <si>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</si>
  <si>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</si>
  <si>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</si>
  <si>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</si>
  <si>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</si>
  <si>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</si>
  <si>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</si>
  <si>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</si>
  <si>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</si>
  <si>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</si>
  <si>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</si>
  <si>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</si>
  <si>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</si>
  <si>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</si>
  <si>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</si>
  <si>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</si>
  <si>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</si>
  <si>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</si>
  <si>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</si>
  <si>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</si>
  <si>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</si>
  <si>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</si>
  <si>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</si>
  <si>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</si>
  <si>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</si>
  <si>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</si>
  <si>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</si>
  <si>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</si>
  <si>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</si>
  <si>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</si>
  <si>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</si>
  <si>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</si>
  <si>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</si>
  <si>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</si>
  <si>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</si>
  <si>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</si>
  <si>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</si>
  <si>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</si>
  <si>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</si>
  <si>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</si>
  <si>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</si>
  <si>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</si>
  <si>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</si>
  <si>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</si>
  <si>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</si>
  <si>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</si>
  <si>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</si>
  <si>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</si>
  <si>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</si>
  <si>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</si>
  <si>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</si>
  <si>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</si>
  <si>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</si>
  <si>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</si>
  <si>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</si>
  <si>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</si>
  <si>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</si>
  <si>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</si>
  <si>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</si>
  <si>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</si>
  <si>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</si>
  <si>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</si>
  <si>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</si>
  <si>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</si>
  <si>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</si>
  <si>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</si>
  <si>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</si>
  <si>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</si>
  <si>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</si>
  <si>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</si>
  <si>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</si>
  <si>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</si>
  <si>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</si>
  <si>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</si>
  <si>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</si>
  <si>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</si>
  <si>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</si>
  <si>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</si>
  <si>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</si>
  <si>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</si>
  <si>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</si>
  <si>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</si>
  <si>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</si>
  <si>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</si>
  <si>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</si>
  <si>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</si>
  <si>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</si>
  <si>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</si>
  <si>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</si>
  <si>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</si>
  <si>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</si>
  <si>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</si>
  <si>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</si>
  <si>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</si>
  <si>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</si>
  <si>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</si>
  <si>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</si>
  <si>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</si>
  <si>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</si>
  <si>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</si>
  <si>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</si>
  <si>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</si>
  <si>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</si>
  <si>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</si>
  <si>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</si>
  <si>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</si>
  <si>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</si>
  <si>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</si>
  <si>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</si>
  <si>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</si>
  <si>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</si>
  <si>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</si>
  <si>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</si>
  <si>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</si>
  <si>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</si>
  <si>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</si>
  <si>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</si>
  <si>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</si>
  <si>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</si>
  <si>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</si>
  <si>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</si>
  <si>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</si>
  <si>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</si>
  <si>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</si>
  <si>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</si>
  <si>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</si>
  <si>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</si>
  <si>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</si>
  <si>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</si>
  <si>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</si>
  <si>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</si>
  <si>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</si>
  <si>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</si>
  <si>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</si>
  <si>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</si>
  <si>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</si>
  <si>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</si>
  <si>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</si>
  <si>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</si>
  <si>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</si>
  <si>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</si>
  <si>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</si>
  <si>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</si>
  <si>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</si>
  <si>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</si>
  <si>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</si>
  <si>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</si>
  <si>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</si>
  <si>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</si>
  <si>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</si>
  <si>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</si>
  <si>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</si>
  <si>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</si>
  <si>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</si>
  <si>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</si>
  <si>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</si>
  <si>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</si>
  <si>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</si>
  <si>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</si>
  <si>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</si>
  <si>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</si>
  <si>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</si>
  <si>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</si>
  <si>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</si>
  <si>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</si>
  <si>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</si>
  <si>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</si>
  <si>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</si>
  <si>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</si>
  <si>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</si>
  <si>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</si>
  <si>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</si>
  <si>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</si>
  <si>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</si>
  <si>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</si>
  <si>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</si>
  <si>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</si>
  <si>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</si>
  <si>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</si>
  <si>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</si>
  <si>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</si>
  <si>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</si>
  <si>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</si>
  <si>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</si>
  <si>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</si>
  <si>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</si>
  <si>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</si>
  <si>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</si>
  <si>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</si>
  <si>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</si>
  <si>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</si>
  <si>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</si>
  <si>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</si>
  <si>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</si>
  <si>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</si>
  <si>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</si>
  <si>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</si>
  <si>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</si>
  <si>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</si>
  <si>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</si>
  <si>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</si>
  <si>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</si>
  <si>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</si>
  <si>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</si>
  <si>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</si>
  <si>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</si>
  <si>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</si>
  <si>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</si>
  <si>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</si>
  <si>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</si>
  <si>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</si>
  <si>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</si>
  <si>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</si>
  <si>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</si>
  <si>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</si>
  <si>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</si>
  <si>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</si>
  <si>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</si>
  <si>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</si>
  <si>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</si>
  <si>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</si>
  <si>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</si>
  <si>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</si>
  <si>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</si>
  <si>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</si>
  <si>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</si>
  <si>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</si>
  <si>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</si>
  <si>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</si>
  <si>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</si>
  <si>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</si>
  <si>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</si>
  <si>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</si>
  <si>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</si>
  <si>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</si>
  <si>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</si>
  <si>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</si>
  <si>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</si>
  <si>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</si>
  <si>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</si>
  <si>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</si>
  <si>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</si>
  <si>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</si>
  <si>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</si>
  <si>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</si>
  <si>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</si>
  <si>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</si>
  <si>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</si>
  <si>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</si>
  <si>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</si>
  <si>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</si>
  <si>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</si>
  <si>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</si>
  <si>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</si>
  <si>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</si>
  <si>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</si>
  <si>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</si>
  <si>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</si>
  <si>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</si>
  <si>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</si>
  <si>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</si>
  <si>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</si>
  <si>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</si>
  <si>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</si>
  <si>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</si>
  <si>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</si>
  <si>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</si>
  <si>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</si>
  <si>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</si>
  <si>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</si>
  <si>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</si>
  <si>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</si>
  <si>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</si>
  <si>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</si>
  <si>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</si>
  <si>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</si>
  <si>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</si>
  <si>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</si>
  <si>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</si>
  <si>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</si>
  <si>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</si>
  <si>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</si>
  <si>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</si>
  <si>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</si>
  <si>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</si>
  <si>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</si>
  <si>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</si>
  <si>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</si>
  <si>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</si>
  <si>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</si>
  <si>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</si>
  <si>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</si>
  <si>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</si>
  <si>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</si>
  <si>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</si>
  <si>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</si>
  <si>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</si>
  <si>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</si>
  <si>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</si>
  <si>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</si>
  <si>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</si>
  <si>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</si>
  <si>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</si>
  <si>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</si>
  <si>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</si>
  <si>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</si>
  <si>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</si>
  <si>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</si>
  <si>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</si>
  <si>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</si>
  <si>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</si>
  <si>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</si>
  <si>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</si>
  <si>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</si>
  <si>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</si>
  <si>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</si>
  <si>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</si>
  <si>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</si>
  <si>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</si>
  <si>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</si>
  <si>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</si>
  <si>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</si>
  <si>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</si>
  <si>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</si>
  <si>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</si>
  <si>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</si>
  <si>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</si>
  <si>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</si>
  <si>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</si>
  <si>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</si>
  <si>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</si>
  <si>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</si>
  <si>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</si>
  <si>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</si>
  <si>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</si>
  <si>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</si>
  <si>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</si>
  <si>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</si>
  <si>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</si>
  <si>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</si>
  <si>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</si>
  <si>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</si>
  <si>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</si>
  <si>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</si>
  <si>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</si>
  <si>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</si>
  <si>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</si>
  <si>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</si>
  <si>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</si>
  <si>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</si>
  <si>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</si>
  <si>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</si>
  <si>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</si>
  <si>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</si>
  <si>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</si>
  <si>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</si>
  <si>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</si>
  <si>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</si>
  <si>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</si>
  <si>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</si>
  <si>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</si>
  <si>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</si>
  <si>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</si>
  <si>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</si>
  <si>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</si>
  <si>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</si>
  <si>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</si>
  <si>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</si>
  <si>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</si>
  <si>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</si>
  <si>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</si>
  <si>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</si>
  <si>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</si>
  <si>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</si>
  <si>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</si>
  <si>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</si>
  <si>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</si>
  <si>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</si>
  <si>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</si>
  <si>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</si>
  <si>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</si>
  <si>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</si>
  <si>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</si>
  <si>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</si>
  <si>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</si>
  <si>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</si>
  <si>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</si>
  <si>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</si>
  <si>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</si>
  <si>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</si>
  <si>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</si>
  <si>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</si>
  <si>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</si>
  <si>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</si>
  <si>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</si>
  <si>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</si>
  <si>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</si>
  <si>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</si>
  <si>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</si>
  <si>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</si>
  <si>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</si>
  <si>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</si>
  <si>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</si>
  <si>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</si>
  <si>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</si>
  <si>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</si>
  <si>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</si>
  <si>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</si>
  <si>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</si>
  <si>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</si>
  <si>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</si>
  <si>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</si>
  <si>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</si>
  <si>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</si>
  <si>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</si>
  <si>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</si>
  <si>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</si>
  <si>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</si>
  <si>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</si>
  <si>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</si>
  <si>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</si>
  <si>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</si>
  <si>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</si>
  <si>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</si>
  <si>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</si>
  <si>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</si>
  <si>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</si>
  <si>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</si>
  <si>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</si>
  <si>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</si>
  <si>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</si>
  <si>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</si>
  <si>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</si>
  <si>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</si>
  <si>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</si>
  <si>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</si>
  <si>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</si>
  <si>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</si>
  <si>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</si>
  <si>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</si>
  <si>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</si>
  <si>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</si>
  <si>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</si>
  <si>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</si>
  <si>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</si>
  <si>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</si>
  <si>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</si>
  <si>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</si>
  <si>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</si>
  <si>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</si>
  <si>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</si>
  <si>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</si>
  <si>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</si>
  <si>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</si>
  <si>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</si>
  <si>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</si>
  <si>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</si>
  <si>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</si>
  <si>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</si>
  <si>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</si>
  <si>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</si>
  <si>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</si>
  <si>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</si>
  <si>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</si>
  <si>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</si>
  <si>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</si>
  <si>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</si>
  <si>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</si>
  <si>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</si>
  <si>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</si>
  <si>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</si>
  <si>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</si>
  <si>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</si>
  <si>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</si>
  <si>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</si>
  <si>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</si>
  <si>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</si>
  <si>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</si>
  <si>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</si>
  <si>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</si>
  <si>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</si>
  <si>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</si>
  <si>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</si>
  <si>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</si>
  <si>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</si>
  <si>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</si>
  <si>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</si>
  <si>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</si>
  <si>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</si>
  <si>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</si>
  <si>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</si>
  <si>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</si>
  <si>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</si>
  <si>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</si>
  <si>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</si>
  <si>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</si>
  <si>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</si>
  <si>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</si>
  <si>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</si>
  <si>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</si>
  <si>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</si>
  <si>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</si>
  <si>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</si>
  <si>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</si>
  <si>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</si>
  <si>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</si>
  <si>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</si>
  <si>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</si>
  <si>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</si>
  <si>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</si>
  <si>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</si>
  <si>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</si>
  <si>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</si>
  <si>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</si>
  <si>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</si>
  <si>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</si>
  <si>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</si>
  <si>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</si>
  <si>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</si>
  <si>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</si>
  <si>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</si>
  <si>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</si>
  <si>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</si>
  <si>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</si>
  <si>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</si>
  <si>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</si>
  <si>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</si>
  <si>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</si>
  <si>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</si>
  <si>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</si>
  <si>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</si>
  <si>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</si>
  <si>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</si>
  <si>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</si>
  <si>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</si>
  <si>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</si>
  <si>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</si>
  <si>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</si>
  <si>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</si>
  <si>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</si>
  <si>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</si>
  <si>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</si>
  <si>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</si>
  <si>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</si>
  <si>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</si>
  <si>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</si>
  <si>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</si>
  <si>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</si>
  <si>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</si>
  <si>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</si>
  <si>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</si>
  <si>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</si>
  <si>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</si>
  <si>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</si>
  <si>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</si>
  <si>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</si>
  <si>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</si>
  <si>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</si>
  <si>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</si>
  <si>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</si>
  <si>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</si>
  <si>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</si>
  <si>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</si>
  <si>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</si>
  <si>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</si>
  <si>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</si>
  <si>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</si>
  <si>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</si>
  <si>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</si>
  <si>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</si>
  <si>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</si>
  <si>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</si>
  <si>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</si>
  <si>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</si>
  <si>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</si>
  <si>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</si>
  <si>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</si>
  <si>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</si>
  <si>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</si>
  <si>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</si>
  <si>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</si>
  <si>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</si>
  <si>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</si>
  <si>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</si>
  <si>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</si>
  <si>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</si>
  <si>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</si>
  <si>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</si>
  <si>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</si>
  <si>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</si>
  <si>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</si>
  <si>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</si>
  <si>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</si>
  <si>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</si>
  <si>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</si>
  <si>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</si>
  <si>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</si>
  <si>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</si>
  <si>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</si>
  <si>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</si>
  <si>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</si>
  <si>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</si>
  <si>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</si>
  <si>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</si>
  <si>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</si>
  <si>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</si>
  <si>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</si>
  <si>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</si>
  <si>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</si>
  <si>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</si>
  <si>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</si>
  <si>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</si>
  <si>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</si>
  <si>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</si>
  <si>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</si>
  <si>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</si>
  <si>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</si>
  <si>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</si>
  <si>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</si>
  <si>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</si>
  <si>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</si>
  <si>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</si>
  <si>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</si>
  <si>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</si>
  <si>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</si>
  <si>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</si>
  <si>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</si>
  <si>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</si>
  <si>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</si>
  <si>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</si>
  <si>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</si>
  <si>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</si>
  <si>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</si>
  <si>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</si>
  <si>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</si>
  <si>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</si>
  <si>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</si>
  <si>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</si>
  <si>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</si>
  <si>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</si>
  <si>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</si>
  <si>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</si>
  <si>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</si>
  <si>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</si>
  <si>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</si>
  <si>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</si>
  <si>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</si>
  <si>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</si>
  <si>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</si>
  <si>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</si>
  <si>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</si>
  <si>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</si>
  <si>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</si>
  <si>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</si>
  <si>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</si>
  <si>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</si>
  <si>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</si>
  <si>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</si>
  <si>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</si>
  <si>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</si>
  <si>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</si>
  <si>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</si>
  <si>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</si>
  <si>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</si>
  <si>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</si>
  <si>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</si>
  <si>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</si>
  <si>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</si>
  <si>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</si>
  <si>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</si>
  <si>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</si>
  <si>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</si>
  <si>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</si>
  <si>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</si>
  <si>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</si>
  <si>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</si>
  <si>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</si>
  <si>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</si>
  <si>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</si>
  <si>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</si>
  <si>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</si>
  <si>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</si>
  <si>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</si>
  <si>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</si>
  <si>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</si>
  <si>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</si>
  <si>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</si>
  <si>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</si>
  <si>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</si>
  <si>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</si>
  <si>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</si>
  <si>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</si>
  <si>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</si>
  <si>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</si>
  <si>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</si>
  <si>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</si>
  <si>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</si>
  <si>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</si>
  <si>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</si>
  <si>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</si>
  <si>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</si>
  <si>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</si>
  <si>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</si>
  <si>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</si>
  <si>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</si>
  <si>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</si>
  <si>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</si>
  <si>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</si>
  <si>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</si>
  <si>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</si>
  <si>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</si>
  <si>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</si>
  <si>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</si>
  <si>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</si>
  <si>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</si>
  <si>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</si>
  <si>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</si>
  <si>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</si>
  <si>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</si>
  <si>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</si>
  <si>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</si>
  <si>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</si>
  <si>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</si>
  <si>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</si>
  <si>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</si>
  <si>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</si>
  <si>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</si>
  <si>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</si>
  <si>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</si>
  <si>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</si>
  <si>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</si>
  <si>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</si>
  <si>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</si>
  <si>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</si>
  <si>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</si>
  <si>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</si>
  <si>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</si>
  <si>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</si>
  <si>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</si>
  <si>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</si>
  <si>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</si>
  <si>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</si>
  <si>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</si>
  <si>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</si>
  <si>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</si>
  <si>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</si>
  <si>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</si>
  <si>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</si>
  <si>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</si>
  <si>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</si>
  <si>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</si>
  <si>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</si>
  <si>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</si>
  <si>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</si>
  <si>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</si>
  <si>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</si>
  <si>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</si>
  <si>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</si>
  <si>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</si>
  <si>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</si>
  <si>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</si>
  <si>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</si>
  <si>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</si>
  <si>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</si>
  <si>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</si>
  <si>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</si>
  <si>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</si>
  <si>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</si>
  <si>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</si>
  <si>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</si>
  <si>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</si>
  <si>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</si>
  <si>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</si>
  <si>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</si>
  <si>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</si>
  <si>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</si>
  <si>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</si>
  <si>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</si>
  <si>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</si>
  <si>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</si>
  <si>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</si>
  <si>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</si>
  <si>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</si>
  <si>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</si>
  <si>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</si>
  <si>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</si>
  <si>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</si>
  <si>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</si>
  <si>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</si>
  <si>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</si>
  <si>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</si>
  <si>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</si>
  <si>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</si>
  <si>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</si>
  <si>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</si>
  <si>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</si>
  <si>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</si>
  <si>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</si>
  <si>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</si>
  <si>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</si>
  <si>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</si>
  <si>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</si>
  <si>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</si>
  <si>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</si>
  <si>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</si>
  <si>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</si>
  <si>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</si>
  <si>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</si>
  <si>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</si>
  <si>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</si>
  <si>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</si>
  <si>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</si>
  <si>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</si>
  <si>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</si>
  <si>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</si>
  <si>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</si>
  <si>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</si>
  <si>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</si>
  <si>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</si>
  <si>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</si>
  <si>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</si>
  <si>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</si>
  <si>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</si>
  <si>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</si>
  <si>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</si>
  <si>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</si>
  <si>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</si>
  <si>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</si>
  <si>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</si>
  <si>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</si>
  <si>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</si>
  <si>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</si>
  <si>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</si>
  <si>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</si>
  <si>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</si>
  <si>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</si>
  <si>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</si>
  <si>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</si>
  <si>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</si>
  <si>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</si>
  <si>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</si>
  <si>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</si>
  <si>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</si>
  <si>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</si>
  <si>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</si>
  <si>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</si>
  <si>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</si>
  <si>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</si>
  <si>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</si>
  <si>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</si>
  <si>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</si>
  <si>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</si>
  <si>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</si>
  <si>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</si>
  <si>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</si>
  <si>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</si>
  <si>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</si>
  <si>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</si>
  <si>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</si>
  <si>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</si>
  <si>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</si>
  <si>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</si>
  <si>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</si>
  <si>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</si>
  <si>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</si>
  <si>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</si>
  <si>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</si>
  <si>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</si>
  <si>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</si>
  <si>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</si>
  <si>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</si>
  <si>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</si>
  <si>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</si>
  <si>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</si>
  <si>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</si>
  <si>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</si>
  <si>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</si>
  <si>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</si>
  <si>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</si>
  <si>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</si>
  <si>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</si>
  <si>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</si>
  <si>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</si>
  <si>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</si>
  <si>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</si>
  <si>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</si>
  <si>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</si>
  <si>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</si>
  <si>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</si>
  <si>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</si>
  <si>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</si>
  <si>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</si>
  <si>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</si>
  <si>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</si>
  <si>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</si>
  <si>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</si>
  <si>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</si>
  <si>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</si>
  <si>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</si>
  <si>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</si>
  <si>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</si>
  <si>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</si>
  <si>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</si>
  <si>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</si>
  <si>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</si>
  <si>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</si>
  <si>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</si>
  <si>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</si>
  <si>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</si>
  <si>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</si>
  <si>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</si>
  <si>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</si>
  <si>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</si>
  <si>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</si>
  <si>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</si>
  <si>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</si>
  <si>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</si>
  <si>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</si>
  <si>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</si>
  <si>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</si>
  <si>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</si>
  <si>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</si>
  <si>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</si>
  <si>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</si>
  <si>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</si>
  <si>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</si>
  <si>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</si>
  <si>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</si>
  <si>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</si>
  <si>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</si>
  <si>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</si>
  <si>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</si>
  <si>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</si>
  <si>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</si>
  <si>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</si>
  <si>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</si>
  <si>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</si>
  <si>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</si>
  <si>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</si>
  <si>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</si>
  <si>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</si>
  <si>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</si>
  <si>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</si>
  <si>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</si>
  <si>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</si>
  <si>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</si>
  <si>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</si>
  <si>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</si>
  <si>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</si>
  <si>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</si>
  <si>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</si>
  <si>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</si>
  <si>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</si>
  <si>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</si>
  <si>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</si>
  <si>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</si>
  <si>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</si>
  <si>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</si>
  <si>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</si>
  <si>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</si>
  <si>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</si>
  <si>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</si>
  <si>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</si>
  <si>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</si>
  <si>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</si>
  <si>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</si>
  <si>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</si>
  <si>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</si>
  <si>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</si>
  <si>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</si>
  <si>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</si>
  <si>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</si>
  <si>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</si>
  <si>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</si>
  <si>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</si>
  <si>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</si>
  <si>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</si>
  <si>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</si>
  <si>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</si>
  <si>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</si>
  <si>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</si>
  <si>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</si>
  <si>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</si>
  <si>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</si>
  <si>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</si>
  <si>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</si>
  <si>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</si>
  <si>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</si>
  <si>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</si>
  <si>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</si>
  <si>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</si>
  <si>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</si>
  <si>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</si>
  <si>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</si>
  <si>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</si>
  <si>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</si>
  <si>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</si>
  <si>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</si>
  <si>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</si>
  <si>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</si>
  <si>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</si>
  <si>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</si>
  <si>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</si>
  <si>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</si>
  <si>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</si>
  <si>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</si>
  <si>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</si>
  <si>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</si>
  <si>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</si>
  <si>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</si>
  <si>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</si>
  <si>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</si>
  <si>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</si>
  <si>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</si>
  <si>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</si>
  <si>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</si>
  <si>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</si>
  <si>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</si>
  <si>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</si>
  <si>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</si>
  <si>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</si>
  <si>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</si>
  <si>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</si>
  <si>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</si>
  <si>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</si>
  <si>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</si>
  <si>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</si>
  <si>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</si>
  <si>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</si>
  <si>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</si>
  <si>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</si>
  <si>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</si>
  <si>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</si>
  <si>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</si>
  <si>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</si>
  <si>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</si>
  <si>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</si>
  <si>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</si>
  <si>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</si>
  <si>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</si>
  <si>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</si>
  <si>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</si>
  <si>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</si>
  <si>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</si>
  <si>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</si>
  <si>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</si>
  <si>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</si>
  <si>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</si>
  <si>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</si>
  <si>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</si>
  <si>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</si>
  <si>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</si>
  <si>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</si>
  <si>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</si>
  <si>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</si>
  <si>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</si>
  <si>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</si>
  <si>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</si>
  <si>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</si>
  <si>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</si>
  <si>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</si>
  <si>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</si>
  <si>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</si>
  <si>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</si>
  <si>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</si>
  <si>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</si>
  <si>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</si>
  <si>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</si>
  <si>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</si>
  <si>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</si>
  <si>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</si>
  <si>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</si>
  <si>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</si>
  <si>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</si>
  <si>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</si>
  <si>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</si>
  <si>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</si>
  <si>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</si>
  <si>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</si>
  <si>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</si>
  <si>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</si>
  <si>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</si>
  <si>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</si>
  <si>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</si>
  <si>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</si>
  <si>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</si>
  <si>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</si>
  <si>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</si>
  <si>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</si>
  <si>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</si>
  <si>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</si>
  <si>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</si>
  <si>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</si>
  <si>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</si>
  <si>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</si>
  <si>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</si>
  <si>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</si>
  <si>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</si>
  <si>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</si>
  <si>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</si>
  <si>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</si>
  <si>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</si>
  <si>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</si>
  <si>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</si>
  <si>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</si>
  <si>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</si>
  <si>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</si>
  <si>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</si>
  <si>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</si>
  <si>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</si>
  <si>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</si>
  <si>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</si>
  <si>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</si>
  <si>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</si>
  <si>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</si>
  <si>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</si>
  <si>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</si>
  <si>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</si>
  <si>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</si>
  <si>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</si>
  <si>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</si>
  <si>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</si>
  <si>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</si>
  <si>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</si>
  <si>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</si>
  <si>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</si>
  <si>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</si>
  <si>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</si>
  <si>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</si>
  <si>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</si>
  <si>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</si>
  <si>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</si>
  <si>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</si>
  <si>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</si>
  <si>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</si>
  <si>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</si>
  <si>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</si>
  <si>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</si>
  <si>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</si>
  <si>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</si>
  <si>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</si>
  <si>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</si>
  <si>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</si>
  <si>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</si>
  <si>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</si>
  <si>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</si>
  <si>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</si>
  <si>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</si>
  <si>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</si>
  <si>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</si>
  <si>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</si>
  <si>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</si>
  <si>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</si>
  <si>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</si>
  <si>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</si>
  <si>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</si>
  <si>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</si>
  <si>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</si>
  <si>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</si>
  <si>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</si>
  <si>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</si>
  <si>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</si>
  <si>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</si>
  <si>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</si>
  <si>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</si>
  <si>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</si>
  <si>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</si>
  <si>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</si>
  <si>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</si>
  <si>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</si>
  <si>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</si>
  <si>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</si>
  <si>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</si>
  <si>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</si>
  <si>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</si>
  <si>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</si>
  <si>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</si>
  <si>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</si>
  <si>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</si>
  <si>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</si>
  <si>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</si>
  <si>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</si>
  <si>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</si>
  <si>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</si>
  <si>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</si>
  <si>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</si>
  <si>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</si>
  <si>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</si>
  <si>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</si>
  <si>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</si>
  <si>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</si>
  <si>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</si>
  <si>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</si>
  <si>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</si>
  <si>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</si>
  <si>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</si>
  <si>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</si>
  <si>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</si>
  <si>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</si>
  <si>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</si>
  <si>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</si>
  <si>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</si>
  <si>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</si>
  <si>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</si>
  <si>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</si>
  <si>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</si>
  <si>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</si>
  <si>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</si>
  <si>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</si>
  <si>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</si>
  <si>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</si>
  <si>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</si>
  <si>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</si>
  <si>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</si>
  <si>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</si>
  <si>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</si>
  <si>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</si>
  <si>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</si>
  <si>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</si>
  <si>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</si>
  <si>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</si>
  <si>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</si>
  <si>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</si>
  <si>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</si>
  <si>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</si>
  <si>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</si>
  <si>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</si>
  <si>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</si>
  <si>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</si>
  <si>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</si>
  <si>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</si>
  <si>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</si>
  <si>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</si>
  <si>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</si>
  <si>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</si>
  <si>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</si>
  <si>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</si>
  <si>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</si>
  <si>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</si>
  <si>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</si>
  <si>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</si>
  <si>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</si>
  <si>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</si>
  <si>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</si>
  <si>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</si>
  <si>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</si>
  <si>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</si>
  <si>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</si>
  <si>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</si>
  <si>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</si>
  <si>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</si>
  <si>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</si>
  <si>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</si>
  <si>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</si>
  <si>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</si>
  <si>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</si>
  <si>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</si>
  <si>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</si>
  <si>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</si>
  <si>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</si>
  <si>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</si>
  <si>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</si>
  <si>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</si>
  <si>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</si>
  <si>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</si>
  <si>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</si>
  <si>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</si>
  <si>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</si>
  <si>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</si>
  <si>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</si>
  <si>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</si>
  <si>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</si>
  <si>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</si>
  <si>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</si>
  <si>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</si>
  <si>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</si>
  <si>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</si>
  <si>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</si>
  <si>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</si>
  <si>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</si>
  <si>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</si>
  <si>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</si>
  <si>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</si>
  <si>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</si>
  <si>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</si>
  <si>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</si>
  <si>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</si>
  <si>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</si>
  <si>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</si>
  <si>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</si>
  <si>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</si>
  <si>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</si>
  <si>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</si>
  <si>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</si>
  <si>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</si>
  <si>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</si>
  <si>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</si>
  <si>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</si>
  <si>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</si>
  <si>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</si>
  <si>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</si>
  <si>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</si>
  <si>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</si>
  <si>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</si>
  <si>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</si>
  <si>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</si>
  <si>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</si>
  <si>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</si>
  <si>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</si>
  <si>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</si>
  <si>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</si>
  <si>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</si>
  <si>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</si>
  <si>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</si>
  <si>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</si>
  <si>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</si>
  <si>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</si>
  <si>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</si>
  <si>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</si>
  <si>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</si>
  <si>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</si>
  <si>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</si>
  <si>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</si>
  <si>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</si>
  <si>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</si>
  <si>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</si>
  <si>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</si>
  <si>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</si>
  <si>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</si>
  <si>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</si>
  <si>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</si>
  <si>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</si>
  <si>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</si>
  <si>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</si>
  <si>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</si>
  <si>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</si>
  <si>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</si>
  <si>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</si>
  <si>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</si>
  <si>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</si>
  <si>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</si>
  <si>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</si>
  <si>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</si>
  <si>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</si>
  <si>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</si>
  <si>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</si>
  <si>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</si>
  <si>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</si>
  <si>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</si>
  <si>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</si>
  <si>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</si>
  <si>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</si>
  <si>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</si>
  <si>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</si>
  <si>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</si>
  <si>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</si>
  <si>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</si>
  <si>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</si>
  <si>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</si>
  <si>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</si>
  <si>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</si>
  <si>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</si>
  <si>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</si>
  <si>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</si>
  <si>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</si>
  <si>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</si>
  <si>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</si>
  <si>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</si>
  <si>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</si>
  <si>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</si>
  <si>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</si>
  <si>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</si>
  <si>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</si>
  <si>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</si>
  <si>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</si>
  <si>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</si>
  <si>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</si>
  <si>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</si>
  <si>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</si>
  <si>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</si>
  <si>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</si>
  <si>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</si>
  <si>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</si>
  <si>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</si>
  <si>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</si>
  <si>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</si>
  <si>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</si>
  <si>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</si>
  <si>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</si>
  <si>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</si>
  <si>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</si>
  <si>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</si>
  <si>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</si>
  <si>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</si>
  <si>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</si>
  <si>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</si>
  <si>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</si>
  <si>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</si>
  <si>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</si>
  <si>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</si>
  <si>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</si>
  <si>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</si>
  <si>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</si>
  <si>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</si>
  <si>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</si>
  <si>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</si>
  <si>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</si>
  <si>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</si>
  <si>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</si>
  <si>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</si>
  <si>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</si>
  <si>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</si>
  <si>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</si>
  <si>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</si>
  <si>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</si>
  <si>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</si>
  <si>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</si>
  <si>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</si>
  <si>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</si>
  <si>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</si>
  <si>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</si>
  <si>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</si>
  <si>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</si>
  <si>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</si>
  <si>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</si>
  <si>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</si>
  <si>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</si>
  <si>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</si>
  <si>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</si>
  <si>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</si>
  <si>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</si>
  <si>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</si>
  <si>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</si>
  <si>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</si>
  <si>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</si>
  <si>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</si>
  <si>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</si>
  <si>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</si>
  <si>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</si>
  <si>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</si>
  <si>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</si>
  <si>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</si>
  <si>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</si>
  <si>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</si>
  <si>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</si>
  <si>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</si>
  <si>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</si>
  <si>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</si>
  <si>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</si>
  <si>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</si>
  <si>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</si>
  <si>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</si>
  <si>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</si>
  <si>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</si>
  <si>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</si>
  <si>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</si>
  <si>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</si>
  <si>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</si>
  <si>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</si>
  <si>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</si>
  <si>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</si>
  <si>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</si>
  <si>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</si>
  <si>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</si>
  <si>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</si>
  <si>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</si>
  <si>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</si>
  <si>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</si>
  <si>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</si>
  <si>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</si>
  <si>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</si>
  <si>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</si>
  <si>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</si>
  <si>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</si>
  <si>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</si>
  <si>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</si>
  <si>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</si>
  <si>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</si>
  <si>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</si>
  <si>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</si>
  <si>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</si>
  <si>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</si>
  <si>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</si>
  <si>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</si>
  <si>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</si>
  <si>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</si>
  <si>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</si>
  <si>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</si>
  <si>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</si>
  <si>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</si>
  <si>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</si>
  <si>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</si>
  <si>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</si>
  <si>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</si>
  <si>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</si>
  <si>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</si>
  <si>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</si>
  <si>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</si>
  <si>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</si>
  <si>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</si>
  <si>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</si>
  <si>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</si>
  <si>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</si>
  <si>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</si>
  <si>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</si>
  <si>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</si>
  <si>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</si>
  <si>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</si>
  <si>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</si>
  <si>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</si>
  <si>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</si>
  <si>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</si>
  <si>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</si>
  <si>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</si>
  <si>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</si>
  <si>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</si>
  <si>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</si>
  <si>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</si>
  <si>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</si>
  <si>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</si>
  <si>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</si>
  <si>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</si>
  <si>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</si>
  <si>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</si>
  <si>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</si>
  <si>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</si>
  <si>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</si>
  <si>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</si>
  <si>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</si>
  <si>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</si>
  <si>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</si>
  <si>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</si>
  <si>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</si>
  <si>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</si>
  <si>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</si>
  <si>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</si>
  <si>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</si>
  <si>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</si>
  <si>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</si>
  <si>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</si>
  <si>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</si>
  <si>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</si>
  <si>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</si>
  <si>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</si>
  <si>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</si>
  <si>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</si>
  <si>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</si>
  <si>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</si>
  <si>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</si>
  <si>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</si>
  <si>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</si>
  <si>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</si>
  <si>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</si>
  <si>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</si>
  <si>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</si>
  <si>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</si>
  <si>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</si>
  <si>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</si>
  <si>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</si>
  <si>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</si>
  <si>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</si>
  <si>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</si>
  <si>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</si>
  <si>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</si>
  <si>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</si>
  <si>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</si>
  <si>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</si>
  <si>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</si>
  <si>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</si>
  <si>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</si>
  <si>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</si>
  <si>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</si>
  <si>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</si>
  <si>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</si>
  <si>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</si>
  <si>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</si>
  <si>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</si>
  <si>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</si>
  <si>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</si>
  <si>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</si>
  <si>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</si>
  <si>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</si>
  <si>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</si>
  <si>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</si>
  <si>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</si>
  <si>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</si>
  <si>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</si>
  <si>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</si>
  <si>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</si>
  <si>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</si>
  <si>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</si>
  <si>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</si>
  <si>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</si>
  <si>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</si>
  <si>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</si>
  <si>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</si>
  <si>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</si>
  <si>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</si>
  <si>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</si>
  <si>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</si>
  <si>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</si>
  <si>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</si>
  <si>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</si>
  <si>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</si>
  <si>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</si>
  <si>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</si>
  <si>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</si>
  <si>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</si>
  <si>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</si>
  <si>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</si>
  <si>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</si>
  <si>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</si>
  <si>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</si>
  <si>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</si>
  <si>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</si>
  <si>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</si>
  <si>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</si>
  <si>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</si>
  <si>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</si>
  <si>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</si>
  <si>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</si>
  <si>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</si>
  <si>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</si>
  <si>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</si>
  <si>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</si>
  <si>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</si>
  <si>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</si>
  <si>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</si>
  <si>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</si>
  <si>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</si>
  <si>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</si>
  <si>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</si>
  <si>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</si>
  <si>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</si>
  <si>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</si>
  <si>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</si>
  <si>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</si>
  <si>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</si>
  <si>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</si>
  <si>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</si>
  <si>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</si>
  <si>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</si>
  <si>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</si>
  <si>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</si>
  <si>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</si>
  <si>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</si>
  <si>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</si>
  <si>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</si>
  <si>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</si>
  <si>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</si>
  <si>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</si>
  <si>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</si>
  <si>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</si>
  <si>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</si>
  <si>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</si>
  <si>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</si>
  <si>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</si>
  <si>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</si>
  <si>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</si>
  <si>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</si>
  <si>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</si>
  <si>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</si>
  <si>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</si>
  <si>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</si>
  <si>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</si>
  <si>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</si>
  <si>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</si>
  <si>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</si>
  <si>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</si>
  <si>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</si>
  <si>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</si>
  <si>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</si>
  <si>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</si>
  <si>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</si>
  <si>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</si>
  <si>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</si>
  <si>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</si>
  <si>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</si>
  <si>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</si>
  <si>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</si>
  <si>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</si>
  <si>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</si>
  <si>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</si>
  <si>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</si>
  <si>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</si>
  <si>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</si>
  <si>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</si>
  <si>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</si>
  <si>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</si>
  <si>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</si>
  <si>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</si>
  <si>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</si>
  <si>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</si>
  <si>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</si>
  <si>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</si>
  <si>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</si>
  <si>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</si>
  <si>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</si>
  <si>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</si>
  <si>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</si>
  <si>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</si>
  <si>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</si>
  <si>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</si>
  <si>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</si>
  <si>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</si>
  <si>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</si>
  <si>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</si>
  <si>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</si>
  <si>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</si>
  <si>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</si>
  <si>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</si>
  <si>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</si>
  <si>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</si>
  <si>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</si>
  <si>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</si>
  <si>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</si>
  <si>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</si>
  <si>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</si>
  <si>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</si>
  <si>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</si>
  <si>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</si>
  <si>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</si>
  <si>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</si>
  <si>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</si>
  <si>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</si>
  <si>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</si>
  <si>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</si>
  <si>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</si>
  <si>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</si>
  <si>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</si>
  <si>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</si>
  <si>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</si>
  <si>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</si>
  <si>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</si>
  <si>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</si>
  <si>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</si>
  <si>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</si>
  <si>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</si>
  <si>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</si>
  <si>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</si>
  <si>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</si>
  <si>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</si>
  <si>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</si>
  <si>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</si>
  <si>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</si>
  <si>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</si>
  <si>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</si>
  <si>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</si>
  <si>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</si>
  <si>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</si>
  <si>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</si>
  <si>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</si>
  <si>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</si>
  <si>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</si>
  <si>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</si>
  <si>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</si>
  <si>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</si>
  <si>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</si>
  <si>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</si>
  <si>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</si>
  <si>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</si>
  <si>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</si>
  <si>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</si>
  <si>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</si>
  <si>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</si>
  <si>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</si>
  <si>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</si>
  <si>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</si>
  <si>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</si>
  <si>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</si>
  <si>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</si>
  <si>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</si>
  <si>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</si>
  <si>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</si>
  <si>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</si>
  <si>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</si>
  <si>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</si>
  <si>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</si>
  <si>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</si>
  <si>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</si>
  <si>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</si>
  <si>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</si>
  <si>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</si>
  <si>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</si>
  <si>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</si>
  <si>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</si>
  <si>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</si>
  <si>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</si>
  <si>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</si>
  <si>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</si>
  <si>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</si>
  <si>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</si>
  <si>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</si>
  <si>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</si>
  <si>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</si>
  <si>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</si>
  <si>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</si>
  <si>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</si>
  <si>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</si>
  <si>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</si>
  <si>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</si>
  <si>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</si>
  <si>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</si>
  <si>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</si>
  <si>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</si>
  <si>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</si>
  <si>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</si>
  <si>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</si>
  <si>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</si>
  <si>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</si>
  <si>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</si>
  <si>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</si>
  <si>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</si>
  <si>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</si>
  <si>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</si>
  <si>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</si>
  <si>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</si>
  <si>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</si>
  <si>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</si>
  <si>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</si>
  <si>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</si>
  <si>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</si>
  <si>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</si>
  <si>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</si>
  <si>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</si>
  <si>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</si>
  <si>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</si>
  <si>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</si>
  <si>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</si>
  <si>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</si>
  <si>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</si>
  <si>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</si>
  <si>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</si>
  <si>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</si>
  <si>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</si>
  <si>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</si>
  <si>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</si>
  <si>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</si>
  <si>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</si>
  <si>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</si>
  <si>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</si>
  <si>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</si>
  <si>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</si>
  <si>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</si>
  <si>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</si>
  <si>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</si>
  <si>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</si>
  <si>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</si>
  <si>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</si>
  <si>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</si>
  <si>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</si>
  <si>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</si>
  <si>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</si>
  <si>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</si>
  <si>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</si>
  <si>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</si>
  <si>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</si>
  <si>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</si>
  <si>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</si>
  <si>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</si>
  <si>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</si>
  <si>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</si>
  <si>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</si>
  <si>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</si>
  <si>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</si>
  <si>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</si>
  <si>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</si>
  <si>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</si>
  <si>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</si>
  <si>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</si>
  <si>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</si>
  <si>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</si>
  <si>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</si>
  <si>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</si>
  <si>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</si>
  <si>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</si>
  <si>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</si>
  <si>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</si>
  <si>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</si>
  <si>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</si>
  <si>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</si>
  <si>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</si>
  <si>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</si>
  <si>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</si>
  <si>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</si>
  <si>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</si>
  <si>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</si>
  <si>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</si>
  <si>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</si>
  <si>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</si>
  <si>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</si>
  <si>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</si>
  <si>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</si>
  <si>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</si>
  <si>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</si>
  <si>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</si>
  <si>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</si>
  <si>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</si>
  <si>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</si>
  <si>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</si>
  <si>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</si>
  <si>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</si>
  <si>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</si>
  <si>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</si>
  <si>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</si>
  <si>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</si>
  <si>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</si>
  <si>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</si>
  <si>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</si>
  <si>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</si>
  <si>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</si>
  <si>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</si>
  <si>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</si>
  <si>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</si>
  <si>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</si>
  <si>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</si>
  <si>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</si>
  <si>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</si>
  <si>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</si>
  <si>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</si>
  <si>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</si>
  <si>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</si>
  <si>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</si>
  <si>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</si>
  <si>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</si>
  <si>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</si>
  <si>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</si>
  <si>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</si>
  <si>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</si>
  <si>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</si>
  <si>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</si>
  <si>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</si>
  <si>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</si>
  <si>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</si>
  <si>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</si>
  <si>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</si>
  <si>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</si>
  <si>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</si>
  <si>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</si>
  <si>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</si>
  <si>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</si>
  <si>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</si>
  <si>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</si>
  <si>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</si>
  <si>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</si>
  <si>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</si>
  <si>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</si>
  <si>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</si>
  <si>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</si>
  <si>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</si>
  <si>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</si>
  <si>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</si>
  <si>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</si>
  <si>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</si>
  <si>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</si>
  <si>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</si>
  <si>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</si>
  <si>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</si>
  <si>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</si>
  <si>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</si>
  <si>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</si>
  <si>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</si>
  <si>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</si>
  <si>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</si>
  <si>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</si>
  <si>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</si>
  <si>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</si>
  <si>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</si>
  <si>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</si>
  <si>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</si>
  <si>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</si>
  <si>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</si>
  <si>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</si>
  <si>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</si>
  <si>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</si>
  <si>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</si>
  <si>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</si>
  <si>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</si>
  <si>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</si>
  <si>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</si>
  <si>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</si>
  <si>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</si>
  <si>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</si>
  <si>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</si>
  <si>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</si>
  <si>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</si>
  <si>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</si>
  <si>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</si>
  <si>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</si>
  <si>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</si>
  <si>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</si>
  <si>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</si>
  <si>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</si>
  <si>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</si>
  <si>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</si>
  <si>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</si>
  <si>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</si>
  <si>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</si>
  <si>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</si>
  <si>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</si>
  <si>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</si>
  <si>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</si>
  <si>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</si>
  <si>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</si>
  <si>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</si>
  <si>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</si>
  <si>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</si>
  <si>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</si>
  <si>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</si>
  <si>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</si>
  <si>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</si>
  <si>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</si>
  <si>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</si>
  <si>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</si>
  <si>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</si>
  <si>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</si>
  <si>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</si>
  <si>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</si>
  <si>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</si>
  <si>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</si>
  <si>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</si>
  <si>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</si>
  <si>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</si>
  <si>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</si>
  <si>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</si>
  <si>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</si>
  <si>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</si>
  <si>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</si>
  <si>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</si>
  <si>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</si>
  <si>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</si>
  <si>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</si>
  <si>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</si>
  <si>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</si>
  <si>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</si>
  <si>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</si>
  <si>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</si>
  <si>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</si>
  <si>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</si>
  <si>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</si>
  <si>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</si>
  <si>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</si>
  <si>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</si>
  <si>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</si>
  <si>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</si>
  <si>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</si>
  <si>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</si>
  <si>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</si>
  <si>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</si>
  <si>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</si>
  <si>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</si>
  <si>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</si>
  <si>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</si>
  <si>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</si>
  <si>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</si>
  <si>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</si>
  <si>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</si>
  <si>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</si>
  <si>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</si>
  <si>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</si>
  <si>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</si>
  <si>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</si>
  <si>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</si>
  <si>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</si>
  <si>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</si>
  <si>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</si>
  <si>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</si>
  <si>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</si>
  <si>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</si>
  <si>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</si>
  <si>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</si>
  <si>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</si>
  <si>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</si>
  <si>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</si>
  <si>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</si>
  <si>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</si>
  <si>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</si>
  <si>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</si>
  <si>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</si>
  <si>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</si>
  <si>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</si>
  <si>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</si>
  <si>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</si>
  <si>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</si>
  <si>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</si>
  <si>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</si>
  <si>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</si>
  <si>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</si>
  <si>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</si>
  <si>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</si>
  <si>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</si>
  <si>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</si>
  <si>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</si>
  <si>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</si>
  <si>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</si>
  <si>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</si>
  <si>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</si>
  <si>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</si>
  <si>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</si>
  <si>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</si>
  <si>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</si>
  <si>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</si>
  <si>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</si>
  <si>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</si>
  <si>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</si>
  <si>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</si>
  <si>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</si>
  <si>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</si>
  <si>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</si>
  <si>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</si>
  <si>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</si>
  <si>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</si>
  <si>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</si>
  <si>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</si>
  <si>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</si>
  <si>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</si>
  <si>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</si>
  <si>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</si>
  <si>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</si>
  <si>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</si>
  <si>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</si>
  <si>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</si>
  <si>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</si>
  <si>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</si>
  <si>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</si>
  <si>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</si>
  <si>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</si>
  <si>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</si>
  <si>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</si>
  <si>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</si>
  <si>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</si>
  <si>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</si>
  <si>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</si>
  <si>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</si>
  <si>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</si>
  <si>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</si>
  <si>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</si>
  <si>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</si>
  <si>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</si>
  <si>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</si>
  <si>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</si>
  <si>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</si>
  <si>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</si>
  <si>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</si>
  <si>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</si>
  <si>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</si>
  <si>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</si>
  <si>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</si>
  <si>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</si>
  <si>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</si>
  <si>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</si>
  <si>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</si>
  <si>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</si>
  <si>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</si>
  <si>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</si>
  <si>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</si>
  <si>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</si>
  <si>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</si>
  <si>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</si>
  <si>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</si>
  <si>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</si>
  <si>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</si>
  <si>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</si>
  <si>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</si>
  <si>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</si>
  <si>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</si>
  <si>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</si>
  <si>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</si>
  <si>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</si>
  <si>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</si>
  <si>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</si>
  <si>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</si>
  <si>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</si>
  <si>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</si>
  <si>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</si>
  <si>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</si>
  <si>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</si>
  <si>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</si>
  <si>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</si>
  <si>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</si>
  <si>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</si>
  <si>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</si>
  <si>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</si>
  <si>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</si>
  <si>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</si>
  <si>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</si>
  <si>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</si>
  <si>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</si>
  <si>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</si>
  <si>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</si>
  <si>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</si>
  <si>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</si>
  <si>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</si>
  <si>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</si>
  <si>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</si>
  <si>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</si>
  <si>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</si>
  <si>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</si>
  <si>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</si>
  <si>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</si>
  <si>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</si>
  <si>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</si>
  <si>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</si>
  <si>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</si>
  <si>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</si>
  <si>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</si>
  <si>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</si>
  <si>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</si>
  <si>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</si>
  <si>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</si>
  <si>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</si>
  <si>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</si>
  <si>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</si>
  <si>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</si>
  <si>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</si>
  <si>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</si>
  <si>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</si>
  <si>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</si>
  <si>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</si>
  <si>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</si>
  <si>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</si>
  <si>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</si>
  <si>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</si>
  <si>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</si>
  <si>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</si>
  <si>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</si>
  <si>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</si>
  <si>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</si>
  <si>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</si>
  <si>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</si>
  <si>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</si>
  <si>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</si>
  <si>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</si>
  <si>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</si>
  <si>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</si>
  <si>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</si>
  <si>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</si>
  <si>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</si>
  <si>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</si>
  <si>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</si>
  <si>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</si>
  <si>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</si>
  <si>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</si>
  <si>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</si>
  <si>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</si>
  <si>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</si>
  <si>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</si>
  <si>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</si>
  <si>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</si>
  <si>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</si>
  <si>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</si>
  <si>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</si>
  <si>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</si>
  <si>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</si>
  <si>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</si>
  <si>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</si>
  <si>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</si>
  <si>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</si>
  <si>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</si>
  <si>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</si>
  <si>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</si>
  <si>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</si>
  <si>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</si>
  <si>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</si>
  <si>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</si>
  <si>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</si>
  <si>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</si>
  <si>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</si>
  <si>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</si>
  <si>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</si>
  <si>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</si>
  <si>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</si>
  <si>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</si>
  <si>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</si>
  <si>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</si>
  <si>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</si>
  <si>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</si>
  <si>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</si>
  <si>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</si>
  <si>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</si>
  <si>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</si>
  <si>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</si>
  <si>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</si>
  <si>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</si>
  <si>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</si>
  <si>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</si>
  <si>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</si>
  <si>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</si>
  <si>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</si>
  <si>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</si>
  <si>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</si>
  <si>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</si>
  <si>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</si>
  <si>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</si>
  <si>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</si>
  <si>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</si>
  <si>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</si>
  <si>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</si>
  <si>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</si>
  <si>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</si>
  <si>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</si>
  <si>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</si>
  <si>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</si>
  <si>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</si>
  <si>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</si>
  <si>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</si>
  <si>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</si>
  <si>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</si>
  <si>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</si>
  <si>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</si>
  <si>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</si>
  <si>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</si>
  <si>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</si>
  <si>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</si>
  <si>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</si>
  <si>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</si>
  <si>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</si>
  <si>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</si>
  <si>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</si>
  <si>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</si>
  <si>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</si>
  <si>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</si>
  <si>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</si>
  <si>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</si>
  <si>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</si>
  <si>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</si>
  <si>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</si>
  <si>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</si>
  <si>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</si>
  <si>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</si>
  <si>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</si>
  <si>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</si>
  <si>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</si>
  <si>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</si>
  <si>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</si>
  <si>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</si>
  <si>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</si>
  <si>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</si>
  <si>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</si>
  <si>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</si>
  <si>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</si>
  <si>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</si>
  <si>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</si>
  <si>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</si>
  <si>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</si>
  <si>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</si>
  <si>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</si>
  <si>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</si>
  <si>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</si>
  <si>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</si>
  <si>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</si>
  <si>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</si>
  <si>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</si>
  <si>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</si>
  <si>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</si>
  <si>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</si>
  <si>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</si>
  <si>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</si>
  <si>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</si>
  <si>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</si>
  <si>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</si>
  <si>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</si>
  <si>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</si>
  <si>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</si>
  <si>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</si>
  <si>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</si>
  <si>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</si>
  <si>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</si>
  <si>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</si>
  <si>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</si>
  <si>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</si>
  <si>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</si>
  <si>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</si>
  <si>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</si>
  <si>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</si>
  <si>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</si>
  <si>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</si>
  <si>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</si>
  <si>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</si>
  <si>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</si>
  <si>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</si>
  <si>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</si>
  <si>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</si>
  <si>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</si>
  <si>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</si>
  <si>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</si>
  <si>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</si>
  <si>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</si>
  <si>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</si>
  <si>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</si>
  <si>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</si>
  <si>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</si>
  <si>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</si>
  <si>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</si>
  <si>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</si>
  <si>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</si>
  <si>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</si>
  <si>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</si>
  <si>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</si>
  <si>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</si>
  <si>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</si>
  <si>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</si>
  <si>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</si>
  <si>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</si>
  <si>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</si>
  <si>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</si>
  <si>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</si>
  <si>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</si>
  <si>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</si>
  <si>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</si>
  <si>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</si>
  <si>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</si>
  <si>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</si>
  <si>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</si>
  <si>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</si>
  <si>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</si>
  <si>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</si>
  <si>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</si>
  <si>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</si>
  <si>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</si>
  <si>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</si>
  <si>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</si>
  <si>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</si>
  <si>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</si>
  <si>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</si>
  <si>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</si>
  <si>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</si>
  <si>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</si>
  <si>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</si>
  <si>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</si>
  <si>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</si>
  <si>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</si>
  <si>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</si>
  <si>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</si>
  <si>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</si>
  <si>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</si>
  <si>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</si>
  <si>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</si>
  <si>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</si>
  <si>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</si>
  <si>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</si>
  <si>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</si>
  <si>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</si>
  <si>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</si>
  <si>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</si>
  <si>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</si>
  <si>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</si>
  <si>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</si>
  <si>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</si>
  <si>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</si>
  <si>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</si>
  <si>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</si>
  <si>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</si>
  <si>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</si>
  <si>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</si>
  <si>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</si>
  <si>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</si>
  <si>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</si>
  <si>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</si>
  <si>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</si>
  <si>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</si>
  <si>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</si>
  <si>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</si>
  <si>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</si>
  <si>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</si>
  <si>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</si>
  <si>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</si>
  <si>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</si>
  <si>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</si>
  <si>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</si>
  <si>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</si>
  <si>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</si>
  <si>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</si>
  <si>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</si>
  <si>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</si>
  <si>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</si>
  <si>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</si>
  <si>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</si>
  <si>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</si>
  <si>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</si>
  <si>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</si>
  <si>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</si>
  <si>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</si>
  <si>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</si>
  <si>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</si>
  <si>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</si>
  <si>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</si>
  <si>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</si>
  <si>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</si>
  <si>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</si>
  <si>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</si>
  <si>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</si>
  <si>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</si>
  <si>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</si>
  <si>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</si>
  <si>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</si>
  <si>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</si>
  <si>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</si>
  <si>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</si>
  <si>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</si>
  <si>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</si>
  <si>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</si>
  <si>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</si>
  <si>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</si>
  <si>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</si>
  <si>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</si>
  <si>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</si>
  <si>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</si>
  <si>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</si>
  <si>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</si>
  <si>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</si>
  <si>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</si>
  <si>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</si>
  <si>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</si>
  <si>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</si>
  <si>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</si>
  <si>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</si>
  <si>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</si>
  <si>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</si>
  <si>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</si>
  <si>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</si>
  <si>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</si>
  <si>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</si>
  <si>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</si>
  <si>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</si>
  <si>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</si>
  <si>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</si>
  <si>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</si>
  <si>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</si>
  <si>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</si>
  <si>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</si>
  <si>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</si>
  <si>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</si>
  <si>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</si>
  <si>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</si>
  <si>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</si>
  <si>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</si>
  <si>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</si>
  <si>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</si>
  <si>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</si>
  <si>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</si>
  <si>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</si>
  <si>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</si>
  <si>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</si>
  <si>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</si>
  <si>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</si>
  <si>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</si>
  <si>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</si>
  <si>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</si>
  <si>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</si>
  <si>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</si>
  <si>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</si>
  <si>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</si>
  <si>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</si>
  <si>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</si>
  <si>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</si>
  <si>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</si>
  <si>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</si>
  <si>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</si>
  <si>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</si>
  <si>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</si>
  <si>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</si>
  <si>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</si>
  <si>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</si>
  <si>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</si>
  <si>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</si>
  <si>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</si>
  <si>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</si>
  <si>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</si>
  <si>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</si>
  <si>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</si>
  <si>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</si>
  <si>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</si>
  <si>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</si>
  <si>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</si>
  <si>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</si>
  <si>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</si>
  <si>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</si>
  <si>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</si>
  <si>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</si>
  <si>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</si>
  <si>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</si>
  <si>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</si>
  <si>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</si>
  <si>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</si>
  <si>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</si>
  <si>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</si>
  <si>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</si>
  <si>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</si>
  <si>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</si>
  <si>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</si>
  <si>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</si>
  <si>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</si>
  <si>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</si>
  <si>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</si>
  <si>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</si>
  <si>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</si>
  <si>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</si>
  <si>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</si>
  <si>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</si>
  <si>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</si>
  <si>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</si>
  <si>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</si>
  <si>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</si>
  <si>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</si>
  <si>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</si>
  <si>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</si>
  <si>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</si>
  <si>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</si>
  <si>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</si>
  <si>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</si>
  <si>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</si>
  <si>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</si>
  <si>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</si>
  <si>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</si>
  <si>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</si>
  <si>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</si>
  <si>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</si>
  <si>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</si>
  <si>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</si>
  <si>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</si>
  <si>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</si>
  <si>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</si>
  <si>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</si>
  <si>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</si>
  <si>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</si>
  <si>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</si>
  <si>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</si>
  <si>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</si>
  <si>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</si>
  <si>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</si>
  <si>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</si>
  <si>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</si>
  <si>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</si>
  <si>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</si>
  <si>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</si>
  <si>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</si>
  <si>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</si>
  <si>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</si>
  <si>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</si>
  <si>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</si>
  <si>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</si>
  <si>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</si>
  <si>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</si>
  <si>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</si>
  <si>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</si>
  <si>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</si>
  <si>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</si>
  <si>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</si>
  <si>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</si>
  <si>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</si>
  <si>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</si>
  <si>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</si>
  <si>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</si>
  <si>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</si>
  <si>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</si>
  <si>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</si>
  <si>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</si>
  <si>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</si>
  <si>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</si>
  <si>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</si>
  <si>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</si>
  <si>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</si>
  <si>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</si>
  <si>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</si>
  <si>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</si>
  <si>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</si>
  <si>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</si>
  <si>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</si>
  <si>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</si>
  <si>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</si>
  <si>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</si>
  <si>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</si>
  <si>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</si>
  <si>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</si>
  <si>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</si>
  <si>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</si>
  <si>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</si>
  <si>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</si>
  <si>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</si>
  <si>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</si>
  <si>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</si>
  <si>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</si>
  <si>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</si>
  <si>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</si>
  <si>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</si>
  <si>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</si>
  <si>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</si>
  <si>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</si>
  <si>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</si>
  <si>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</si>
  <si>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</si>
  <si>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</si>
  <si>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</si>
  <si>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</si>
  <si>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</si>
  <si>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</si>
  <si>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</si>
  <si>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</si>
  <si>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</si>
  <si>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</si>
  <si>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</si>
  <si>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</si>
  <si>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</si>
  <si>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</si>
  <si>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</si>
  <si>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</si>
  <si>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</si>
  <si>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</si>
  <si>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</si>
  <si>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</si>
  <si>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</si>
  <si>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</si>
  <si>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</si>
  <si>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</si>
  <si>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</si>
  <si>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</si>
  <si>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</si>
  <si>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</si>
  <si>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</si>
  <si>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</si>
  <si>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</si>
  <si>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</si>
  <si>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</si>
  <si>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</si>
  <si>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</si>
  <si>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</si>
  <si>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</si>
  <si>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</si>
  <si>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</si>
  <si>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</si>
  <si>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</si>
  <si>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</si>
  <si>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</si>
  <si>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</si>
  <si>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</si>
  <si>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</si>
  <si>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</si>
  <si>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</si>
  <si>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</si>
  <si>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</si>
  <si>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</si>
  <si>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</si>
  <si>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</si>
  <si>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</si>
  <si>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</si>
  <si>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</si>
  <si>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</si>
  <si>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</si>
  <si>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</si>
  <si>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</si>
  <si>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</si>
  <si>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</si>
  <si>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</si>
  <si>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</si>
  <si>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</si>
  <si>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</si>
  <si>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</si>
  <si>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</si>
  <si>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</si>
  <si>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</si>
  <si>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</si>
  <si>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</si>
  <si>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</si>
  <si>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</si>
  <si>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</si>
  <si>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</si>
  <si>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</si>
  <si>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</si>
  <si>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</si>
  <si>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</si>
  <si>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</si>
  <si>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</si>
  <si>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</si>
  <si>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</si>
  <si>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</si>
  <si>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</si>
  <si>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</si>
  <si>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</si>
  <si>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</si>
  <si>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</si>
  <si>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</si>
  <si>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</si>
  <si>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</si>
  <si>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</si>
  <si>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</si>
  <si>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</si>
  <si>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</si>
  <si>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</si>
  <si>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</si>
  <si>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</si>
  <si>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</si>
  <si>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</si>
  <si>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</si>
  <si>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</si>
  <si>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</si>
  <si>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</si>
  <si>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</si>
  <si>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</si>
  <si>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</si>
  <si>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</si>
  <si>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</si>
  <si>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</si>
  <si>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</si>
  <si>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</si>
  <si>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</si>
  <si>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</si>
  <si>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</si>
  <si>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</si>
  <si>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</si>
  <si>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</si>
  <si>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</si>
  <si>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</si>
  <si>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</si>
  <si>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</si>
  <si>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</si>
  <si>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</si>
  <si>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</si>
  <si>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</si>
  <si>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</si>
  <si>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</si>
  <si>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</si>
  <si>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</si>
  <si>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</si>
  <si>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</si>
  <si>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</si>
  <si>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</si>
  <si>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</si>
  <si>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</si>
  <si>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</si>
  <si>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</si>
  <si>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</si>
  <si>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</si>
  <si>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</si>
  <si>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</si>
  <si>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</si>
  <si>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</si>
  <si>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</si>
  <si>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</si>
  <si>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</si>
  <si>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</si>
  <si>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</si>
  <si>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</si>
  <si>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</si>
  <si>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</si>
  <si>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</si>
  <si>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</si>
  <si>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</si>
  <si>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</si>
  <si>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</si>
  <si>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</si>
  <si>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</si>
  <si>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</si>
  <si>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</si>
  <si>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</si>
  <si>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</si>
  <si>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</si>
  <si>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</si>
  <si>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</si>
  <si>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</si>
  <si>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</si>
  <si>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</si>
  <si>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</si>
  <si>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</si>
  <si>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</si>
  <si>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</si>
  <si>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</si>
  <si>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</si>
  <si>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</si>
  <si>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</si>
  <si>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</si>
  <si>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</si>
  <si>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</si>
  <si>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</si>
  <si>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</si>
  <si>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</si>
  <si>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</si>
  <si>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</si>
  <si>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</si>
  <si>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</si>
  <si>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</si>
  <si>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</si>
  <si>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</si>
  <si>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</si>
  <si>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</si>
  <si>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</si>
  <si>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</si>
  <si>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</si>
  <si>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</si>
  <si>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</si>
  <si>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</si>
  <si>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</si>
  <si>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</si>
  <si>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</si>
  <si>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</si>
  <si>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</si>
  <si>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</si>
  <si>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</si>
  <si>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</si>
  <si>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</si>
  <si>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</si>
  <si>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</si>
  <si>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</si>
  <si>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</si>
  <si>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</si>
  <si>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</si>
  <si>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</si>
  <si>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</si>
  <si>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</si>
  <si>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</si>
  <si>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</si>
  <si>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</si>
  <si>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</si>
  <si>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</si>
  <si>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</si>
  <si>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</si>
  <si>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</si>
  <si>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</si>
  <si>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</si>
  <si>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</si>
  <si>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</si>
  <si>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</si>
  <si>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</si>
  <si>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</si>
  <si>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</si>
  <si>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</si>
  <si>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</si>
  <si>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</si>
  <si>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</si>
  <si>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</si>
  <si>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</si>
  <si>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</si>
  <si>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</si>
  <si>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</si>
  <si>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</si>
  <si>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</si>
  <si>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</si>
  <si>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</si>
  <si>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</si>
  <si>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</si>
  <si>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</si>
  <si>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</si>
  <si>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</si>
  <si>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</si>
  <si>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</si>
  <si>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</si>
  <si>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</si>
  <si>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</si>
  <si>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</si>
  <si>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</si>
  <si>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</si>
  <si>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</si>
  <si>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</si>
  <si>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</si>
  <si>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</si>
  <si>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</si>
  <si>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</si>
  <si>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</si>
  <si>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</si>
  <si>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</si>
  <si>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</si>
  <si>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</si>
  <si>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</si>
  <si>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</si>
  <si>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</si>
  <si>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</si>
  <si>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</si>
  <si>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</si>
  <si>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</si>
  <si>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</si>
  <si>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</si>
  <si>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</si>
  <si>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</si>
  <si>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</si>
  <si>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</si>
  <si>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</si>
  <si>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</si>
  <si>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</si>
  <si>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</si>
  <si>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</si>
  <si>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</si>
  <si>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</si>
  <si>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</si>
  <si>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</si>
  <si>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</si>
  <si>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</si>
  <si>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</si>
  <si>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</si>
  <si>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</si>
  <si>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</si>
  <si>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</si>
  <si>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</si>
  <si>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</si>
  <si>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</si>
  <si>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</si>
  <si>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</si>
  <si>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</si>
  <si>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</si>
  <si>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</si>
  <si>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</si>
  <si>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</si>
  <si>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</si>
  <si>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</si>
  <si>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</si>
  <si>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</si>
  <si>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</si>
  <si>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</si>
  <si>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</si>
  <si>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</si>
  <si>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</si>
  <si>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</si>
  <si>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</si>
  <si>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</si>
  <si>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</si>
  <si>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</si>
  <si>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</si>
  <si>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</si>
  <si>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</si>
  <si>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</si>
  <si>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</si>
  <si>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</si>
  <si>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</si>
  <si>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</si>
  <si>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</si>
  <si>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</si>
  <si>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</si>
  <si>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</si>
  <si>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</si>
  <si>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</si>
  <si>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</si>
  <si>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</si>
  <si>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</si>
  <si>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</si>
  <si>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</si>
  <si>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</si>
  <si>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</si>
  <si>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</si>
  <si>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</si>
  <si>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</si>
  <si>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</si>
  <si>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</si>
  <si>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</si>
  <si>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</si>
  <si>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</si>
  <si>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</si>
  <si>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</si>
  <si>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</si>
  <si>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</si>
  <si>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</si>
  <si>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</si>
  <si>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</si>
  <si>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</si>
  <si>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</si>
  <si>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</si>
  <si>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</si>
  <si>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</si>
  <si>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</si>
  <si>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</si>
  <si>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</si>
  <si>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</si>
  <si>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</si>
  <si>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</si>
  <si>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</si>
  <si>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</si>
  <si>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</si>
  <si>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</si>
  <si>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</si>
  <si>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</si>
  <si>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</si>
  <si>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</si>
  <si>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</si>
  <si>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</si>
  <si>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</si>
  <si>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</si>
  <si>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</si>
  <si>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</si>
  <si>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</si>
  <si>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</si>
  <si>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</si>
  <si>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</si>
  <si>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</si>
  <si>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</si>
  <si>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</si>
  <si>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</si>
  <si>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</si>
  <si>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</si>
  <si>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</si>
  <si>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</si>
  <si>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</si>
  <si>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</si>
  <si>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</si>
  <si>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</si>
  <si>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</si>
  <si>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</si>
  <si>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</si>
  <si>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</si>
  <si>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</si>
  <si>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</si>
  <si>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</si>
  <si>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</si>
  <si>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</si>
  <si>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</si>
  <si>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</si>
  <si>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</si>
  <si>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</si>
  <si>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</si>
  <si>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</si>
  <si>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</si>
  <si>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</si>
  <si>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</si>
  <si>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</si>
  <si>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</si>
  <si>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</si>
  <si>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</si>
  <si>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</si>
  <si>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</si>
  <si>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</si>
  <si>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</si>
  <si>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</si>
  <si>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</si>
  <si>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</si>
  <si>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</si>
  <si>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</si>
  <si>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</si>
  <si>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</si>
  <si>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</si>
  <si>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</si>
  <si>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</si>
  <si>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</si>
  <si>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</si>
  <si>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</si>
  <si>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</si>
  <si>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</si>
  <si>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</si>
  <si>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</si>
  <si>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</si>
  <si>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</si>
  <si>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</si>
  <si>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</si>
  <si>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</si>
  <si>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</si>
  <si>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</si>
  <si>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</si>
  <si>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</si>
  <si>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</si>
  <si>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</si>
  <si>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</si>
  <si>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</si>
  <si>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</si>
  <si>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</si>
  <si>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</si>
  <si>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</si>
  <si>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</si>
  <si>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</si>
  <si>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</si>
  <si>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</si>
  <si>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</si>
  <si>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</si>
  <si>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</si>
  <si>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</si>
  <si>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</si>
  <si>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</si>
  <si>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</si>
  <si>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</si>
  <si>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</si>
  <si>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</si>
  <si>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</si>
  <si>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</si>
  <si>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</si>
  <si>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</si>
  <si>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</si>
  <si>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</si>
  <si>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</si>
  <si>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</si>
  <si>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</si>
  <si>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</si>
  <si>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</si>
  <si>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</si>
  <si>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</si>
  <si>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</si>
  <si>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</si>
  <si>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</si>
  <si>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</si>
  <si>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</si>
  <si>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</si>
  <si>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</si>
  <si>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</si>
  <si>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</si>
  <si>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</si>
  <si>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</si>
  <si>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</si>
  <si>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</si>
  <si>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</si>
  <si>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</si>
  <si>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</si>
  <si>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</si>
  <si>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</si>
  <si>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</si>
  <si>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</si>
  <si>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</si>
  <si>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</si>
  <si>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</si>
  <si>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</si>
  <si>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</si>
  <si>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</si>
  <si>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</si>
  <si>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</si>
  <si>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</si>
  <si>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</si>
  <si>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</si>
  <si>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</si>
  <si>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</si>
  <si>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</si>
  <si>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</si>
  <si>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</si>
  <si>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</si>
  <si>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</si>
  <si>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</si>
  <si>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</si>
  <si>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</si>
  <si>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</si>
  <si>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</si>
  <si>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</si>
  <si>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</si>
  <si>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</si>
  <si>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</si>
  <si>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</si>
  <si>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</si>
  <si>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</si>
  <si>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</si>
  <si>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</si>
  <si>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</si>
  <si>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</si>
  <si>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</si>
  <si>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</si>
  <si>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</si>
  <si>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</si>
  <si>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</si>
  <si>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</si>
  <si>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</si>
  <si>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</si>
  <si>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</si>
  <si>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</si>
  <si>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</si>
  <si>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</si>
  <si>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</si>
  <si>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</si>
  <si>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</si>
  <si>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</si>
  <si>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</si>
  <si>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</si>
  <si>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</si>
  <si>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</si>
  <si>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</si>
  <si>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</si>
  <si>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</si>
  <si>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</si>
  <si>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</si>
  <si>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</si>
  <si>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</si>
  <si>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</si>
  <si>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</si>
  <si>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</si>
  <si>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</si>
  <si>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</si>
  <si>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</si>
  <si>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</si>
  <si>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</si>
  <si>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</si>
  <si>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</si>
  <si>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</si>
  <si>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</si>
  <si>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</si>
  <si>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</si>
  <si>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</si>
  <si>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</si>
  <si>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</si>
  <si>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</si>
  <si>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</si>
  <si>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</si>
  <si>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</si>
  <si>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</si>
  <si>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</si>
  <si>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</si>
  <si>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</si>
  <si>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</si>
  <si>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</si>
  <si>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</si>
  <si>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</si>
  <si>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</si>
  <si>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</si>
  <si>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</si>
  <si>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</si>
  <si>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</si>
  <si>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</si>
  <si>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</si>
  <si>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</si>
  <si>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</si>
  <si>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</si>
  <si>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</si>
  <si>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</si>
  <si>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</si>
  <si>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</si>
  <si>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</si>
  <si>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</si>
  <si>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</si>
  <si>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</si>
  <si>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</si>
  <si>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</si>
  <si>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</si>
  <si>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</si>
  <si>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</si>
  <si>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</si>
  <si>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</si>
  <si>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</si>
  <si>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</si>
  <si>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</si>
  <si>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</si>
  <si>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</si>
  <si>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</si>
  <si>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</si>
  <si>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</si>
  <si>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</si>
  <si>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</si>
  <si>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</si>
  <si>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</si>
  <si>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</si>
  <si>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</si>
  <si>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</si>
  <si>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</si>
  <si>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</si>
  <si>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</si>
  <si>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</si>
  <si>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</si>
  <si>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</si>
  <si>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</si>
  <si>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</si>
  <si>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</si>
  <si>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</si>
  <si>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</si>
  <si>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</si>
  <si>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</si>
  <si>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</si>
  <si>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</si>
  <si>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</si>
  <si>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</si>
  <si>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</si>
  <si>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</si>
  <si>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</si>
  <si>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</si>
  <si>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</si>
  <si>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</si>
  <si>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</si>
  <si>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</si>
  <si>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</si>
  <si>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</si>
  <si>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</si>
  <si>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</si>
  <si>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</si>
  <si>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</si>
  <si>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</si>
  <si>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</si>
  <si>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</si>
  <si>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</si>
  <si>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</si>
  <si>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</si>
  <si>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</si>
  <si>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</si>
  <si>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</si>
  <si>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</si>
  <si>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</si>
  <si>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</si>
  <si>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</si>
  <si>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</si>
  <si>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</si>
  <si>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</si>
  <si>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</si>
  <si>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</si>
  <si>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</si>
  <si>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</si>
  <si>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</si>
  <si>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</si>
  <si>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</si>
  <si>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</si>
  <si>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</si>
  <si>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</si>
  <si>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</si>
  <si>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</si>
  <si>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</si>
  <si>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</si>
  <si>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</si>
  <si>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</si>
  <si>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</si>
  <si>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</si>
  <si>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</si>
  <si>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</si>
  <si>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</si>
  <si>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</si>
  <si>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</si>
  <si>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</si>
  <si>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</si>
  <si>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</si>
  <si>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</si>
  <si>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</si>
  <si>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</si>
  <si>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</si>
  <si>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</si>
  <si>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</si>
  <si>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</si>
  <si>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</si>
  <si>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</si>
  <si>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</si>
  <si>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</si>
  <si>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</si>
  <si>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</si>
  <si>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</si>
  <si>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</si>
  <si>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</si>
  <si>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</si>
  <si>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</si>
  <si>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</si>
  <si>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</si>
  <si>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</si>
  <si>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</si>
  <si>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</si>
  <si>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</si>
  <si>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</si>
  <si>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</si>
  <si>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</si>
  <si>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</si>
  <si>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</si>
  <si>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</si>
  <si>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</si>
  <si>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</si>
  <si>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</si>
  <si>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</si>
  <si>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</si>
  <si>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</si>
  <si>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</si>
  <si>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</si>
  <si>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</si>
  <si>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</si>
  <si>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</si>
  <si>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</si>
  <si>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</si>
  <si>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</si>
  <si>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</si>
  <si>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</si>
  <si>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</si>
  <si>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</si>
  <si>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</si>
  <si>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</si>
  <si>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</si>
  <si>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</si>
  <si>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</si>
  <si>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</si>
  <si>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</si>
  <si>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</si>
  <si>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</si>
  <si>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</si>
  <si>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</si>
  <si>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</si>
  <si>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</si>
  <si>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</si>
  <si>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</si>
  <si>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</si>
  <si>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</si>
  <si>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</si>
  <si>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</si>
  <si>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</si>
  <si>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</si>
  <si>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</si>
  <si>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</si>
  <si>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</si>
  <si>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</si>
  <si>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</si>
  <si>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</si>
  <si>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</si>
  <si>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</si>
  <si>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</si>
  <si>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</si>
  <si>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</si>
  <si>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</si>
  <si>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</si>
  <si>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</si>
  <si>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</si>
  <si>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</si>
  <si>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</si>
  <si>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</si>
  <si>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</si>
  <si>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</si>
  <si>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</si>
  <si>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</si>
  <si>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</si>
  <si>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</si>
  <si>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</si>
  <si>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</si>
  <si>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</si>
  <si>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</si>
  <si>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</si>
  <si>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</si>
  <si>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</si>
  <si>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</si>
  <si>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</si>
  <si>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</si>
  <si>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</si>
  <si>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</si>
  <si>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</si>
  <si>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</si>
  <si>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</si>
  <si>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</si>
  <si>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</si>
  <si>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</si>
  <si>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</si>
  <si>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</si>
  <si>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</si>
  <si>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</si>
  <si>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</si>
  <si>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</si>
  <si>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</si>
  <si>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</si>
  <si>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</si>
  <si>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</si>
  <si>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</si>
  <si>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</si>
  <si>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</si>
  <si>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</si>
  <si>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</si>
  <si>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</si>
  <si>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</si>
  <si>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</si>
  <si>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</si>
  <si>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</si>
  <si>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</si>
  <si>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</si>
  <si>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</si>
  <si>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</si>
  <si>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</si>
  <si>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</si>
  <si>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</si>
  <si>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</si>
  <si>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</si>
  <si>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</si>
  <si>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</si>
  <si>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</si>
  <si>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</si>
  <si>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</si>
  <si>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</si>
  <si>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</si>
  <si>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</si>
  <si>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</si>
  <si>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</si>
  <si>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</si>
  <si>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</si>
  <si>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</si>
  <si>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</si>
  <si>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</si>
  <si>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</si>
  <si>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</si>
  <si>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</si>
  <si>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</si>
  <si>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</si>
  <si>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</si>
  <si>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</si>
  <si>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</si>
  <si>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</si>
  <si>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</si>
  <si>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</si>
  <si>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</si>
  <si>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</si>
  <si>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</si>
  <si>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</si>
  <si>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</si>
  <si>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</si>
  <si>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</si>
  <si>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</si>
  <si>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</si>
  <si>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</si>
  <si>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</si>
  <si>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</si>
  <si>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</si>
  <si>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</si>
  <si>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</si>
  <si>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</si>
  <si>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</si>
  <si>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</si>
  <si>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</si>
  <si>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</si>
  <si>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</si>
  <si>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</si>
  <si>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</si>
  <si>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</si>
  <si>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</si>
  <si>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</si>
  <si>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</si>
  <si>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</si>
  <si>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</si>
  <si>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</si>
  <si>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</si>
  <si>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</si>
  <si>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</si>
  <si>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</si>
  <si>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</si>
  <si>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</si>
  <si>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</si>
  <si>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</si>
  <si>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</si>
  <si>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</si>
  <si>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</si>
  <si>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</si>
  <si>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</si>
  <si>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</si>
  <si>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</si>
  <si>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</si>
  <si>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</si>
  <si>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</si>
  <si>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</si>
  <si>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</si>
  <si>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</si>
  <si>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</si>
  <si>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</si>
  <si>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</si>
  <si>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</si>
  <si>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</si>
  <si>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</si>
  <si>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</si>
  <si>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</si>
  <si>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</si>
  <si>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</si>
  <si>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</si>
  <si>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</si>
  <si>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</si>
  <si>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</si>
  <si>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</si>
  <si>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</si>
  <si>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</si>
  <si>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</si>
  <si>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</si>
  <si>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</si>
  <si>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</si>
  <si>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</si>
  <si>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</si>
  <si>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</si>
  <si>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</si>
  <si>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</si>
  <si>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</si>
  <si>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</si>
  <si>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</si>
  <si>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</si>
  <si>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</si>
  <si>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</si>
  <si>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</si>
  <si>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</si>
  <si>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</si>
  <si>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</si>
  <si>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</si>
  <si>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</si>
  <si>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</si>
  <si>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</si>
  <si>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</si>
  <si>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</si>
  <si>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</si>
  <si>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</si>
  <si>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</si>
  <si>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</si>
  <si>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</si>
  <si>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</si>
  <si>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</si>
  <si>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</si>
  <si>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</si>
  <si>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</si>
  <si>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</si>
  <si>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</si>
  <si>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</si>
  <si>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</si>
  <si>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</si>
  <si>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</si>
  <si>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</si>
  <si>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</si>
  <si>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</si>
  <si>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</si>
  <si>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</si>
  <si>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</si>
  <si>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</si>
  <si>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</si>
  <si>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</si>
  <si>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</si>
  <si>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</si>
  <si>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</si>
  <si>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</si>
  <si>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</si>
  <si>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</si>
  <si>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</si>
  <si>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</si>
  <si>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</si>
  <si>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</si>
  <si>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</si>
  <si>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</si>
  <si>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</si>
  <si>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</si>
  <si>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</si>
  <si>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</si>
  <si>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</si>
  <si>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</si>
  <si>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</si>
  <si>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</si>
  <si>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</si>
  <si>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</si>
  <si>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</si>
  <si>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</si>
  <si>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</si>
  <si>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</si>
  <si>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</si>
  <si>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</si>
  <si>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</si>
  <si>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</si>
  <si>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</si>
  <si>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</si>
  <si>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</si>
  <si>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</si>
  <si>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</si>
  <si>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</si>
  <si>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</si>
  <si>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</si>
  <si>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</si>
  <si>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</si>
  <si>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</si>
  <si>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</si>
  <si>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</si>
  <si>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</si>
  <si>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</si>
  <si>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</si>
  <si>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</si>
  <si>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</si>
  <si>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</si>
  <si>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</si>
  <si>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</si>
  <si>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</si>
  <si>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</si>
  <si>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</si>
  <si>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</si>
  <si>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</si>
  <si>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</si>
  <si>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</si>
  <si>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</si>
  <si>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</si>
  <si>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</si>
  <si>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</si>
  <si>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</si>
  <si>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</si>
  <si>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</si>
  <si>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</si>
  <si>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</si>
  <si>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</si>
  <si>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</si>
  <si>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</si>
  <si>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</si>
  <si>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</si>
  <si>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</si>
  <si>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</si>
  <si>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</si>
  <si>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</si>
  <si>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</si>
  <si>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</si>
  <si>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</si>
  <si>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</si>
  <si>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</si>
  <si>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</si>
  <si>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</si>
  <si>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</si>
  <si>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</si>
  <si>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</si>
  <si>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</si>
  <si>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</si>
  <si>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</si>
  <si>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</si>
  <si>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</si>
  <si>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</si>
  <si>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</si>
  <si>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</si>
  <si>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</si>
  <si>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</si>
  <si>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</si>
  <si>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</si>
  <si>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</si>
  <si>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</si>
  <si>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</si>
  <si>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</si>
  <si>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</si>
  <si>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</si>
  <si>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</si>
  <si>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</si>
  <si>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</si>
  <si>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</si>
  <si>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</si>
  <si>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</si>
  <si>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</si>
  <si>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</si>
  <si>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</si>
  <si>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</si>
  <si>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</si>
  <si>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</si>
  <si>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</si>
  <si>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</si>
  <si>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</si>
  <si>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</si>
  <si>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</si>
  <si>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</si>
  <si>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</si>
  <si>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</si>
  <si>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</si>
  <si>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</si>
  <si>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</si>
  <si>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</si>
  <si>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</si>
  <si>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</si>
  <si>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</si>
  <si>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</si>
  <si>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</si>
  <si>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</si>
  <si>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</si>
  <si>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</si>
  <si>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</si>
  <si>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</si>
  <si>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</si>
  <si>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</si>
  <si>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</si>
  <si>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</si>
  <si>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</si>
  <si>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</si>
  <si>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</si>
  <si>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</si>
  <si>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</si>
  <si>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</si>
  <si>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</si>
  <si>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</si>
  <si>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</si>
  <si>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</si>
  <si>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</si>
  <si>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</si>
  <si>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</si>
  <si>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</si>
  <si>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</si>
  <si>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</si>
  <si>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</si>
  <si>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</si>
  <si>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</si>
  <si>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</si>
  <si>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</si>
  <si>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</si>
  <si>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</si>
  <si>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</si>
  <si>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</si>
  <si>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</si>
  <si>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</si>
  <si>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</si>
  <si>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</si>
  <si>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</si>
  <si>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</si>
  <si>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</si>
  <si>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</si>
  <si>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</si>
  <si>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</si>
  <si>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</si>
  <si>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</si>
  <si>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</si>
  <si>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</si>
  <si>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</si>
  <si>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</si>
  <si>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</si>
  <si>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</si>
  <si>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</si>
  <si>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</si>
  <si>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</si>
  <si>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</si>
  <si>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</si>
  <si>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</si>
  <si>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</si>
  <si>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</si>
  <si>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</si>
  <si>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</si>
  <si>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</si>
  <si>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</si>
  <si>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</si>
  <si>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</si>
  <si>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</si>
  <si>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</si>
  <si>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</si>
  <si>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</si>
  <si>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</si>
  <si>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</si>
  <si>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</si>
  <si>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</si>
  <si>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</si>
  <si>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</si>
  <si>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</si>
  <si>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</si>
  <si>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</si>
  <si>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</si>
  <si>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</si>
  <si>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</si>
  <si>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</si>
  <si>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</si>
  <si>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</si>
  <si>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</si>
  <si>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</si>
  <si>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</si>
  <si>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</si>
  <si>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</si>
  <si>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</si>
  <si>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</si>
  <si>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</si>
  <si>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</si>
  <si>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</si>
  <si>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</si>
  <si>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</si>
  <si>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</si>
  <si>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</si>
  <si>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</si>
  <si>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</si>
  <si>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</si>
  <si>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</si>
  <si>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</si>
  <si>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</si>
  <si>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</si>
  <si>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</si>
  <si>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</si>
  <si>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</si>
  <si>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</si>
  <si>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</si>
  <si>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</si>
  <si>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</si>
  <si>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</si>
  <si>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</si>
  <si>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</si>
  <si>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</si>
  <si>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</si>
  <si>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</si>
  <si>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</si>
  <si>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</si>
  <si>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</si>
  <si>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</si>
  <si>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</si>
  <si>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</si>
  <si>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</si>
  <si>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</si>
  <si>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</si>
  <si>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</si>
  <si>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</si>
  <si>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</si>
  <si>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</si>
  <si>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</si>
  <si>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</si>
  <si>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</si>
  <si>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</si>
  <si>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</si>
  <si>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</si>
  <si>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</si>
  <si>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</si>
  <si>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</si>
  <si>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</si>
  <si>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</si>
  <si>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</si>
  <si>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</si>
  <si>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</si>
  <si>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</si>
  <si>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</si>
  <si>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</si>
  <si>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</si>
  <si>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</si>
  <si>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</si>
  <si>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</si>
  <si>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</si>
  <si>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</si>
  <si>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</si>
  <si>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</si>
  <si>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</si>
  <si>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</si>
  <si>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</si>
  <si>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</si>
  <si>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</si>
  <si>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</si>
  <si>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</si>
  <si>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</si>
  <si>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</si>
  <si>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</si>
  <si>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</si>
  <si>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</si>
  <si>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</si>
  <si>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</si>
  <si>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</si>
  <si>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</si>
  <si>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</si>
  <si>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</si>
  <si>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</si>
  <si>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</si>
  <si>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</si>
  <si>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</si>
  <si>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</si>
  <si>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</si>
  <si>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</si>
  <si>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</si>
  <si>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</si>
  <si>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</si>
  <si>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</si>
  <si>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</si>
  <si>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</si>
  <si>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</si>
  <si>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</si>
  <si>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</si>
  <si>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</si>
  <si>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</si>
  <si>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</si>
  <si>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</si>
  <si>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</si>
  <si>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</si>
  <si>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</si>
  <si>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</si>
  <si>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</si>
  <si>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</si>
  <si>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</si>
  <si>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</si>
  <si>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</si>
  <si>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</si>
  <si>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</si>
  <si>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</si>
  <si>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</si>
  <si>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</si>
  <si>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</si>
  <si>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</si>
  <si>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</si>
  <si>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</si>
  <si>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</si>
  <si>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</si>
  <si>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</si>
  <si>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</si>
  <si>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</si>
  <si>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</si>
  <si>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</si>
  <si>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</si>
  <si>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</si>
  <si>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</si>
  <si>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</si>
  <si>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</si>
  <si>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</si>
  <si>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</si>
  <si>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</si>
  <si>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</si>
  <si>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</si>
  <si>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</si>
  <si>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</si>
  <si>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</si>
  <si>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</si>
  <si>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</si>
  <si>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</si>
  <si>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</si>
  <si>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</si>
  <si>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</si>
  <si>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</si>
  <si>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</si>
  <si>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</si>
  <si>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</si>
  <si>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</si>
  <si>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</si>
  <si>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</si>
  <si>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</si>
  <si>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</si>
  <si>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</si>
  <si>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</si>
  <si>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</si>
  <si>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</si>
  <si>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</si>
  <si>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</si>
  <si>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</si>
  <si>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</si>
  <si>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</si>
  <si>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</si>
  <si>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</si>
  <si>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</si>
  <si>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</si>
  <si>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</si>
  <si>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</si>
  <si>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</si>
  <si>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</si>
  <si>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</si>
  <si>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</si>
  <si>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</si>
  <si>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</si>
  <si>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</si>
  <si>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</si>
  <si>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</si>
  <si>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</si>
  <si>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</si>
  <si>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</si>
  <si>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</si>
  <si>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</si>
  <si>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</si>
  <si>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</si>
  <si>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</si>
  <si>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</si>
  <si>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</si>
  <si>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</si>
  <si>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</si>
  <si>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</si>
  <si>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</si>
  <si>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</si>
  <si>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</si>
  <si>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</si>
  <si>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</si>
  <si>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</si>
  <si>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</si>
  <si>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</si>
  <si>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</si>
  <si>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</si>
  <si>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</si>
  <si>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</si>
  <si>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</si>
  <si>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</si>
  <si>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</si>
  <si>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</si>
  <si>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</si>
  <si>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</si>
  <si>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</si>
  <si>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</si>
  <si>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</si>
  <si>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</si>
  <si>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</si>
  <si>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</si>
  <si>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</si>
  <si>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</si>
  <si>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</si>
  <si>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</si>
  <si>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</si>
  <si>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</si>
  <si>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</si>
  <si>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</si>
  <si>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</si>
  <si>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</si>
  <si>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</si>
  <si>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</si>
  <si>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</si>
  <si>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</si>
  <si>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</si>
  <si>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</si>
  <si>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</si>
  <si>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</si>
  <si>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</si>
  <si>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</si>
  <si>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</si>
  <si>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</si>
  <si>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</si>
  <si>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</si>
  <si>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</si>
  <si>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</si>
  <si>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</si>
  <si>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</si>
  <si>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</si>
  <si>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</si>
  <si>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</si>
  <si>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</si>
  <si>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</si>
  <si>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</si>
  <si>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</si>
  <si>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</si>
  <si>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</si>
  <si>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</si>
  <si>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</si>
  <si>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</si>
  <si>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</si>
  <si>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</si>
  <si>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</si>
  <si>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</si>
  <si>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</si>
  <si>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</si>
  <si>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</si>
  <si>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</si>
  <si>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</si>
  <si>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</si>
  <si>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</si>
  <si>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</si>
  <si>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</si>
  <si>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</si>
  <si>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</si>
  <si>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</si>
  <si>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</si>
  <si>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</si>
  <si>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</si>
  <si>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</si>
  <si>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</si>
  <si>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</si>
  <si>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</si>
  <si>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</si>
  <si>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</si>
  <si>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</si>
  <si>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</si>
  <si>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</si>
  <si>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</si>
  <si>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</si>
  <si>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</si>
  <si>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</si>
  <si>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</si>
  <si>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</si>
  <si>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</si>
  <si>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</si>
  <si>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</si>
  <si>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</si>
  <si>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</si>
  <si>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</si>
  <si>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</si>
  <si>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</si>
  <si>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</si>
  <si>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</si>
  <si>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</si>
  <si>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</si>
  <si>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</si>
  <si>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</si>
  <si>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</si>
  <si>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</si>
  <si>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</si>
  <si>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</si>
  <si>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</si>
  <si>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</si>
  <si>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</si>
  <si>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</si>
  <si>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</si>
  <si>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</si>
  <si>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</si>
  <si>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</si>
  <si>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</si>
  <si>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</si>
  <si>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</si>
  <si>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</si>
  <si>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</si>
  <si>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</si>
  <si>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</si>
  <si>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</si>
  <si>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</si>
  <si>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</si>
  <si>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</si>
  <si>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</si>
  <si>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</si>
  <si>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</si>
  <si>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</si>
  <si>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</si>
  <si>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</si>
  <si>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</si>
  <si>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</si>
  <si>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</si>
  <si>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</si>
  <si>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</si>
  <si>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</si>
  <si>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</si>
  <si>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</si>
  <si>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</si>
  <si>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</si>
  <si>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</si>
  <si>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</si>
  <si>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</si>
  <si>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</si>
  <si>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</si>
  <si>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</si>
  <si>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</si>
  <si>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</si>
  <si>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</si>
  <si>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</si>
  <si>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</si>
  <si>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</si>
  <si>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</si>
  <si>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</si>
  <si>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</si>
  <si>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</si>
  <si>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</si>
  <si>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</si>
  <si>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</si>
  <si>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</si>
  <si>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</si>
  <si>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</si>
  <si>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</si>
  <si>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</si>
  <si>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</si>
  <si>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</si>
  <si>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</si>
  <si>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</si>
  <si>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</si>
  <si>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</si>
  <si>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</si>
  <si>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</si>
  <si>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</si>
  <si>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</si>
  <si>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</si>
  <si>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</si>
  <si>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</si>
  <si>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</si>
  <si>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</si>
  <si>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</si>
  <si>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</si>
  <si>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</si>
  <si>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</si>
  <si>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</si>
  <si>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</si>
  <si>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</si>
  <si>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</si>
  <si>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</si>
  <si>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</si>
  <si>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</si>
  <si>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</si>
  <si>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</si>
  <si>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</si>
  <si>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</si>
  <si>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</si>
  <si>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</si>
  <si>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</si>
  <si>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</si>
  <si>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</si>
  <si>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</si>
  <si>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</si>
  <si>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</si>
  <si>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</si>
  <si>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</si>
  <si>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</si>
  <si>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</si>
  <si>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</si>
  <si>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</si>
  <si>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</si>
  <si>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</si>
  <si>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</si>
  <si>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</si>
  <si>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</si>
  <si>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</si>
  <si>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</si>
  <si>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</si>
  <si>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</si>
  <si>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</si>
  <si>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</si>
  <si>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</si>
  <si>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</si>
  <si>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</si>
  <si>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</si>
  <si>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</si>
  <si>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</si>
  <si>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</si>
  <si>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</si>
  <si>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</si>
  <si>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</si>
  <si>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</si>
  <si>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</si>
  <si>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</si>
  <si>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</si>
  <si>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</si>
  <si>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</si>
  <si>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</si>
  <si>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</si>
  <si>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</si>
  <si>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</si>
  <si>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</si>
  <si>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</si>
  <si>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</si>
  <si>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</si>
  <si>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</si>
  <si>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</si>
  <si>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</si>
  <si>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</si>
  <si>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</si>
  <si>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</si>
  <si>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</si>
  <si>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</si>
  <si>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</si>
  <si>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</si>
  <si>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</si>
  <si>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</si>
  <si>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</si>
  <si>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</si>
  <si>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</si>
  <si>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</si>
  <si>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</si>
  <si>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</si>
  <si>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</si>
  <si>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</si>
  <si>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</si>
  <si>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</si>
  <si>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</si>
  <si>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</si>
  <si>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</si>
  <si>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</si>
  <si>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</si>
  <si>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</si>
  <si>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</si>
  <si>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</si>
  <si>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</si>
  <si>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</si>
  <si>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</si>
  <si>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</si>
  <si>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</si>
  <si>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</si>
  <si>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</si>
  <si>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</si>
  <si>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</si>
  <si>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</si>
  <si>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</si>
  <si>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</si>
  <si>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</si>
  <si>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</si>
  <si>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</si>
  <si>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</si>
  <si>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</si>
  <si>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</si>
  <si>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</si>
  <si>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</si>
  <si>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</si>
  <si>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</si>
  <si>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</si>
  <si>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</si>
  <si>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</si>
  <si>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</si>
  <si>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</si>
  <si>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</si>
  <si>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</si>
  <si>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</si>
  <si>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</si>
  <si>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</si>
  <si>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</si>
  <si>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</si>
  <si>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</si>
  <si>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</si>
  <si>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</si>
  <si>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</si>
  <si>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</si>
  <si>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</si>
  <si>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</si>
  <si>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</si>
  <si>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</si>
  <si>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</si>
  <si>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</si>
  <si>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</si>
  <si>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</si>
  <si>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</si>
  <si>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</si>
  <si>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</si>
  <si>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</si>
  <si>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</si>
  <si>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</si>
  <si>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</si>
  <si>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</si>
  <si>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</si>
  <si>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</si>
  <si>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</si>
  <si>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</si>
  <si>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</si>
  <si>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</si>
  <si>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</si>
  <si>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</si>
  <si>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</si>
  <si>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</si>
  <si>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</si>
  <si>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</si>
  <si>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</si>
  <si>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</si>
  <si>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</si>
  <si>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</si>
  <si>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</si>
  <si>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</si>
  <si>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</si>
  <si>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</si>
  <si>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</si>
  <si>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</si>
  <si>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</si>
  <si>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</si>
  <si>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</si>
  <si>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</si>
  <si>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</si>
  <si>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</si>
  <si>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</si>
  <si>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</si>
  <si>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</si>
  <si>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</si>
  <si>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</si>
  <si>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</si>
  <si>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</si>
  <si>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</si>
  <si>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</si>
  <si>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</si>
  <si>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</si>
  <si>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</si>
  <si>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</si>
  <si>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</si>
  <si>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</si>
  <si>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</si>
  <si>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</si>
  <si>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</si>
  <si>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</si>
  <si>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</si>
  <si>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</si>
  <si>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</si>
  <si>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</si>
  <si>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</si>
  <si>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</si>
  <si>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</si>
  <si>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</si>
  <si>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</si>
  <si>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</si>
  <si>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</si>
  <si>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</si>
  <si>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</si>
  <si>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</si>
  <si>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</si>
  <si>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</si>
  <si>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</si>
  <si>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</si>
  <si>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</si>
  <si>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</si>
  <si>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</si>
  <si>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</si>
  <si>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</si>
  <si>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</si>
  <si>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</si>
  <si>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</si>
  <si>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</si>
  <si>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</si>
  <si>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</si>
  <si>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</si>
  <si>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</si>
  <si>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</si>
  <si>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</si>
  <si>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</si>
  <si>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</si>
  <si>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</si>
  <si>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</si>
  <si>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</si>
  <si>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</si>
  <si>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</si>
  <si>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</si>
  <si>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</si>
  <si>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</si>
  <si>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</si>
  <si>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</si>
  <si>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</si>
  <si>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</si>
  <si>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</si>
  <si>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</si>
  <si>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</si>
  <si>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</si>
  <si>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</si>
  <si>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</si>
  <si>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</si>
  <si>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</si>
  <si>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</si>
  <si>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</si>
  <si>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</si>
  <si>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</si>
  <si>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</si>
  <si>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</si>
  <si>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</si>
  <si>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</si>
  <si>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</si>
  <si>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</si>
  <si>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</si>
  <si>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</si>
  <si>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</si>
  <si>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</si>
  <si>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</si>
  <si>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</si>
  <si>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</si>
  <si>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</si>
  <si>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</si>
  <si>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</si>
  <si>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</si>
  <si>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</si>
  <si>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</si>
  <si>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</si>
  <si>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</si>
  <si>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</si>
  <si>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</si>
  <si>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</si>
  <si>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</si>
  <si>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</si>
  <si>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</si>
  <si>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</si>
  <si>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</si>
  <si>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</si>
  <si>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</si>
  <si>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</si>
  <si>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</si>
  <si>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</si>
  <si>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</si>
  <si>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</si>
  <si>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</si>
  <si>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</si>
  <si>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</si>
  <si>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</si>
  <si>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</si>
  <si>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</si>
  <si>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</si>
  <si>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</si>
  <si>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</si>
  <si>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</si>
  <si>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</si>
  <si>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</si>
  <si>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</si>
  <si>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</si>
  <si>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</si>
  <si>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</si>
  <si>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</si>
  <si>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</si>
  <si>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</si>
  <si>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</si>
  <si>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</si>
  <si>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</si>
  <si>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</si>
  <si>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</si>
  <si>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</si>
  <si>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</si>
  <si>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</si>
  <si>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</si>
  <si>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</si>
  <si>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</si>
  <si>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</si>
  <si>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</si>
  <si>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</si>
  <si>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</si>
  <si>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</si>
  <si>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</si>
  <si>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</si>
  <si>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</si>
  <si>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</si>
  <si>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</si>
  <si>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</si>
  <si>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</si>
  <si>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</si>
  <si>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</si>
  <si>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</si>
  <si>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</si>
  <si>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</si>
  <si>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</si>
  <si>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</si>
  <si>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</si>
  <si>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</si>
  <si>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</si>
  <si>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</si>
  <si>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</si>
  <si>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</si>
  <si>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</si>
  <si>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</si>
  <si>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</si>
  <si>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</si>
  <si>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</si>
  <si>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</si>
  <si>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</si>
  <si>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</si>
  <si>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</si>
  <si>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</si>
  <si>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</si>
  <si>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</si>
  <si>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</si>
  <si>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</si>
  <si>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</si>
  <si>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</si>
  <si>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</si>
  <si>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</si>
  <si>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</si>
  <si>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</si>
  <si>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</si>
  <si>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</si>
  <si>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</si>
  <si>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</si>
  <si>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</si>
  <si>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</si>
  <si>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</si>
  <si>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</si>
  <si>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</si>
  <si>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</si>
  <si>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</si>
  <si>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</si>
  <si>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</si>
  <si>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</si>
  <si>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</si>
  <si>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</si>
  <si>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</si>
  <si>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</si>
  <si>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</si>
  <si>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</si>
  <si>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</si>
  <si>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</si>
  <si>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</si>
  <si>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</si>
  <si>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</si>
  <si>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</si>
  <si>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</si>
  <si>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</si>
  <si>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</si>
  <si>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</si>
  <si>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</si>
  <si>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</si>
  <si>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</si>
  <si>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</si>
  <si>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</si>
  <si>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</si>
  <si>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</si>
  <si>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</si>
  <si>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</si>
  <si>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</si>
  <si>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</si>
  <si>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</si>
  <si>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</si>
  <si>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</si>
  <si>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</si>
  <si>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</si>
  <si>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</si>
  <si>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</si>
  <si>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</si>
  <si>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</si>
  <si>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</si>
  <si>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</si>
  <si>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</si>
  <si>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</si>
  <si>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</si>
  <si>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</si>
  <si>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</si>
  <si>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</si>
  <si>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</si>
  <si>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</si>
  <si>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</si>
  <si>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</si>
  <si>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</si>
  <si>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</si>
  <si>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</si>
  <si>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</si>
  <si>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</si>
  <si>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</si>
  <si>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</si>
  <si>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</si>
  <si>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</si>
  <si>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</si>
  <si>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</si>
  <si>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</si>
  <si>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</si>
  <si>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</si>
  <si>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</si>
  <si>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</si>
  <si>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</si>
  <si>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</si>
  <si>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</si>
  <si>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</si>
  <si>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</si>
  <si>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</si>
  <si>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</si>
  <si>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</si>
  <si>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</si>
  <si>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</si>
  <si>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</si>
  <si>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</si>
  <si>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</si>
  <si>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</si>
  <si>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</si>
  <si>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</si>
  <si>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</si>
  <si>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</si>
  <si>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</si>
  <si>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</si>
  <si>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</si>
  <si>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</si>
  <si>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</si>
  <si>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</si>
  <si>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</si>
  <si>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</si>
  <si>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</si>
  <si>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</si>
  <si>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</si>
  <si>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</si>
  <si>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</si>
  <si>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</si>
  <si>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</si>
  <si>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</si>
  <si>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</si>
  <si>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</si>
  <si>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</si>
  <si>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</si>
  <si>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</si>
  <si>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</si>
  <si>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</si>
  <si>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</si>
  <si>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</si>
  <si>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</si>
  <si>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</si>
  <si>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</si>
  <si>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</si>
  <si>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</si>
  <si>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</si>
  <si>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</si>
  <si>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</si>
  <si>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</si>
  <si>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</si>
  <si>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</si>
  <si>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</si>
  <si>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</si>
  <si>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</si>
  <si>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</si>
  <si>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</si>
  <si>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</si>
  <si>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</si>
  <si>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</si>
  <si>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</si>
  <si>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</si>
  <si>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</si>
  <si>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</si>
  <si>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</si>
  <si>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</si>
  <si>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</si>
  <si>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</si>
  <si>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</si>
  <si>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</si>
  <si>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</si>
  <si>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</si>
  <si>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</si>
  <si>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</si>
  <si>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</si>
  <si>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</si>
  <si>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</si>
  <si>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</si>
  <si>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</si>
  <si>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</si>
  <si>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</si>
  <si>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</si>
  <si>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</si>
  <si>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</si>
  <si>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</si>
  <si>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</si>
  <si>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</si>
  <si>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</si>
  <si>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</si>
  <si>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</si>
  <si>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</si>
  <si>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</si>
  <si>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</si>
  <si>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</si>
  <si>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</si>
  <si>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</si>
  <si>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</si>
  <si>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</si>
  <si>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</si>
  <si>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</si>
  <si>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</si>
  <si>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</si>
  <si>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</si>
  <si>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</si>
  <si>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</si>
  <si>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</si>
  <si>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</si>
  <si>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</si>
  <si>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</si>
  <si>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</si>
  <si>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</si>
  <si>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</si>
  <si>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</si>
  <si>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</si>
  <si>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</si>
  <si>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</si>
  <si>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</si>
  <si>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</si>
  <si>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</si>
  <si>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</si>
  <si>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</si>
  <si>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</si>
  <si>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</si>
  <si>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</si>
  <si>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</si>
  <si>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</si>
  <si>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</si>
  <si>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</si>
  <si>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</si>
  <si>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</si>
  <si>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</si>
  <si>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</si>
  <si>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</si>
  <si>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</si>
  <si>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</si>
  <si>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</si>
  <si>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</si>
  <si>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</si>
  <si>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</si>
  <si>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</si>
  <si>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</si>
  <si>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</si>
  <si>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</si>
  <si>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</si>
  <si>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</si>
  <si>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</si>
  <si>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</si>
  <si>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</si>
  <si>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</si>
  <si>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</si>
  <si>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</si>
  <si>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</si>
  <si>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</si>
  <si>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</si>
  <si>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</si>
  <si>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</si>
  <si>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</si>
  <si>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</si>
  <si>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</si>
  <si>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</si>
  <si>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</si>
  <si>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</si>
  <si>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</si>
  <si>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</si>
  <si>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</si>
  <si>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</si>
  <si>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</si>
  <si>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</si>
  <si>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</si>
  <si>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</si>
  <si>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</si>
  <si>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</si>
  <si>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</si>
  <si>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</si>
  <si>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</si>
  <si>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</si>
  <si>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</si>
  <si>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</si>
  <si>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</si>
  <si>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</si>
  <si>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</si>
  <si>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</si>
  <si>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</si>
  <si>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</si>
  <si>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</si>
  <si>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</si>
  <si>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</si>
  <si>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</si>
  <si>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</si>
  <si>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</si>
  <si>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</si>
  <si>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</si>
  <si>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</si>
  <si>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</si>
  <si>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</si>
  <si>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</si>
  <si>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</si>
  <si>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</si>
  <si>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</si>
  <si>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</si>
  <si>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</si>
  <si>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</si>
  <si>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</si>
  <si>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</si>
  <si>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</si>
  <si>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</si>
  <si>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</si>
  <si>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</si>
  <si>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</si>
  <si>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</si>
  <si>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</si>
  <si>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</si>
  <si>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</si>
  <si>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</si>
  <si>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</si>
  <si>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</si>
  <si>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</si>
  <si>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</si>
  <si>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</si>
  <si>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</si>
  <si>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</si>
  <si>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</si>
  <si>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</si>
  <si>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</si>
  <si>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</si>
  <si>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</si>
  <si>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</si>
  <si>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</si>
  <si>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</si>
  <si>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</si>
  <si>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</si>
  <si>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</si>
  <si>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</si>
  <si>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</si>
  <si>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</si>
  <si>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</si>
  <si>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</si>
  <si>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</si>
  <si>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</si>
  <si>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</si>
  <si>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</si>
  <si>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</si>
  <si>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</si>
  <si>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</si>
  <si>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</si>
  <si>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</si>
  <si>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</si>
  <si>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</si>
  <si>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</si>
  <si>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</si>
  <si>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</si>
  <si>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</si>
  <si>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</si>
  <si>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</si>
  <si>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</si>
  <si>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</si>
  <si>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</si>
  <si>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</si>
  <si>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</si>
  <si>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</si>
  <si>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</si>
  <si>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</si>
  <si>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</si>
  <si>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</si>
  <si>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</si>
  <si>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</si>
  <si>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</si>
  <si>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</si>
  <si>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</si>
  <si>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</si>
  <si>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</si>
  <si>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</si>
  <si>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</si>
  <si>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</si>
  <si>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</si>
  <si>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</si>
  <si>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</si>
  <si>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</si>
  <si>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</si>
  <si>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</si>
  <si>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</si>
  <si>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</si>
  <si>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</si>
  <si>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</si>
  <si>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</si>
  <si>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</si>
  <si>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</si>
  <si>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</si>
  <si>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</si>
  <si>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</si>
  <si>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</si>
  <si>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</si>
  <si>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</si>
  <si>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</si>
  <si>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</si>
  <si>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</si>
  <si>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</si>
  <si>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</si>
  <si>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</si>
  <si>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</si>
  <si>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</si>
  <si>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</si>
  <si>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</si>
  <si>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</si>
  <si>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</si>
  <si>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</si>
  <si>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</si>
  <si>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</si>
  <si>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</si>
  <si>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</si>
  <si>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</si>
  <si>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</si>
  <si>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</si>
  <si>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</si>
  <si>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</si>
  <si>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</si>
  <si>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</si>
  <si>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</si>
  <si>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</si>
  <si>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</si>
  <si>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</si>
  <si>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</si>
  <si>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</si>
  <si>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</si>
  <si>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</si>
  <si>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</si>
  <si>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</si>
  <si>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</si>
  <si>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</si>
  <si>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</si>
  <si>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</si>
  <si>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</si>
  <si>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</si>
  <si>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</si>
  <si>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</si>
  <si>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</si>
  <si>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</si>
  <si>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</si>
  <si>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</si>
  <si>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</si>
  <si>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</si>
  <si>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</si>
  <si>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</si>
  <si>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</si>
  <si>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</si>
  <si>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</si>
  <si>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</si>
  <si>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</si>
  <si>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</si>
  <si>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</si>
  <si>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</si>
  <si>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</si>
  <si>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</si>
  <si>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</si>
  <si>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</si>
  <si>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</si>
  <si>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</si>
  <si>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</si>
  <si>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</si>
  <si>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</si>
  <si>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</si>
  <si>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</si>
  <si>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</si>
  <si>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</si>
  <si>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</si>
  <si>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</si>
  <si>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</si>
  <si>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</si>
  <si>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</si>
  <si>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</si>
  <si>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</si>
  <si>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</si>
  <si>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</si>
  <si>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</si>
  <si>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</si>
  <si>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</si>
  <si>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</si>
  <si>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</si>
  <si>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</si>
  <si>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</si>
  <si>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</si>
  <si>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</si>
  <si>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</si>
  <si>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</si>
  <si>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</si>
  <si>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</si>
  <si>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</si>
  <si>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</si>
  <si>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</si>
  <si>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</si>
  <si>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</si>
  <si>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</si>
  <si>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</si>
  <si>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</si>
  <si>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</si>
  <si>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</si>
  <si>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</si>
  <si>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</si>
  <si>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</si>
  <si>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</si>
  <si>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</si>
  <si>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</si>
  <si>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</si>
  <si>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</si>
  <si>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</si>
  <si>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</si>
  <si>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</si>
  <si>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</si>
  <si>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</si>
  <si>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</si>
  <si>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</si>
  <si>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</si>
  <si>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</si>
  <si>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</si>
  <si>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</si>
  <si>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</si>
  <si>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</si>
  <si>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</si>
  <si>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</si>
  <si>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</si>
  <si>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</si>
  <si>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</si>
  <si>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</si>
  <si>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</si>
  <si>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</si>
  <si>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</si>
  <si>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</si>
  <si>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</si>
  <si>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</si>
  <si>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</si>
  <si>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</si>
  <si>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</si>
  <si>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</si>
  <si>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</si>
  <si>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</si>
  <si>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</si>
  <si>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</si>
  <si>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</si>
  <si>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</si>
  <si>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</si>
  <si>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</si>
  <si>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</si>
  <si>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</si>
  <si>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</si>
  <si>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</si>
  <si>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</si>
  <si>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</si>
  <si>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</si>
  <si>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</si>
  <si>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</si>
  <si>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</si>
  <si>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</si>
  <si>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</si>
  <si>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</si>
  <si>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</si>
  <si>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</si>
  <si>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</si>
  <si>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</si>
  <si>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</si>
  <si>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</si>
  <si>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</si>
  <si>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</si>
  <si>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</si>
  <si>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</si>
  <si>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</si>
  <si>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</si>
  <si>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</si>
  <si>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</si>
  <si>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</si>
  <si>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</si>
  <si>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</si>
  <si>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</si>
  <si>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</si>
  <si>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</si>
  <si>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</si>
  <si>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</si>
  <si>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</si>
  <si>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</si>
  <si>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</si>
  <si>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</si>
  <si>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</si>
  <si>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</si>
  <si>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</si>
  <si>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</si>
  <si>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</si>
  <si>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</si>
  <si>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</si>
  <si>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</si>
  <si>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</si>
  <si>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</si>
  <si>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</si>
  <si>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</si>
  <si>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</si>
  <si>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</si>
  <si>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</si>
  <si>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</si>
  <si>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</si>
  <si>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</si>
  <si>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</si>
  <si>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</si>
  <si>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</si>
  <si>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</si>
  <si>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</si>
  <si>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</si>
  <si>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</si>
  <si>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</si>
  <si>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</si>
  <si>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</si>
  <si>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</si>
  <si>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</si>
  <si>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</si>
  <si>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</si>
  <si>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</si>
  <si>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</si>
  <si>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</si>
  <si>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</si>
  <si>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</si>
  <si>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</si>
  <si>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</si>
  <si>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</si>
  <si>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</si>
  <si>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</si>
  <si>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</si>
  <si>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</si>
  <si>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</si>
  <si>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</si>
  <si>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</si>
  <si>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</si>
  <si>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</si>
  <si>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</si>
  <si>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</si>
  <si>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</si>
  <si>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</si>
  <si>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</si>
  <si>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</si>
  <si>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</si>
  <si>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</si>
  <si>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</si>
  <si>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</si>
  <si>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</si>
  <si>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</si>
  <si>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</si>
  <si>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</si>
  <si>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</si>
  <si>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</si>
  <si>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</si>
  <si>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</si>
  <si>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</si>
  <si>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</si>
  <si>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</si>
  <si>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</si>
  <si>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</si>
  <si>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</si>
  <si>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</si>
  <si>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</si>
  <si>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</si>
  <si>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</si>
  <si>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</si>
  <si>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</si>
  <si>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</si>
  <si>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</si>
  <si>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</si>
  <si>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</si>
  <si>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</si>
  <si>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</si>
  <si>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</si>
  <si>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</si>
  <si>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</si>
  <si>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</si>
  <si>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</si>
  <si>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</si>
  <si>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</si>
  <si>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</si>
  <si>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</si>
  <si>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</si>
  <si>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</si>
  <si>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</si>
  <si>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</si>
  <si>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</si>
  <si>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</si>
  <si>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</si>
  <si>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</si>
  <si>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</si>
  <si>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</si>
  <si>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</si>
  <si>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</si>
  <si>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</si>
  <si>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</si>
  <si>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</si>
  <si>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</si>
  <si>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</si>
  <si>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</si>
  <si>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</si>
  <si>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</si>
  <si>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</si>
  <si>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</si>
  <si>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</si>
  <si>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</si>
  <si>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</si>
  <si>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</si>
  <si>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</si>
  <si>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</si>
  <si>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</si>
  <si>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</si>
  <si>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</si>
  <si>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</si>
  <si>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</si>
  <si>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</si>
  <si>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</si>
  <si>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</si>
  <si>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</si>
  <si>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</si>
  <si>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</si>
  <si>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</si>
  <si>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</si>
  <si>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</si>
  <si>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</si>
  <si>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</si>
  <si>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</si>
  <si>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</si>
  <si>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</si>
  <si>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</si>
  <si>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</si>
  <si>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</si>
  <si>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</si>
  <si>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</si>
  <si>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</si>
  <si>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</si>
  <si>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</si>
  <si>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</si>
  <si>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</si>
  <si>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</si>
  <si>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</si>
  <si>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</si>
  <si>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</si>
  <si>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</si>
  <si>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</si>
  <si>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</si>
  <si>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</si>
  <si>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</si>
  <si>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</si>
  <si>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</si>
  <si>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</si>
  <si>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</si>
  <si>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</si>
  <si>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</si>
  <si>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</si>
  <si>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</si>
  <si>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</si>
  <si>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</si>
  <si>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</si>
  <si>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</si>
  <si>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</si>
  <si>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</si>
  <si>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</si>
  <si>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</si>
  <si>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</si>
  <si>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</si>
  <si>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</si>
  <si>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</si>
  <si>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</si>
  <si>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</si>
  <si>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</si>
  <si>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</si>
  <si>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</si>
  <si>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</si>
  <si>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</si>
  <si>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</si>
  <si>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</si>
  <si>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</si>
  <si>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</si>
  <si>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</si>
  <si>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</si>
  <si>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</si>
  <si>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</si>
  <si>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</si>
  <si>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</si>
  <si>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</si>
  <si>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</si>
  <si>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</si>
  <si>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</si>
  <si>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</si>
  <si>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</si>
  <si>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</si>
  <si>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</si>
  <si>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</si>
  <si>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</si>
  <si>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</si>
  <si>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</si>
  <si>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</si>
  <si>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</si>
  <si>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</si>
  <si>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</si>
  <si>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</si>
  <si>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</si>
  <si>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</si>
  <si>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</si>
  <si>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</si>
  <si>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</si>
  <si>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</si>
  <si>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</si>
  <si>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</si>
  <si>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</si>
  <si>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</si>
  <si>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</si>
  <si>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</si>
  <si>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</si>
  <si>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</si>
  <si>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</si>
  <si>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</si>
  <si>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</si>
  <si>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</si>
  <si>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</si>
  <si>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</si>
  <si>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</si>
  <si>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</si>
  <si>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</si>
  <si>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</si>
  <si>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</si>
  <si>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</si>
  <si>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</si>
  <si>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</si>
  <si>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</si>
  <si>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</si>
  <si>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</si>
  <si>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</si>
  <si>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</si>
  <si>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</si>
  <si>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</si>
  <si>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</si>
  <si>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</si>
  <si>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</si>
  <si>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</si>
  <si>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</si>
  <si>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</si>
  <si>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</si>
  <si>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</si>
  <si>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</si>
  <si>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</si>
  <si>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</si>
  <si>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</si>
  <si>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</si>
  <si>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</si>
  <si>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</si>
  <si>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</si>
  <si>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</si>
  <si>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</si>
  <si>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</si>
  <si>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</si>
  <si>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</si>
  <si>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</si>
  <si>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</si>
  <si>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</si>
  <si>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</si>
  <si>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</si>
  <si>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</si>
  <si>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</si>
  <si>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</si>
  <si>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</si>
  <si>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</si>
  <si>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</si>
  <si>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</si>
  <si>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</si>
  <si>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</si>
  <si>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</si>
  <si>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</si>
  <si>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</si>
  <si>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</si>
  <si>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</si>
  <si>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</si>
  <si>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</si>
  <si>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</si>
  <si>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</si>
  <si>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</si>
  <si>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</si>
  <si>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</si>
  <si>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</si>
  <si>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</si>
  <si>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</si>
  <si>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</si>
  <si>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</si>
  <si>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</si>
  <si>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</si>
  <si>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</si>
  <si>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</si>
  <si>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</si>
  <si>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</si>
  <si>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</si>
  <si>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</si>
  <si>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</si>
  <si>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</si>
  <si>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</si>
  <si>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</si>
  <si>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</si>
  <si>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</si>
  <si>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</si>
  <si>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</si>
  <si>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</si>
  <si>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</si>
  <si>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</si>
  <si>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</si>
  <si>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</si>
  <si>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</si>
  <si>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</si>
  <si>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</si>
  <si>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</si>
  <si>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</si>
  <si>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</si>
  <si>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</si>
  <si>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</si>
  <si>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</si>
  <si>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</si>
  <si>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</si>
  <si>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</si>
  <si>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</si>
  <si>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</si>
  <si>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</si>
  <si>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</si>
  <si>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</si>
  <si>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</si>
  <si>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</si>
  <si>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</si>
  <si>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</si>
  <si>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</si>
  <si>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</si>
  <si>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</si>
  <si>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</si>
  <si>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</si>
  <si>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</si>
  <si>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</si>
  <si>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</si>
  <si>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</si>
  <si>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</si>
  <si>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</si>
  <si>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</si>
  <si>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</si>
  <si>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</si>
  <si>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</si>
  <si>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</si>
  <si>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</si>
  <si>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</si>
  <si>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</si>
  <si>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</si>
  <si>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</si>
  <si>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</si>
  <si>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</si>
  <si>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</si>
  <si>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</si>
  <si>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</si>
  <si>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</si>
  <si>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</si>
  <si>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</si>
  <si>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</si>
  <si>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</si>
  <si>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</si>
  <si>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</si>
  <si>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</si>
  <si>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</si>
  <si>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</si>
  <si>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</si>
  <si>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</si>
  <si>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</si>
  <si>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</si>
  <si>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</si>
  <si>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</si>
  <si>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</si>
  <si>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</si>
  <si>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</si>
  <si>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</si>
  <si>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</si>
  <si>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</si>
  <si>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</si>
  <si>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</si>
  <si>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</si>
  <si>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</si>
  <si>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</si>
  <si>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</si>
  <si>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</si>
  <si>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</si>
  <si>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</si>
  <si>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</si>
  <si>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</si>
  <si>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</si>
  <si>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</si>
  <si>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</si>
  <si>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</si>
  <si>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</si>
  <si>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</si>
  <si>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</si>
  <si>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</si>
  <si>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</si>
  <si>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</si>
  <si>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</si>
  <si>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</si>
  <si>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</si>
  <si>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</si>
  <si>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</si>
  <si>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</si>
  <si>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</si>
  <si>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</si>
  <si>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</si>
  <si>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</si>
  <si>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</si>
  <si>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</si>
  <si>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</si>
  <si>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</si>
  <si>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</si>
  <si>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</si>
  <si>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</si>
  <si>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</si>
  <si>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</si>
  <si>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</si>
  <si>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</si>
  <si>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</si>
  <si>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</si>
  <si>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</si>
  <si>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</si>
  <si>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</si>
  <si>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</si>
  <si>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</si>
  <si>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</si>
  <si>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</si>
  <si>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</si>
  <si>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</si>
  <si>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</si>
  <si>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</si>
  <si>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</si>
  <si>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</si>
  <si>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</si>
  <si>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</si>
  <si>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</si>
  <si>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</si>
  <si>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</si>
  <si>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</si>
  <si>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</si>
  <si>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</si>
  <si>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</si>
  <si>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</si>
  <si>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</si>
  <si>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</si>
  <si>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</si>
  <si>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</si>
  <si>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</si>
  <si>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</si>
  <si>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</si>
  <si>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</si>
  <si>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</si>
  <si>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</si>
  <si>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</si>
  <si>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</si>
  <si>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</si>
  <si>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</si>
  <si>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</si>
  <si>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</si>
  <si>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</si>
  <si>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</si>
  <si>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</si>
  <si>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</si>
  <si>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</si>
  <si>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</si>
  <si>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</si>
  <si>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</si>
  <si>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</si>
  <si>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</si>
  <si>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</si>
  <si>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</si>
  <si>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</si>
  <si>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</si>
  <si>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</si>
  <si>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</si>
  <si>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</si>
  <si>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</si>
  <si>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</si>
  <si>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</si>
  <si>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</si>
  <si>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</si>
  <si>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</si>
  <si>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</si>
  <si>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</si>
  <si>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</si>
  <si>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</si>
  <si>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</si>
  <si>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</si>
  <si>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</si>
  <si>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</si>
  <si>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</si>
  <si>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</si>
  <si>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</si>
  <si>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</si>
  <si>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</si>
  <si>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</si>
  <si>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</si>
  <si>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</si>
  <si>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</si>
  <si>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</si>
  <si>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</si>
  <si>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</si>
  <si>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</si>
  <si>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</si>
  <si>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</si>
  <si>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</si>
  <si>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</si>
  <si>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</si>
  <si>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</si>
  <si>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</si>
  <si>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</si>
  <si>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</si>
  <si>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</si>
  <si>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</si>
  <si>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</si>
  <si>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</si>
  <si>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</si>
  <si>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</si>
  <si>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</si>
  <si>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</si>
  <si>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</si>
  <si>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</si>
  <si>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</si>
  <si>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</si>
  <si>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</si>
  <si>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</si>
  <si>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</si>
  <si>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</si>
  <si>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</si>
  <si>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</si>
  <si>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</si>
  <si>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</si>
  <si>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</si>
  <si>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</si>
  <si>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</si>
  <si>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</si>
  <si>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</si>
  <si>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</si>
  <si>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</si>
  <si>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</si>
  <si>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</si>
  <si>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</si>
  <si>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</si>
  <si>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</si>
  <si>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</si>
  <si>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</si>
  <si>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</si>
  <si>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</si>
  <si>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</si>
  <si>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</si>
  <si>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</si>
  <si>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</si>
  <si>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</si>
  <si>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</si>
  <si>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</si>
  <si>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</si>
  <si>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</si>
  <si>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</si>
  <si>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</si>
  <si>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</si>
  <si>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</si>
  <si>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</si>
  <si>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</si>
  <si>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</si>
  <si>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</si>
  <si>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</si>
  <si>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</si>
  <si>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</si>
  <si>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</si>
  <si>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</si>
  <si>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</si>
  <si>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</si>
  <si>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</si>
  <si>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</si>
  <si>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</si>
  <si>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</si>
  <si>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</si>
  <si>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</si>
  <si>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</si>
  <si>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</si>
  <si>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</si>
  <si>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</si>
  <si>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</si>
  <si>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</si>
  <si>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</si>
  <si>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</si>
  <si>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</si>
  <si>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</si>
  <si>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</si>
  <si>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</si>
  <si>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</si>
  <si>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</si>
  <si>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</si>
  <si>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</si>
  <si>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</si>
  <si>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</si>
  <si>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</si>
  <si>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</si>
  <si>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</si>
  <si>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</si>
  <si>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</si>
  <si>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</si>
  <si>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</si>
  <si>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</si>
  <si>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</si>
  <si>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</si>
  <si>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</si>
  <si>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</si>
  <si>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</si>
  <si>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</si>
  <si>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</si>
  <si>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</si>
  <si>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</si>
  <si>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</si>
  <si>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</si>
  <si>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</si>
  <si>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</si>
  <si>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</si>
  <si>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</si>
  <si>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</si>
  <si>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</si>
  <si>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</si>
  <si>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</si>
  <si>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</si>
  <si>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</si>
  <si>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</si>
  <si>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</si>
  <si>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</si>
  <si>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</si>
  <si>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</si>
  <si>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</si>
  <si>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</si>
  <si>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</si>
  <si>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</si>
  <si>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</si>
  <si>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</si>
  <si>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</si>
  <si>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</si>
  <si>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</si>
  <si>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</si>
  <si>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</si>
  <si>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</si>
  <si>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</si>
  <si>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</si>
  <si>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</si>
  <si>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</si>
  <si>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</si>
  <si>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</si>
  <si>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</si>
  <si>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</si>
  <si>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</si>
  <si>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</si>
  <si>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</si>
  <si>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</si>
  <si>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</si>
  <si>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</si>
  <si>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</si>
  <si>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</si>
  <si>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</si>
  <si>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</si>
  <si>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</si>
  <si>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</si>
  <si>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</si>
  <si>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</si>
  <si>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</si>
  <si>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</si>
  <si>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</si>
  <si>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</si>
  <si>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</si>
  <si>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</si>
  <si>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</si>
  <si>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</si>
  <si>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</si>
  <si>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</si>
  <si>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</si>
  <si>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</si>
  <si>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</si>
  <si>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</si>
  <si>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</si>
  <si>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</si>
  <si>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</si>
  <si>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</si>
  <si>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</si>
  <si>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</si>
  <si>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</si>
  <si>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</si>
  <si>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</si>
  <si>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</si>
  <si>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</si>
  <si>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</si>
  <si>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</si>
  <si>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</si>
  <si>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</si>
  <si>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</si>
  <si>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</si>
  <si>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</si>
  <si>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</si>
  <si>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</si>
  <si>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</si>
  <si>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</si>
  <si>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</si>
  <si>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</si>
  <si>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</si>
  <si>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</si>
  <si>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</si>
  <si>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</si>
  <si>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</si>
  <si>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</si>
  <si>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</si>
  <si>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</si>
  <si>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</si>
  <si>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</si>
  <si>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</si>
  <si>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</si>
  <si>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</si>
  <si>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</si>
  <si>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</si>
  <si>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</si>
  <si>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</si>
  <si>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</si>
  <si>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</si>
  <si>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</si>
  <si>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</si>
  <si>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</si>
  <si>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</si>
  <si>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</si>
  <si>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</si>
  <si>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</si>
  <si>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</si>
  <si>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</si>
  <si>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</si>
  <si>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</si>
  <si>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</si>
  <si>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</si>
  <si>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</si>
  <si>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</si>
  <si>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</si>
  <si>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</si>
  <si>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</si>
  <si>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</si>
  <si>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</si>
  <si>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</si>
  <si>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</si>
  <si>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</si>
  <si>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</si>
  <si>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</si>
  <si>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</si>
  <si>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</si>
  <si>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</si>
  <si>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</si>
  <si>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</si>
  <si>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</si>
  <si>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</si>
  <si>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</si>
  <si>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</si>
  <si>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</si>
  <si>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</si>
  <si>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</si>
  <si>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</si>
  <si>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</si>
  <si>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</si>
  <si>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</si>
  <si>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</si>
  <si>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</si>
  <si>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</si>
  <si>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</si>
  <si>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</si>
  <si>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</si>
  <si>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</si>
  <si>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</si>
  <si>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</si>
  <si>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</si>
  <si>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</si>
  <si>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</si>
  <si>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</si>
  <si>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</si>
  <si>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</si>
  <si>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</si>
  <si>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</si>
  <si>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</si>
  <si>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</si>
  <si>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</si>
  <si>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</si>
  <si>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</si>
  <si>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</si>
  <si>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</si>
  <si>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</si>
  <si>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</si>
  <si>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</si>
  <si>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</si>
  <si>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</si>
  <si>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</si>
  <si>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</si>
  <si>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</si>
  <si>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</si>
  <si>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</si>
  <si>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</si>
  <si>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</si>
  <si>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</si>
  <si>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</si>
  <si>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</si>
  <si>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</si>
  <si>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</si>
  <si>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</si>
  <si>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</si>
  <si>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</si>
  <si>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</si>
  <si>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</si>
  <si>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</si>
  <si>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</si>
  <si>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</si>
  <si>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</si>
  <si>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</si>
  <si>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</si>
  <si>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</si>
  <si>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</si>
  <si>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</si>
  <si>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</si>
  <si>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</si>
  <si>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</si>
  <si>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</si>
  <si>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</si>
  <si>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</si>
  <si>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</si>
  <si>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</si>
  <si>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</si>
  <si>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</si>
  <si>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</si>
  <si>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</si>
  <si>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</si>
  <si>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</si>
  <si>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</si>
  <si>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</si>
  <si>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</si>
  <si>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</si>
  <si>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</si>
  <si>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</si>
  <si>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</si>
  <si>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</si>
  <si>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</si>
  <si>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</si>
  <si>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</si>
  <si>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</si>
  <si>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</si>
  <si>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</si>
  <si>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</si>
  <si>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</si>
  <si>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</si>
  <si>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</si>
  <si>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</si>
  <si>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</si>
  <si>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</si>
  <si>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</si>
  <si>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</si>
  <si>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</si>
  <si>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</si>
  <si>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</si>
  <si>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</si>
  <si>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</si>
  <si>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</si>
  <si>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</si>
  <si>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</si>
  <si>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</si>
  <si>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</si>
  <si>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</si>
  <si>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</si>
  <si>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</si>
  <si>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</si>
  <si>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</si>
  <si>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</si>
  <si>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</si>
  <si>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</si>
  <si>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</si>
  <si>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</si>
  <si>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</si>
  <si>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</si>
  <si>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</si>
  <si>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</si>
  <si>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</si>
  <si>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</si>
  <si>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</si>
  <si>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</si>
  <si>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</si>
  <si>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</si>
  <si>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</si>
  <si>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</si>
  <si>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</si>
  <si>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</si>
  <si>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</si>
  <si>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</si>
  <si>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</si>
  <si>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</si>
  <si>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</si>
  <si>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</si>
  <si>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</si>
  <si>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</si>
  <si>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</si>
  <si>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</si>
  <si>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</si>
  <si>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</si>
  <si>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</si>
  <si>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</si>
  <si>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</si>
  <si>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</si>
  <si>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</si>
  <si>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</si>
  <si>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</si>
  <si>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</si>
  <si>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</si>
  <si>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</si>
  <si>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</si>
  <si>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</si>
  <si>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</si>
  <si>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</si>
  <si>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</si>
  <si>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</si>
  <si>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</si>
  <si>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</si>
  <si>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</si>
  <si>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</si>
  <si>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</si>
  <si>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</si>
  <si>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</si>
  <si>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</si>
  <si>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</si>
  <si>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</si>
  <si>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</si>
  <si>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</si>
  <si>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</si>
  <si>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</si>
  <si>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</si>
  <si>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</si>
  <si>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</si>
  <si>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</si>
  <si>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</si>
  <si>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</si>
  <si>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</si>
  <si>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</si>
  <si>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</si>
  <si>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</si>
  <si>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</si>
  <si>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</si>
  <si>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</si>
  <si>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</si>
  <si>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</si>
  <si>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</si>
  <si>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</si>
  <si>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</si>
  <si>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</si>
  <si>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</si>
  <si>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</si>
  <si>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</si>
  <si>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</si>
  <si>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</si>
  <si>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</si>
  <si>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</si>
  <si>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</si>
  <si>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</si>
  <si>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</si>
  <si>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</si>
  <si>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</si>
  <si>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</si>
  <si>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</si>
  <si>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</si>
  <si>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</si>
  <si>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</si>
  <si>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</si>
  <si>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</si>
  <si>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</si>
  <si>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</si>
  <si>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</si>
  <si>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</si>
  <si>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</si>
  <si>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</si>
  <si>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</si>
  <si>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</si>
  <si>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</si>
  <si>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</si>
  <si>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</si>
  <si>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</si>
  <si>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</si>
  <si>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</si>
  <si>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</si>
  <si>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</si>
  <si>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</si>
  <si>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</si>
  <si>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</si>
  <si>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</si>
  <si>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</si>
  <si>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</si>
  <si>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</si>
  <si>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</si>
  <si>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</si>
  <si>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</si>
  <si>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</si>
  <si>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</si>
  <si>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</si>
  <si>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</si>
  <si>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</si>
  <si>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</si>
  <si>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</si>
  <si>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</si>
  <si>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</si>
  <si>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</si>
  <si>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</si>
  <si>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</si>
  <si>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</si>
  <si>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</si>
  <si>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</si>
  <si>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</si>
  <si>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</si>
  <si>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</si>
  <si>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</si>
  <si>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</si>
  <si>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</si>
  <si>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</si>
  <si>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</si>
  <si>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</si>
  <si>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</si>
  <si>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</si>
  <si>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</si>
  <si>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</si>
  <si>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</si>
  <si>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</si>
  <si>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</si>
  <si>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</si>
  <si>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</si>
  <si>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</si>
  <si>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</si>
  <si>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</si>
  <si>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</si>
  <si>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</si>
  <si>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</si>
  <si>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</si>
  <si>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</si>
  <si>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</si>
  <si>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</si>
  <si>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</si>
  <si>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</si>
  <si>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</si>
  <si>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</si>
  <si>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</si>
  <si>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</si>
  <si>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</si>
  <si>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</si>
  <si>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</si>
  <si>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</si>
  <si>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</si>
  <si>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</si>
  <si>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</si>
  <si>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</si>
  <si>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</si>
  <si>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</si>
  <si>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</si>
  <si>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</si>
  <si>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</si>
  <si>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</si>
  <si>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</si>
  <si>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</si>
  <si>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</si>
  <si>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</si>
  <si>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</si>
  <si>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</si>
  <si>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</si>
  <si>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</si>
  <si>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</si>
  <si>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</si>
  <si>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</si>
  <si>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</si>
  <si>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</si>
  <si>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</si>
  <si>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</si>
  <si>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</si>
  <si>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</si>
  <si>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</si>
  <si>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</si>
  <si>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</si>
  <si>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</si>
  <si>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</si>
  <si>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</si>
  <si>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</si>
  <si>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</si>
  <si>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</si>
  <si>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</si>
  <si>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</si>
  <si>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</si>
  <si>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</si>
  <si>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</si>
  <si>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</si>
  <si>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</si>
  <si>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</si>
  <si>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</si>
  <si>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</si>
  <si>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</si>
  <si>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</si>
  <si>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</si>
  <si>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</si>
  <si>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</si>
  <si>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</si>
  <si>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</si>
  <si>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</si>
  <si>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</si>
  <si>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</si>
  <si>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</si>
  <si>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</si>
  <si>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</si>
  <si>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</si>
  <si>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</si>
  <si>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</si>
  <si>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</si>
  <si>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</si>
  <si>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</si>
  <si>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</si>
  <si>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</si>
  <si>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</si>
  <si>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</si>
  <si>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</si>
  <si>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</si>
  <si>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</si>
  <si>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</si>
  <si>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</si>
  <si>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</si>
  <si>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</si>
  <si>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</si>
  <si>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</si>
  <si>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</si>
  <si>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</si>
  <si>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</si>
  <si>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</si>
  <si>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</si>
  <si>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</si>
  <si>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</si>
  <si>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</si>
  <si>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</si>
  <si>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</si>
  <si>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</si>
  <si>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</si>
  <si>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</si>
  <si>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</si>
  <si>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</si>
  <si>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</si>
  <si>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</si>
  <si>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</si>
  <si>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</si>
  <si>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</si>
  <si>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</si>
  <si>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</si>
  <si>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</si>
  <si>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</si>
  <si>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</si>
  <si>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</si>
  <si>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</si>
  <si>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</si>
  <si>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</si>
  <si>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</si>
  <si>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</si>
  <si>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</si>
  <si>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</si>
  <si>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</si>
  <si>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</si>
  <si>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</si>
  <si>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</si>
  <si>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</si>
  <si>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</si>
  <si>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</si>
  <si>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</si>
  <si>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</si>
  <si>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</si>
  <si>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</si>
  <si>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</si>
  <si>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</si>
  <si>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</si>
  <si>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</si>
  <si>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</si>
  <si>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</si>
  <si>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</si>
  <si>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</si>
  <si>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</si>
  <si>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</si>
  <si>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</si>
  <si>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</si>
  <si>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</si>
  <si>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</si>
  <si>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</si>
  <si>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</si>
  <si>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</si>
  <si>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</si>
  <si>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</si>
  <si>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</si>
  <si>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</si>
  <si>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</si>
  <si>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</si>
  <si>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</si>
  <si>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</si>
  <si>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</si>
  <si>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</si>
  <si>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</si>
  <si>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</si>
  <si>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</si>
  <si>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</si>
  <si>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</si>
  <si>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</si>
  <si>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</si>
  <si>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</si>
  <si>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</si>
  <si>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</si>
  <si>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</si>
  <si>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</si>
  <si>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</si>
  <si>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</si>
  <si>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</si>
  <si>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</si>
  <si>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</si>
  <si>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</si>
  <si>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</si>
  <si>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</si>
  <si>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</si>
  <si>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</si>
  <si>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</si>
  <si>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</si>
  <si>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</si>
  <si>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</si>
  <si>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</si>
  <si>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</si>
  <si>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</si>
  <si>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</si>
  <si>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</si>
  <si>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</si>
  <si>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</si>
  <si>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</si>
  <si>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</si>
  <si>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</si>
  <si>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</si>
  <si>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</si>
  <si>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</si>
  <si>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</si>
  <si>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</si>
  <si>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</si>
  <si>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</si>
  <si>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</si>
  <si>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</si>
  <si>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</si>
  <si>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</si>
  <si>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</si>
  <si>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</si>
  <si>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</si>
  <si>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</si>
  <si>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</si>
  <si>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</si>
  <si>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</si>
  <si>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</si>
  <si>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</si>
  <si>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</si>
  <si>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</si>
  <si>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</si>
  <si>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</si>
  <si>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</si>
  <si>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</si>
  <si>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</si>
  <si>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</si>
  <si>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</si>
  <si>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</si>
  <si>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</si>
  <si>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</si>
  <si>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</si>
  <si>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</si>
  <si>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</si>
  <si>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</si>
  <si>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</si>
  <si>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</si>
  <si>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</si>
  <si>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</si>
  <si>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</si>
  <si>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</si>
  <si>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</si>
  <si>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</si>
  <si>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</si>
  <si>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</si>
  <si>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</si>
  <si>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</si>
  <si>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</si>
  <si>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</si>
  <si>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</si>
  <si>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</si>
  <si>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</si>
  <si>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</si>
  <si>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</si>
  <si>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</si>
  <si>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</si>
  <si>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</si>
  <si>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</si>
  <si>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</si>
  <si>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</si>
  <si>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</si>
  <si>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</si>
  <si>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</si>
  <si>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</si>
  <si>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</si>
  <si>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</si>
  <si>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</si>
  <si>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</si>
  <si>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</si>
  <si>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</si>
  <si>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</si>
  <si>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</si>
  <si>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</si>
  <si>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</si>
  <si>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</si>
  <si>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</si>
  <si>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</si>
  <si>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</si>
  <si>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</si>
  <si>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</si>
  <si>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</si>
  <si>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</si>
  <si>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</si>
  <si>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</si>
  <si>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</si>
  <si>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</si>
  <si>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</si>
  <si>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</si>
  <si>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</si>
  <si>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</si>
  <si>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</si>
  <si>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</si>
  <si>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</si>
  <si>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</si>
  <si>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</si>
  <si>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</si>
  <si>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</si>
  <si>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</si>
  <si>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</si>
  <si>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</si>
  <si>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</si>
  <si>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</si>
  <si>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</si>
  <si>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</si>
  <si>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</si>
  <si>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</si>
  <si>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</si>
  <si>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</si>
  <si>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</si>
  <si>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</si>
  <si>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</si>
  <si>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</si>
  <si>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</si>
  <si>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</si>
  <si>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</si>
  <si>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</si>
  <si>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</si>
  <si>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</si>
  <si>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</si>
  <si>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</si>
  <si>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</si>
  <si>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</si>
  <si>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</si>
  <si>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</si>
  <si>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</si>
  <si>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</si>
  <si>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</si>
  <si>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</si>
  <si>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</si>
  <si>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</si>
  <si>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</si>
  <si>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</si>
  <si>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</si>
  <si>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</si>
  <si>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</si>
  <si>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</si>
  <si>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</si>
  <si>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</si>
  <si>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</si>
  <si>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</si>
  <si>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</si>
  <si>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</si>
  <si>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</si>
  <si>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</si>
  <si>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</si>
  <si>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</si>
  <si>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</si>
  <si>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</si>
  <si>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</si>
  <si>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</si>
  <si>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</si>
  <si>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</si>
  <si>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</si>
  <si>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</si>
  <si>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</si>
  <si>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</si>
  <si>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</si>
  <si>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</si>
  <si>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</si>
  <si>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</si>
  <si>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</si>
  <si>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</si>
  <si>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</si>
  <si>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</si>
  <si>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</si>
  <si>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</si>
  <si>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</si>
  <si>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</si>
  <si>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</si>
  <si>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</si>
  <si>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</si>
  <si>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</si>
  <si>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</si>
  <si>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</si>
  <si>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</si>
  <si>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</si>
  <si>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</si>
  <si>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</si>
  <si>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</si>
  <si>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</si>
  <si>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</si>
  <si>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</si>
  <si>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</si>
  <si>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</si>
  <si>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</si>
  <si>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</si>
  <si>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</si>
  <si>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</si>
  <si>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</si>
  <si>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</si>
  <si>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</si>
  <si>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</si>
  <si>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</si>
  <si>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</si>
  <si>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</si>
  <si>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</si>
  <si>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</si>
  <si>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</si>
  <si>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</si>
  <si>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</si>
  <si>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</si>
  <si>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</si>
  <si>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</si>
  <si>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</si>
  <si>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</si>
  <si>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</si>
  <si>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</si>
  <si>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</si>
  <si>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</si>
  <si>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</si>
  <si>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</si>
  <si>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</si>
  <si>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</si>
  <si>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</si>
  <si>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</si>
  <si>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</si>
  <si>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</si>
  <si>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</si>
  <si>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</si>
  <si>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</si>
  <si>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</si>
  <si>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</si>
  <si>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</si>
  <si>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</si>
  <si>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</si>
  <si>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</si>
  <si>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</si>
  <si>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</si>
  <si>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</si>
  <si>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</si>
  <si>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</si>
  <si>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</si>
  <si>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</si>
  <si>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</si>
  <si>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</si>
  <si>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</si>
  <si>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</si>
  <si>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</si>
  <si>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</si>
  <si>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</si>
  <si>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</si>
  <si>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</si>
  <si>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</si>
  <si>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</si>
  <si>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</si>
  <si>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</si>
  <si>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</si>
  <si>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</si>
  <si>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</si>
  <si>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</si>
  <si>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</si>
  <si>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</si>
  <si>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</si>
  <si>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</si>
  <si>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</si>
  <si>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</si>
  <si>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</si>
  <si>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</si>
  <si>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</si>
  <si>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</si>
  <si>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</si>
  <si>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</si>
  <si>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</si>
  <si>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</si>
  <si>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</si>
  <si>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</si>
  <si>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</si>
  <si>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</si>
  <si>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</si>
  <si>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</si>
  <si>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</si>
  <si>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</si>
  <si>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</si>
  <si>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</si>
  <si>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</si>
  <si>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</si>
  <si>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</si>
  <si>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</si>
  <si>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</si>
  <si>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</si>
  <si>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</si>
  <si>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</si>
  <si>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</si>
  <si>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</si>
  <si>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</si>
  <si>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</si>
  <si>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</si>
  <si>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</si>
  <si>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</si>
  <si>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</si>
  <si>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</si>
  <si>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</si>
  <si>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</si>
  <si>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</si>
  <si>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</si>
  <si>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</si>
  <si>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</si>
  <si>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</si>
  <si>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</si>
  <si>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</si>
  <si>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</si>
  <si>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</si>
  <si>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</si>
  <si>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</si>
  <si>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</si>
  <si>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</si>
  <si>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</si>
  <si>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</si>
  <si>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</si>
  <si>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</si>
  <si>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</si>
  <si>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</si>
  <si>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</si>
  <si>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</si>
  <si>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</si>
  <si>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</si>
  <si>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</si>
  <si>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</si>
  <si>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</si>
  <si>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</si>
  <si>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</si>
  <si>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</si>
  <si>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</si>
  <si>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</si>
  <si>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</si>
  <si>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</si>
  <si>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</si>
  <si>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</si>
  <si>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</si>
  <si>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</si>
  <si>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</si>
  <si>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</si>
  <si>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</si>
  <si>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</si>
  <si>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</si>
  <si>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</si>
  <si>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</si>
  <si>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</si>
  <si>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</si>
  <si>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</si>
  <si>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</si>
  <si>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</si>
  <si>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</si>
  <si>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</si>
  <si>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</si>
  <si>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</si>
  <si>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</si>
  <si>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</si>
  <si>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</si>
  <si>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</si>
  <si>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</si>
  <si>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</si>
  <si>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</si>
  <si>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</si>
  <si>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</si>
  <si>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</si>
  <si>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</si>
  <si>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</si>
  <si>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</si>
  <si>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</si>
  <si>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</si>
  <si>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</si>
  <si>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</si>
  <si>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</si>
  <si>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</si>
  <si>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</si>
  <si>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</si>
  <si>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</si>
  <si>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</si>
  <si>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</si>
  <si>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</si>
  <si>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</si>
  <si>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</si>
  <si>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</si>
  <si>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</si>
  <si>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</si>
  <si>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</si>
  <si>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</si>
  <si>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</si>
  <si>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</si>
  <si>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</si>
  <si>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</si>
  <si>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</si>
  <si>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</si>
  <si>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</si>
  <si>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</si>
  <si>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</si>
  <si>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</si>
  <si>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</si>
  <si>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</si>
  <si>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</si>
  <si>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</si>
  <si>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</si>
  <si>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</si>
  <si>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</si>
  <si>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</si>
  <si>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</si>
  <si>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</si>
  <si>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</si>
  <si>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</si>
  <si>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</si>
  <si>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</si>
  <si>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</si>
  <si>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</si>
  <si>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</si>
  <si>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</si>
  <si>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</si>
  <si>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</si>
  <si>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</si>
  <si>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</si>
  <si>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</si>
  <si>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</si>
  <si>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</si>
  <si>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</si>
  <si>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</si>
  <si>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</si>
  <si>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</si>
  <si>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</si>
  <si>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</si>
  <si>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</si>
  <si>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</si>
  <si>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</si>
  <si>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</si>
  <si>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</si>
  <si>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</si>
  <si>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</si>
  <si>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</si>
  <si>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</si>
  <si>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</si>
  <si>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</si>
  <si>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</si>
  <si>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</si>
  <si>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</si>
  <si>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</si>
  <si>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</si>
  <si>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</si>
  <si>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</si>
  <si>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</si>
  <si>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</si>
  <si>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</si>
  <si>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</si>
  <si>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</si>
  <si>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</si>
  <si>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</si>
  <si>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</si>
  <si>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</si>
  <si>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</si>
  <si>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</si>
  <si>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</si>
  <si>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</si>
  <si>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</si>
  <si>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</si>
  <si>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</si>
  <si>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</si>
  <si>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</si>
  <si>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</si>
  <si>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</si>
  <si>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</si>
  <si>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</si>
  <si>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</si>
  <si>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</si>
  <si>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</si>
  <si>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</si>
  <si>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</si>
  <si>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</si>
  <si>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</si>
  <si>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</si>
  <si>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</si>
  <si>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</si>
  <si>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</si>
  <si>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</si>
  <si>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</si>
  <si>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</si>
  <si>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</si>
  <si>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</si>
  <si>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</si>
  <si>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</si>
  <si>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</si>
  <si>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</si>
  <si>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</si>
  <si>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</si>
  <si>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</si>
  <si>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</si>
  <si>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</si>
  <si>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</si>
  <si>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</si>
  <si>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</si>
  <si>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</si>
  <si>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</si>
  <si>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</si>
  <si>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</si>
  <si>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</si>
  <si>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</si>
  <si>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</si>
  <si>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</si>
  <si>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</si>
  <si>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</si>
  <si>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</si>
  <si>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</si>
  <si>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</si>
  <si>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</si>
  <si>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</si>
  <si>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</si>
  <si>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</si>
  <si>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</si>
  <si>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</si>
  <si>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</si>
  <si>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</si>
  <si>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</si>
  <si>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</si>
  <si>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</si>
  <si>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</si>
  <si>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</si>
  <si>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</si>
  <si>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</si>
  <si>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</si>
  <si>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</si>
  <si>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</si>
  <si>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</si>
  <si>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</si>
  <si>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</si>
  <si>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</si>
  <si>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</si>
  <si>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</si>
  <si>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</si>
  <si>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</si>
  <si>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</si>
  <si>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</si>
  <si>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</si>
  <si>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</si>
  <si>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</si>
  <si>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</si>
  <si>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</si>
  <si>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</si>
  <si>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</si>
  <si>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</si>
  <si>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</si>
  <si>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</si>
  <si>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</si>
  <si>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</si>
  <si>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</si>
  <si>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</si>
  <si>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</si>
  <si>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</si>
  <si>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</si>
  <si>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</si>
  <si>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</si>
  <si>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</si>
  <si>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</si>
  <si>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</si>
  <si>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</si>
  <si>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</si>
  <si>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</si>
  <si>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</si>
  <si>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</si>
  <si>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</si>
  <si>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</si>
  <si>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</si>
  <si>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</si>
  <si>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</si>
  <si>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</si>
  <si>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</si>
  <si>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</si>
  <si>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</si>
  <si>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</si>
  <si>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</si>
  <si>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</si>
  <si>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</si>
  <si>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</si>
  <si>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</si>
  <si>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</si>
  <si>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</si>
  <si>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</si>
  <si>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</si>
  <si>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</si>
  <si>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</si>
  <si>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</si>
  <si>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</si>
  <si>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</si>
  <si>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</si>
  <si>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</si>
  <si>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</si>
  <si>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</si>
  <si>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</si>
  <si>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</si>
  <si>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</si>
  <si>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</si>
  <si>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</si>
  <si>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</si>
  <si>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</si>
  <si>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</si>
  <si>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</si>
  <si>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</si>
  <si>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</si>
  <si>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</si>
  <si>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</si>
  <si>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</si>
  <si>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</si>
  <si>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</si>
  <si>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</si>
  <si>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</si>
  <si>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</si>
  <si>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</si>
  <si>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</si>
  <si>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</si>
  <si>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</si>
  <si>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</si>
  <si>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</si>
  <si>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</si>
  <si>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</si>
  <si>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</si>
  <si>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</si>
  <si>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</si>
  <si>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</si>
  <si>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</si>
  <si>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</si>
  <si>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</si>
  <si>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</si>
  <si>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</si>
  <si>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</si>
  <si>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</si>
  <si>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</si>
  <si>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</si>
  <si>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</si>
  <si>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</si>
  <si>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</si>
  <si>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</si>
  <si>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</si>
  <si>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</si>
  <si>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</si>
  <si>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</si>
  <si>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</si>
  <si>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</si>
  <si>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</si>
  <si>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</si>
  <si>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</si>
  <si>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</si>
  <si>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</si>
  <si>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</si>
  <si>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</si>
  <si>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</si>
  <si>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</si>
  <si>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</si>
  <si>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</si>
  <si>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</si>
  <si>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</si>
  <si>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</si>
  <si>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</si>
  <si>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</si>
  <si>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</si>
  <si>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</si>
  <si>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</si>
  <si>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</si>
  <si>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</si>
  <si>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</si>
  <si>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</si>
  <si>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</si>
  <si>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</si>
  <si>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</si>
  <si>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</si>
  <si>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</si>
  <si>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</si>
  <si>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</si>
  <si>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</si>
  <si>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</si>
  <si>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</si>
  <si>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</si>
  <si>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</si>
  <si>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</si>
  <si>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</si>
  <si>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</si>
  <si>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</si>
  <si>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</si>
  <si>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</si>
  <si>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</si>
  <si>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</si>
  <si>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</si>
  <si>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</si>
  <si>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</si>
  <si>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</si>
  <si>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</si>
  <si>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</si>
  <si>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</si>
  <si>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</si>
  <si>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</si>
  <si>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</si>
  <si>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</si>
  <si>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</si>
  <si>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</si>
  <si>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</si>
  <si>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</si>
  <si>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</si>
  <si>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</si>
  <si>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</si>
  <si>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</si>
  <si>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</si>
  <si>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</si>
  <si>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</si>
  <si>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</si>
  <si>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</si>
  <si>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</si>
  <si>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</si>
  <si>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</si>
  <si>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</si>
  <si>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</si>
  <si>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</si>
  <si>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</si>
  <si>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</si>
  <si>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</si>
  <si>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</si>
  <si>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</si>
  <si>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</si>
  <si>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</si>
  <si>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</si>
  <si>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</si>
  <si>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</si>
  <si>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</si>
  <si>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</si>
  <si>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</si>
  <si>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</si>
  <si>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</si>
  <si>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</si>
  <si>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</si>
  <si>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</si>
  <si>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</si>
  <si>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</si>
  <si>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</si>
  <si>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</si>
  <si>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</si>
  <si>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</si>
  <si>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</si>
  <si>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</si>
  <si>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</si>
  <si>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</si>
  <si>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</si>
  <si>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</si>
  <si>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</si>
  <si>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</si>
  <si>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</si>
  <si>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</si>
  <si>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</si>
  <si>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</si>
  <si>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</si>
  <si>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</si>
  <si>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</si>
  <si>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</si>
  <si>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</si>
  <si>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</si>
  <si>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</si>
  <si>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</si>
  <si>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</si>
  <si>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</si>
  <si>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</si>
  <si>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</si>
  <si>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</si>
  <si>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</si>
  <si>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</si>
  <si>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</si>
  <si>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</si>
  <si>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</si>
  <si>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</si>
  <si>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</si>
  <si>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</si>
  <si>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</si>
  <si>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</si>
  <si>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</si>
  <si>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</si>
  <si>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</si>
  <si>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</si>
  <si>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</si>
  <si>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</si>
  <si>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</si>
  <si>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</si>
  <si>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</si>
  <si>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</si>
  <si>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</si>
  <si>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</si>
  <si>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</si>
  <si>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</si>
  <si>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</si>
  <si>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</si>
  <si>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</si>
  <si>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</si>
  <si>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</si>
  <si>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</si>
  <si>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</si>
  <si>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</si>
  <si>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</si>
  <si>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</si>
  <si>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</si>
  <si>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</si>
  <si>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</si>
  <si>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</si>
  <si>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</si>
  <si>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</si>
  <si>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</si>
  <si>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</si>
  <si>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</si>
  <si>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</si>
  <si>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</si>
  <si>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</si>
  <si>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</si>
  <si>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</si>
  <si>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</si>
  <si>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</si>
  <si>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</si>
  <si>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</si>
  <si>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</si>
  <si>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</si>
  <si>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</si>
  <si>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</si>
  <si>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</si>
  <si>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</si>
  <si>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</si>
  <si>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</si>
  <si>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</si>
  <si>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</si>
  <si>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</si>
  <si>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</si>
  <si>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</si>
  <si>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</si>
  <si>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</si>
  <si>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</si>
  <si>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</si>
  <si>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</si>
  <si>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</si>
  <si>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</si>
  <si>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</si>
  <si>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</si>
  <si>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</si>
  <si>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</si>
  <si>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</si>
  <si>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</si>
  <si>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</si>
  <si>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</si>
  <si>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</si>
  <si>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</si>
  <si>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</si>
  <si>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</si>
  <si>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</si>
  <si>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</si>
  <si>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</si>
  <si>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</si>
  <si>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</si>
  <si>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</si>
  <si>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</si>
  <si>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</si>
  <si>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</si>
  <si>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</si>
  <si>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</si>
  <si>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</si>
  <si>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</si>
  <si>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</si>
  <si>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</si>
  <si>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</si>
  <si>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</si>
  <si>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</si>
  <si>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</si>
  <si>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</si>
  <si>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</si>
  <si>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</si>
  <si>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</si>
  <si>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</si>
  <si>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</si>
  <si>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</si>
  <si>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</si>
  <si>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</si>
  <si>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</si>
  <si>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</si>
  <si>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</si>
  <si>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</si>
  <si>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</si>
  <si>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</si>
  <si>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</si>
  <si>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</si>
  <si>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</si>
  <si>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</si>
  <si>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</si>
  <si>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</si>
  <si>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</si>
  <si>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</si>
  <si>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</si>
  <si>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</si>
  <si>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</si>
  <si>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</si>
  <si>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</si>
  <si>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</si>
  <si>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</si>
  <si>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</si>
  <si>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</si>
  <si>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</si>
  <si>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</si>
  <si>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</si>
  <si>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</si>
  <si>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</si>
  <si>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</si>
  <si>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</si>
  <si>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</si>
  <si>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</si>
  <si>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</si>
  <si>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</si>
  <si>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</si>
  <si>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</si>
  <si>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</si>
  <si>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</si>
  <si>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</si>
  <si>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</si>
  <si>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</si>
  <si>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</si>
  <si>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</si>
  <si>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</si>
  <si>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</si>
  <si>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</si>
  <si>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</si>
  <si>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</si>
  <si>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</si>
  <si>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</si>
  <si>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</si>
  <si>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</si>
  <si>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</si>
  <si>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</si>
  <si>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</si>
  <si>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</si>
  <si>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</si>
  <si>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</si>
  <si>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</si>
  <si>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</si>
  <si>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</si>
  <si>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</si>
  <si>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</si>
  <si>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</si>
  <si>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</si>
  <si>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</si>
  <si>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</si>
  <si>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</si>
  <si>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</si>
  <si>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</si>
  <si>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</si>
  <si>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</si>
  <si>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</si>
  <si>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</si>
  <si>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</si>
  <si>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</si>
  <si>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</si>
  <si>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</si>
  <si>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</si>
  <si>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</si>
  <si>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</si>
  <si>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</si>
  <si>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</si>
  <si>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</si>
  <si>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</si>
  <si>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</si>
  <si>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</si>
  <si>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</si>
  <si>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</si>
  <si>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</si>
  <si>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</si>
  <si>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</si>
  <si>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</si>
  <si>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</si>
  <si>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</si>
  <si>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</si>
  <si>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</si>
  <si>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</si>
  <si>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</si>
  <si>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</si>
  <si>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</si>
  <si>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</si>
  <si>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</si>
  <si>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</si>
  <si>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</si>
  <si>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</si>
  <si>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</si>
  <si>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</si>
  <si>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</si>
  <si>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</si>
  <si>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</si>
  <si>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</si>
  <si>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</si>
  <si>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</si>
  <si>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</si>
  <si>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</si>
  <si>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</si>
  <si>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</si>
  <si>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</si>
  <si>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</si>
  <si>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</si>
  <si>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</si>
  <si>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</si>
  <si>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</si>
  <si>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</si>
  <si>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</si>
  <si>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</si>
  <si>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</si>
  <si>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</si>
  <si>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</si>
  <si>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</si>
  <si>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</si>
  <si>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</si>
  <si>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</si>
  <si>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</si>
  <si>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</si>
  <si>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</si>
  <si>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</si>
  <si>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</si>
  <si>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</si>
  <si>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</si>
  <si>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</si>
  <si>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</si>
  <si>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</si>
  <si>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</si>
  <si>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</si>
  <si>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</si>
  <si>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</si>
  <si>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</si>
  <si>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</si>
  <si>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</si>
  <si>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</si>
  <si>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</si>
  <si>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</si>
  <si>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</si>
  <si>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</si>
  <si>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</si>
  <si>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</si>
  <si>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</si>
  <si>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</si>
  <si>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</si>
  <si>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</si>
  <si>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</si>
  <si>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</si>
  <si>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</si>
  <si>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</si>
  <si>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</si>
  <si>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</si>
  <si>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</si>
  <si>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</si>
  <si>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</si>
  <si>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</si>
  <si>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</si>
  <si>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</si>
  <si>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</si>
  <si>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</si>
  <si>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</si>
  <si>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</si>
  <si>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</si>
  <si>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</si>
  <si>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</si>
  <si>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</si>
  <si>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</si>
  <si>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</si>
  <si>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</si>
  <si>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</si>
  <si>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</si>
  <si>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</si>
  <si>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</si>
  <si>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</si>
  <si>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</si>
  <si>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</si>
  <si>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</si>
  <si>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</si>
  <si>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</si>
  <si>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</si>
  <si>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</si>
  <si>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</si>
  <si>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</si>
  <si>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</si>
  <si>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</si>
  <si>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</si>
  <si>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</si>
  <si>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</si>
  <si>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</si>
  <si>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</si>
  <si>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</si>
  <si>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</si>
  <si>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</si>
  <si>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</si>
  <si>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</si>
  <si>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</si>
  <si>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</si>
  <si>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</si>
  <si>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</si>
  <si>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</si>
  <si>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</si>
  <si>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</si>
  <si>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</si>
  <si>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</si>
  <si>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</si>
  <si>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</si>
  <si>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</si>
  <si>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</si>
  <si>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</si>
  <si>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</si>
  <si>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</si>
  <si>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</si>
  <si>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</si>
  <si>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</si>
  <si>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</si>
  <si>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</si>
  <si>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</si>
  <si>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</si>
  <si>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</si>
  <si>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</si>
  <si>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</si>
  <si>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</si>
  <si>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</si>
  <si>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</si>
  <si>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</si>
  <si>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</si>
  <si>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</si>
  <si>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</si>
  <si>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</si>
  <si>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</si>
  <si>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</si>
  <si>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</si>
  <si>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</si>
  <si>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</si>
  <si>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</si>
  <si>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</si>
  <si>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</si>
  <si>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</si>
  <si>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</si>
  <si>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</si>
  <si>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</si>
  <si>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</si>
  <si>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</si>
  <si>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</si>
  <si>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</si>
  <si>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</si>
  <si>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</si>
  <si>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</si>
  <si>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</si>
  <si>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</si>
  <si>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</si>
  <si>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</si>
  <si>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</si>
  <si>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</si>
  <si>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</si>
  <si>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</si>
  <si>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</si>
  <si>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</si>
  <si>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</si>
  <si>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</si>
  <si>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</si>
  <si>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</si>
  <si>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</si>
  <si>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</si>
  <si>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</si>
  <si>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</si>
  <si>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</si>
  <si>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</si>
  <si>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</si>
  <si>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</si>
  <si>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</si>
  <si>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</si>
  <si>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</si>
  <si>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</si>
  <si>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</si>
  <si>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</si>
  <si>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</si>
  <si>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</si>
  <si>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</si>
  <si>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</si>
  <si>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</si>
  <si>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</si>
  <si>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</si>
  <si>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</si>
  <si>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</si>
  <si>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</si>
  <si>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</si>
  <si>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</si>
  <si>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</si>
  <si>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</si>
  <si>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</si>
  <si>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</si>
  <si>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</si>
  <si>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</si>
  <si>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</si>
  <si>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</si>
  <si>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</si>
  <si>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</si>
  <si>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</si>
  <si>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</si>
  <si>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</si>
  <si>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</si>
  <si>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</si>
  <si>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</si>
  <si>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</si>
  <si>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</si>
  <si>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</si>
  <si>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</si>
  <si>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</si>
  <si>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</si>
  <si>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</si>
  <si>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</si>
  <si>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</si>
  <si>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</si>
  <si>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</si>
  <si>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</si>
  <si>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</si>
  <si>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</si>
  <si>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</si>
  <si>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</si>
  <si>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</si>
  <si>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</si>
  <si>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</si>
  <si>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</si>
  <si>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</si>
  <si>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</si>
  <si>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</si>
  <si>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</si>
  <si>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</si>
  <si>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</si>
  <si>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</si>
  <si>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</si>
  <si>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</si>
  <si>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</si>
  <si>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</si>
  <si>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</si>
  <si>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</si>
  <si>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</si>
  <si>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</si>
  <si>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</si>
  <si>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</si>
  <si>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</si>
  <si>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</si>
  <si>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</si>
  <si>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</si>
  <si>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</si>
  <si>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</si>
  <si>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</si>
  <si>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</si>
  <si>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</si>
  <si>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</si>
  <si>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</si>
  <si>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</si>
  <si>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</si>
  <si>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</si>
  <si>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</si>
  <si>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</si>
  <si>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</si>
  <si>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</si>
  <si>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</si>
  <si>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</si>
  <si>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</si>
  <si>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</si>
  <si>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</si>
  <si>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</si>
  <si>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</si>
  <si>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</si>
  <si>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</si>
  <si>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</si>
  <si>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</si>
  <si>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</si>
  <si>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</si>
  <si>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</si>
  <si>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</si>
  <si>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</si>
  <si>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</si>
  <si>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</si>
  <si>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</si>
  <si>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</si>
  <si>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</si>
  <si>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</si>
  <si>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</si>
  <si>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</si>
  <si>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</si>
  <si>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</si>
  <si>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</si>
  <si>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</si>
  <si>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</si>
  <si>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</si>
  <si>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</si>
  <si>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</si>
  <si>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</si>
  <si>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</si>
  <si>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</si>
  <si>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</si>
  <si>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</si>
  <si>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</si>
  <si>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</si>
  <si>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</si>
  <si>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</si>
  <si>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</si>
  <si>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</si>
  <si>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</si>
  <si>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</si>
  <si>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</si>
  <si>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</si>
  <si>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</si>
  <si>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</si>
  <si>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</si>
  <si>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</si>
  <si>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</si>
  <si>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</si>
  <si>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</si>
  <si>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</si>
  <si>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</si>
  <si>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</si>
  <si>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</si>
  <si>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</si>
  <si>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</si>
  <si>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</si>
  <si>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</si>
  <si>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</si>
  <si>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</si>
  <si>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</si>
  <si>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</si>
  <si>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</si>
  <si>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</si>
  <si>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</si>
  <si>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</si>
  <si>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</si>
  <si>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</si>
  <si>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</si>
  <si>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</si>
  <si>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</si>
  <si>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</si>
  <si>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</si>
  <si>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</si>
  <si>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</si>
  <si>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</si>
  <si>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</si>
  <si>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</si>
  <si>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</si>
  <si>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</si>
  <si>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</si>
  <si>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</si>
  <si>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</si>
  <si>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</si>
  <si>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</si>
  <si>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</si>
  <si>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</si>
  <si>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</si>
  <si>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</si>
  <si>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</si>
  <si>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</si>
  <si>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</si>
  <si>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</si>
  <si>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</si>
  <si>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</si>
  <si>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</si>
  <si>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</si>
  <si>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</si>
  <si>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</si>
  <si>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</si>
  <si>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</si>
  <si>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</si>
  <si>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</si>
  <si>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</si>
  <si>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</si>
  <si>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</si>
  <si>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</si>
  <si>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</si>
  <si>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</si>
  <si>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</si>
  <si>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</si>
  <si>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</si>
  <si>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</si>
  <si>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</si>
  <si>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</si>
  <si>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</si>
  <si>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</si>
  <si>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</si>
  <si>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</si>
  <si>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</si>
  <si>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</si>
  <si>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</si>
  <si>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</si>
  <si>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</si>
  <si>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</si>
  <si>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</si>
  <si>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</si>
  <si>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</si>
  <si>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</si>
  <si>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</si>
  <si>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</si>
  <si>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</si>
  <si>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</si>
  <si>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</si>
  <si>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</si>
  <si>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</si>
  <si>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</si>
  <si>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</si>
  <si>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</si>
  <si>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</si>
  <si>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</si>
  <si>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</si>
  <si>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</si>
  <si>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</si>
  <si>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</si>
  <si>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</si>
  <si>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</si>
  <si>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</si>
  <si>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</si>
  <si>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</si>
  <si>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</si>
  <si>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</si>
  <si>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</si>
  <si>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</si>
  <si>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</si>
  <si>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</si>
  <si>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</si>
  <si>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</si>
  <si>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</si>
  <si>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</si>
  <si>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</si>
  <si>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</si>
  <si>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</si>
  <si>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</si>
  <si>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</si>
  <si>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</si>
  <si>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</si>
  <si>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</si>
  <si>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</si>
  <si>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</si>
  <si>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</si>
  <si>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</si>
  <si>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</si>
  <si>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</si>
  <si>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</si>
  <si>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</si>
  <si>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</si>
  <si>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</si>
  <si>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</si>
  <si>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</si>
  <si>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</si>
  <si>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</si>
  <si>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</si>
  <si>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</si>
  <si>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</si>
  <si>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</si>
  <si>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</si>
  <si>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</si>
  <si>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</si>
  <si>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</si>
  <si>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</si>
  <si>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</si>
  <si>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</si>
  <si>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</si>
  <si>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</si>
  <si>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</si>
  <si>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</si>
  <si>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</si>
  <si>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</si>
  <si>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</si>
  <si>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</si>
  <si>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</si>
  <si>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</si>
  <si>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</si>
  <si>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</si>
  <si>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</si>
  <si>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</si>
  <si>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</si>
  <si>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</si>
  <si>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</si>
  <si>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</si>
  <si>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</si>
  <si>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</si>
  <si>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</si>
  <si>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</si>
  <si>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</si>
  <si>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</si>
  <si>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</si>
  <si>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</si>
  <si>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</si>
  <si>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</si>
  <si>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</si>
  <si>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</si>
  <si>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</si>
  <si>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</si>
  <si>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</si>
  <si>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</si>
  <si>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</si>
  <si>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</si>
  <si>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</si>
  <si>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</si>
  <si>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</si>
  <si>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</si>
  <si>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</si>
  <si>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</si>
  <si>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</si>
  <si>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</si>
  <si>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</si>
  <si>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</si>
  <si>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</si>
  <si>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</si>
  <si>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</si>
  <si>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</si>
  <si>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</si>
  <si>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</si>
  <si>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</si>
  <si>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</si>
  <si>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</si>
  <si>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</si>
  <si>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</si>
  <si>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</si>
  <si>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</si>
  <si>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</si>
  <si>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</si>
  <si>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</si>
  <si>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</si>
  <si>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</si>
  <si>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</si>
  <si>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</si>
  <si>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</si>
  <si>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</si>
  <si>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</si>
  <si>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</si>
  <si>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</si>
  <si>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</si>
  <si>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</si>
  <si>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</si>
  <si>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</si>
  <si>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</si>
  <si>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</si>
  <si>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</si>
  <si>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</si>
  <si>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</si>
  <si>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</si>
  <si>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</si>
  <si>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</si>
  <si>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</si>
  <si>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</si>
  <si>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</si>
  <si>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</si>
  <si>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</si>
  <si>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</si>
  <si>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</si>
  <si>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</si>
  <si>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</si>
  <si>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</si>
  <si>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</si>
  <si>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</si>
  <si>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</si>
  <si>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</si>
  <si>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</si>
  <si>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</si>
  <si>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</si>
  <si>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</si>
  <si>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</si>
  <si>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</si>
  <si>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</si>
  <si>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</si>
  <si>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</si>
  <si>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</si>
  <si>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</si>
  <si>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</si>
  <si>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</si>
  <si>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</si>
  <si>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</si>
  <si>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</si>
  <si>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</si>
  <si>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</si>
  <si>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</si>
  <si>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</si>
  <si>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</si>
  <si>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</si>
  <si>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</si>
  <si>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</si>
  <si>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</si>
  <si>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</si>
  <si>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</si>
  <si>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</si>
  <si>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</si>
  <si>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</si>
  <si>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</si>
  <si>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</si>
  <si>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</si>
  <si>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</si>
  <si>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</si>
  <si>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</si>
  <si>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</si>
  <si>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</si>
  <si>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</si>
  <si>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</si>
  <si>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</si>
  <si>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</si>
  <si>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</si>
  <si>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</si>
  <si>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</si>
  <si>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</si>
  <si>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</si>
  <si>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</si>
  <si>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</si>
  <si>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</si>
  <si>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</si>
  <si>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</si>
  <si>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</si>
  <si>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</si>
  <si>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</si>
  <si>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</si>
  <si>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</si>
  <si>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</si>
  <si>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</si>
  <si>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</si>
  <si>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</si>
  <si>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</si>
  <si>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</si>
  <si>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</si>
  <si>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</si>
  <si>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</si>
  <si>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</si>
  <si>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</si>
  <si>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</si>
  <si>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</si>
  <si>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</si>
  <si>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</si>
  <si>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</si>
  <si>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</si>
  <si>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</si>
  <si>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</si>
  <si>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</si>
  <si>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</si>
  <si>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</si>
  <si>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</si>
  <si>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</si>
  <si>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</si>
  <si>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</si>
  <si>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</si>
  <si>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</si>
  <si>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</si>
  <si>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</si>
  <si>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</si>
  <si>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</si>
  <si>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</si>
  <si>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</si>
  <si>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</si>
  <si>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</si>
  <si>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</si>
  <si>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</si>
  <si>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</si>
  <si>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</si>
  <si>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</si>
  <si>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</si>
  <si>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</si>
  <si>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</si>
  <si>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</si>
  <si>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</si>
  <si>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</si>
  <si>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</si>
  <si>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</si>
  <si>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</si>
  <si>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</si>
  <si>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</si>
  <si>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</si>
  <si>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</si>
  <si>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</si>
  <si>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</si>
  <si>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</si>
  <si>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</si>
  <si>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</si>
  <si>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</si>
  <si>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</si>
  <si>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</si>
  <si>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</si>
  <si>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</si>
  <si>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</si>
  <si>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</si>
  <si>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</si>
  <si>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</si>
  <si>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</si>
  <si>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</si>
  <si>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</si>
  <si>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</si>
  <si>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</si>
  <si>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</si>
  <si>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</si>
  <si>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</si>
  <si>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</si>
  <si>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</si>
  <si>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</si>
  <si>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</si>
  <si>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</si>
  <si>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</si>
  <si>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</si>
  <si>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</si>
  <si>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</si>
  <si>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</si>
  <si>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</si>
  <si>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</si>
  <si>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</si>
  <si>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</si>
  <si>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</si>
  <si>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</si>
  <si>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</si>
  <si>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</si>
  <si>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</si>
  <si>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</si>
  <si>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</si>
  <si>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</si>
  <si>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</si>
  <si>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</si>
  <si>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</si>
  <si>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</si>
  <si>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</si>
  <si>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</si>
  <si>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</si>
  <si>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</si>
  <si>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</si>
  <si>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</si>
  <si>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</si>
  <si>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</si>
  <si>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</si>
  <si>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</si>
  <si>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</si>
  <si>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</si>
  <si>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</si>
  <si>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</si>
  <si>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</si>
  <si>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</si>
  <si>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</si>
  <si>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</si>
  <si>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</si>
  <si>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</si>
  <si>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</si>
  <si>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</si>
  <si>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</si>
  <si>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</si>
  <si>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</si>
  <si>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</si>
  <si>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</si>
  <si>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</si>
  <si>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</si>
  <si>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</si>
  <si>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</si>
  <si>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</si>
  <si>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</si>
  <si>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</si>
  <si>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</si>
  <si>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</si>
  <si>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</si>
  <si>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</si>
  <si>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</si>
  <si>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</si>
  <si>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</si>
  <si>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</si>
  <si>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</si>
  <si>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</si>
  <si>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</si>
  <si>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</si>
  <si>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</si>
  <si>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</si>
  <si>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</si>
  <si>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</si>
  <si>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</si>
  <si>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</si>
  <si>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</si>
  <si>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</si>
  <si>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</si>
  <si>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</si>
  <si>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</si>
  <si>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</si>
  <si>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</si>
  <si>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</si>
  <si>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</si>
  <si>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</si>
  <si>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</si>
  <si>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</si>
  <si>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</si>
  <si>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</si>
  <si>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</si>
  <si>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</si>
  <si>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</si>
  <si>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</si>
  <si>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</si>
  <si>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</si>
  <si>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</si>
  <si>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</si>
  <si>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</si>
  <si>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</si>
  <si>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</si>
  <si>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</si>
  <si>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</si>
  <si>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</si>
  <si>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</si>
  <si>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</si>
  <si>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</si>
  <si>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</si>
  <si>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</si>
  <si>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</si>
  <si>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</si>
  <si>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</si>
  <si>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</si>
  <si>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</si>
  <si>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</si>
  <si>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</si>
  <si>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</si>
  <si>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</si>
  <si>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</si>
  <si>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</si>
  <si>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</si>
  <si>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</si>
  <si>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</si>
  <si>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</si>
  <si>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</si>
  <si>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</si>
  <si>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</si>
  <si>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</si>
  <si>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</si>
  <si>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</si>
  <si>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</si>
  <si>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</si>
  <si>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</si>
  <si>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</si>
  <si>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</si>
  <si>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</si>
  <si>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</si>
  <si>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</si>
  <si>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</si>
  <si>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</si>
  <si>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</si>
  <si>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</si>
  <si>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</si>
  <si>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</si>
  <si>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</si>
  <si>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</si>
  <si>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</si>
  <si>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</si>
  <si>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</si>
  <si>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</si>
  <si>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</si>
  <si>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</si>
  <si>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</si>
  <si>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</si>
  <si>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</si>
  <si>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</si>
  <si>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</si>
  <si>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</si>
  <si>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</si>
  <si>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</si>
  <si>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</si>
  <si>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</si>
  <si>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</si>
  <si>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</si>
  <si>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</si>
  <si>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</si>
  <si>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</si>
  <si>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</si>
  <si>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</si>
  <si>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</si>
  <si>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</si>
  <si>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</si>
  <si>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</si>
  <si>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</si>
  <si>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</si>
  <si>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</si>
  <si>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</si>
  <si>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</si>
  <si>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</si>
  <si>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</si>
  <si>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</si>
  <si>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</si>
  <si>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</si>
  <si>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</si>
  <si>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</si>
  <si>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</si>
  <si>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</si>
  <si>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</si>
  <si>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</si>
  <si>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</si>
  <si>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</si>
  <si>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</si>
  <si>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</si>
  <si>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</si>
  <si>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</si>
  <si>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</si>
  <si>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</si>
  <si>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</si>
  <si>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</si>
  <si>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</si>
  <si>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</si>
  <si>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</si>
  <si>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</si>
  <si>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</si>
  <si>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</si>
  <si>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</si>
  <si>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</si>
  <si>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</si>
  <si>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</si>
  <si>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</si>
  <si>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</si>
  <si>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</si>
  <si>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</si>
  <si>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</si>
  <si>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</si>
  <si>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</si>
  <si>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</si>
  <si>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</si>
  <si>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</si>
  <si>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</si>
  <si>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</si>
  <si>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</si>
  <si>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</si>
  <si>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</si>
  <si>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</si>
  <si>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</si>
  <si>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</si>
  <si>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</si>
  <si>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</si>
  <si>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</si>
  <si>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</si>
  <si>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</si>
  <si>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</si>
  <si>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</si>
  <si>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</si>
  <si>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</si>
  <si>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</si>
  <si>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</si>
  <si>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</si>
  <si>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</si>
  <si>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</si>
  <si>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</si>
  <si>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</si>
  <si>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</si>
  <si>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</si>
  <si>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</si>
  <si>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</si>
  <si>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</si>
  <si>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</si>
  <si>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</si>
  <si>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</si>
  <si>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</si>
  <si>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</si>
  <si>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</si>
  <si>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</si>
  <si>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</si>
  <si>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</si>
  <si>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</si>
  <si>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</si>
  <si>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</si>
  <si>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</si>
  <si>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</si>
  <si>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</si>
  <si>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</si>
  <si>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</si>
  <si>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</si>
  <si>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</si>
  <si>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</si>
  <si>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</si>
  <si>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</si>
  <si>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</si>
  <si>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</si>
  <si>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</si>
  <si>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</si>
  <si>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</si>
  <si>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</si>
  <si>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</si>
  <si>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</si>
  <si>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</si>
  <si>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</si>
  <si>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</si>
  <si>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</si>
  <si>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</si>
  <si>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</si>
  <si>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</si>
  <si>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</si>
  <si>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</si>
  <si>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</si>
  <si>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</si>
  <si>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</si>
  <si>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</si>
  <si>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</si>
  <si>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</si>
  <si>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</si>
  <si>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</si>
  <si>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</si>
  <si>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</si>
  <si>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</si>
  <si>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</si>
  <si>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</si>
  <si>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</si>
  <si>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</si>
  <si>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</si>
  <si>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</si>
  <si>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</si>
  <si>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</si>
  <si>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</si>
  <si>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</si>
  <si>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</si>
  <si>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</si>
  <si>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</si>
  <si>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</si>
  <si>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</si>
  <si>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</si>
  <si>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</si>
  <si>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</si>
  <si>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</si>
  <si>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</si>
  <si>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</si>
  <si>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</si>
  <si>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</si>
  <si>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</si>
  <si>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</si>
  <si>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</si>
  <si>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</si>
  <si>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</si>
  <si>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</si>
  <si>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</si>
  <si>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</si>
  <si>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</si>
  <si>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</si>
  <si>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</si>
  <si>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</si>
  <si>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</si>
  <si>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</si>
  <si>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</si>
  <si>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</si>
  <si>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</si>
  <si>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</si>
  <si>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</si>
  <si>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</si>
  <si>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</si>
  <si>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</si>
  <si>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</si>
  <si>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</si>
  <si>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</si>
  <si>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</si>
  <si>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</si>
  <si>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</si>
  <si>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</si>
  <si>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</si>
  <si>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</si>
  <si>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</si>
  <si>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</si>
  <si>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</si>
  <si>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</si>
  <si>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</si>
  <si>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</si>
  <si>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</si>
  <si>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</si>
  <si>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</si>
  <si>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</si>
  <si>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</si>
  <si>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</si>
  <si>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</si>
  <si>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</si>
  <si>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</si>
  <si>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</si>
  <si>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</si>
  <si>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</si>
  <si>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</si>
  <si>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</si>
  <si>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</si>
  <si>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</si>
  <si>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</si>
  <si>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</si>
  <si>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</si>
  <si>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</si>
  <si>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</si>
  <si>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</si>
  <si>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</si>
  <si>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</si>
  <si>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</si>
  <si>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</si>
  <si>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</si>
  <si>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</si>
  <si>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</si>
  <si>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</si>
  <si>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</si>
  <si>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</si>
  <si>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</si>
  <si>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</si>
  <si>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</si>
  <si>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</si>
  <si>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</si>
  <si>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</si>
  <si>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</si>
  <si>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</si>
  <si>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</si>
  <si>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</si>
  <si>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</si>
  <si>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</si>
  <si>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</si>
  <si>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</si>
  <si>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</si>
  <si>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</si>
  <si>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</si>
  <si>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</si>
  <si>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</si>
  <si>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</si>
  <si>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</si>
  <si>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</si>
  <si>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</si>
  <si>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</si>
  <si>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</si>
  <si>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</si>
  <si>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</si>
  <si>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</si>
  <si>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</si>
  <si>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</si>
  <si>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</si>
  <si>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</si>
  <si>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</si>
  <si>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</si>
  <si>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</si>
  <si>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</si>
  <si>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</si>
  <si>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</si>
  <si>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</si>
  <si>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</si>
  <si>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</si>
  <si>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</si>
  <si>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</si>
  <si>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</si>
  <si>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</si>
  <si>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</si>
  <si>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</si>
  <si>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</si>
  <si>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</si>
  <si>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</si>
  <si>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</si>
  <si>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</si>
  <si>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</si>
  <si>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</si>
  <si>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</si>
  <si>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</si>
  <si>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</si>
  <si>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</si>
  <si>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</si>
  <si>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</si>
  <si>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</si>
  <si>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</si>
  <si>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</si>
  <si>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</si>
  <si>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</si>
  <si>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</si>
  <si>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</si>
  <si>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</si>
  <si>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</si>
  <si>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</si>
  <si>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</si>
  <si>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</si>
  <si>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</si>
  <si>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</si>
  <si>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</si>
  <si>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</si>
  <si>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</si>
  <si>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</si>
  <si>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</si>
  <si>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</si>
  <si>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</si>
  <si>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</si>
  <si>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</si>
  <si>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</si>
  <si>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</si>
  <si>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</si>
  <si>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</si>
  <si>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</si>
  <si>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</si>
  <si>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</si>
  <si>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</si>
  <si>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</si>
  <si>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</si>
  <si>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</si>
  <si>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</si>
  <si>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</si>
  <si>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</si>
  <si>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</si>
  <si>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</si>
  <si>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</si>
  <si>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</si>
  <si>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</si>
  <si>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</si>
  <si>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</si>
  <si>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</si>
  <si>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</si>
  <si>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</si>
  <si>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</si>
  <si>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</si>
  <si>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</si>
  <si>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</si>
  <si>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</si>
  <si>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</si>
  <si>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</si>
  <si>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</si>
  <si>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</si>
  <si>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</si>
  <si>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</si>
  <si>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</si>
  <si>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</si>
  <si>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</si>
  <si>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</si>
  <si>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</si>
  <si>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</si>
  <si>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</si>
  <si>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</si>
  <si>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</si>
  <si>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</si>
  <si>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</si>
  <si>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</si>
  <si>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</si>
  <si>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</si>
  <si>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</si>
  <si>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</si>
  <si>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</si>
  <si>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</si>
  <si>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</si>
  <si>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</si>
  <si>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</si>
  <si>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</si>
  <si>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</si>
  <si>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</si>
  <si>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</si>
  <si>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</si>
  <si>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</si>
  <si>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</si>
  <si>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</si>
  <si>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</si>
  <si>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</si>
  <si>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</si>
  <si>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</si>
  <si>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</si>
  <si>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</si>
  <si>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</si>
  <si>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</si>
  <si>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</si>
  <si>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</si>
  <si>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</si>
  <si>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</si>
  <si>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</si>
  <si>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</si>
  <si>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</si>
  <si>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</si>
  <si>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</si>
  <si>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</si>
  <si>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</si>
  <si>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</si>
  <si>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</si>
  <si>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</si>
  <si>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</si>
  <si>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</si>
  <si>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</si>
  <si>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</si>
  <si>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</si>
  <si>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</si>
  <si>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</si>
  <si>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</si>
  <si>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</si>
  <si>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</si>
  <si>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</si>
  <si>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</si>
  <si>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</si>
  <si>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</si>
  <si>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</si>
  <si>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</si>
  <si>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</si>
  <si>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</si>
  <si>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</si>
  <si>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</si>
  <si>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</si>
  <si>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</si>
  <si>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</si>
  <si>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</si>
  <si>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</si>
  <si>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</si>
  <si>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</si>
  <si>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</si>
  <si>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</si>
  <si>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</si>
  <si>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</si>
  <si>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</si>
  <si>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</si>
  <si>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</si>
  <si>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</si>
  <si>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</si>
  <si>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</si>
  <si>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</si>
  <si>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</si>
  <si>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</si>
  <si>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</si>
  <si>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</si>
  <si>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</si>
  <si>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</si>
  <si>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</si>
  <si>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</si>
  <si>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</si>
  <si>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</si>
  <si>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</si>
  <si>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</si>
  <si>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</si>
  <si>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</si>
  <si>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</si>
  <si>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</si>
  <si>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</si>
  <si>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</si>
  <si>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</si>
  <si>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</si>
  <si>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</si>
  <si>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</si>
  <si>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</si>
  <si>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</si>
  <si>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</si>
  <si>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</si>
  <si>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</si>
  <si>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</si>
  <si>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</si>
  <si>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</si>
  <si>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</si>
  <si>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</si>
  <si>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</si>
  <si>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</si>
  <si>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</si>
  <si>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</si>
  <si>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</si>
  <si>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</si>
  <si>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</si>
  <si>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</si>
  <si>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</si>
  <si>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</si>
  <si>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</si>
  <si>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</si>
  <si>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</si>
  <si>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</si>
  <si>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</si>
  <si>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</si>
  <si>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</si>
  <si>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</si>
  <si>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</si>
  <si>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</si>
  <si>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</si>
  <si>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</si>
  <si>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</si>
  <si>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</si>
  <si>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</si>
  <si>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</si>
  <si>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</si>
  <si>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</si>
  <si>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</si>
  <si>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</si>
  <si>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</si>
  <si>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</si>
  <si>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</si>
  <si>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</si>
  <si>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</si>
  <si>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</si>
  <si>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</si>
  <si>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</si>
  <si>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</si>
  <si>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</si>
  <si>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</si>
  <si>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</si>
  <si>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</si>
  <si>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</si>
  <si>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</si>
  <si>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</si>
  <si>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</si>
  <si>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</si>
  <si>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</si>
  <si>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</si>
  <si>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</si>
  <si>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</si>
  <si>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</si>
  <si>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</si>
  <si>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</si>
  <si>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</si>
  <si>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</si>
  <si>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</si>
  <si>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</si>
  <si>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</si>
  <si>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</si>
  <si>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</si>
  <si>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</si>
  <si>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</si>
  <si>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</si>
  <si>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</si>
  <si>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</si>
  <si>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</si>
  <si>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</si>
  <si>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</si>
  <si>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</si>
  <si>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</si>
  <si>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</si>
  <si>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</si>
  <si>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</si>
  <si>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</si>
  <si>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</si>
  <si>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</si>
  <si>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</si>
  <si>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</si>
  <si>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</si>
  <si>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</si>
  <si>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</si>
  <si>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</si>
  <si>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</si>
  <si>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</si>
  <si>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</si>
  <si>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</si>
  <si>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</si>
  <si>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</si>
  <si>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</si>
  <si>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</si>
  <si>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</si>
  <si>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</si>
  <si>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</si>
  <si>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</si>
  <si>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</si>
  <si>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</si>
  <si>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</si>
  <si>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</si>
  <si>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</si>
  <si>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</si>
  <si>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</si>
  <si>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</si>
  <si>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</si>
  <si>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</si>
  <si>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</si>
  <si>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</si>
  <si>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</si>
  <si>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</si>
  <si>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</si>
  <si>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</si>
  <si>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</si>
  <si>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</si>
  <si>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</si>
  <si>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</si>
  <si>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</si>
  <si>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</si>
  <si>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</si>
  <si>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</si>
  <si>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</si>
  <si>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</si>
  <si>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</si>
  <si>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</si>
  <si>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</si>
  <si>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</si>
  <si>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</si>
  <si>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</si>
  <si>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</si>
  <si>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</si>
  <si>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</si>
  <si>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</si>
  <si>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</si>
  <si>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</si>
  <si>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</si>
  <si>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</si>
  <si>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</si>
  <si>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</si>
  <si>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</si>
  <si>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</si>
  <si>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</si>
  <si>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</si>
  <si>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</si>
  <si>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</si>
  <si>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</si>
  <si>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</si>
  <si>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</si>
  <si>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</si>
  <si>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</si>
  <si>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</si>
  <si>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</si>
  <si>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</si>
  <si>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</si>
  <si>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</si>
  <si>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</si>
  <si>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</si>
  <si>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</si>
  <si>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</si>
  <si>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</si>
  <si>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</si>
  <si>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</si>
  <si>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</si>
  <si>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</si>
  <si>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</si>
  <si>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</si>
  <si>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</si>
  <si>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</si>
  <si>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</si>
  <si>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</si>
  <si>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</si>
  <si>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</si>
  <si>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</si>
  <si>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</si>
  <si>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</si>
  <si>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</si>
  <si>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</si>
  <si>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</si>
  <si>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</si>
  <si>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</si>
  <si>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</si>
  <si>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</si>
  <si>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</si>
  <si>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</si>
  <si>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</si>
  <si>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</si>
  <si>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</si>
  <si>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</si>
  <si>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</si>
  <si>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</si>
  <si>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</si>
  <si>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</si>
  <si>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</si>
  <si>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</si>
  <si>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</si>
  <si>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</si>
  <si>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</si>
  <si>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</si>
  <si>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</si>
  <si>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</si>
  <si>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</si>
  <si>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</si>
  <si>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</si>
  <si>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</si>
  <si>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</si>
  <si>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</si>
  <si>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</si>
  <si>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</si>
  <si>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</si>
  <si>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</si>
  <si>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</si>
  <si>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</si>
  <si>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</si>
  <si>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</si>
  <si>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</si>
  <si>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</si>
  <si>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</si>
  <si>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</si>
  <si>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</si>
  <si>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</si>
  <si>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</si>
  <si>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</si>
  <si>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</si>
  <si>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</si>
  <si>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</si>
  <si>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</si>
  <si>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</si>
  <si>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</si>
  <si>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</si>
  <si>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</si>
  <si>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</si>
  <si>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</si>
  <si>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</si>
  <si>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</si>
  <si>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</si>
  <si>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</si>
  <si>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</si>
  <si>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</si>
  <si>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</si>
  <si>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</si>
  <si>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</si>
  <si>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</si>
  <si>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</si>
  <si>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</si>
  <si>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</si>
  <si>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</si>
  <si>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</si>
  <si>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</si>
  <si>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</si>
  <si>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</si>
  <si>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</si>
  <si>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</si>
  <si>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</si>
  <si>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</si>
  <si>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</si>
  <si>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</si>
  <si>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</si>
  <si>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</si>
  <si>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</si>
  <si>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</si>
  <si>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</si>
  <si>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</si>
  <si>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</si>
  <si>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</si>
  <si>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</si>
  <si>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</si>
  <si>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</si>
  <si>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</si>
  <si>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</si>
  <si>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</si>
  <si>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</si>
  <si>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</si>
  <si>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</si>
  <si>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</si>
  <si>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</si>
  <si>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</si>
  <si>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</si>
  <si>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</si>
  <si>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</si>
  <si>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</si>
  <si>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</si>
  <si>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</si>
  <si>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</si>
  <si>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</si>
  <si>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</si>
  <si>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</si>
  <si>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</si>
  <si>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</si>
  <si>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</si>
  <si>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</si>
  <si>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</si>
  <si>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</si>
  <si>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</si>
  <si>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</si>
  <si>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</si>
  <si>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</si>
  <si>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</si>
  <si>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</si>
  <si>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</si>
  <si>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</si>
  <si>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</si>
  <si>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</si>
  <si>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</si>
  <si>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</si>
  <si>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</si>
  <si>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</si>
  <si>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</si>
  <si>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</si>
  <si>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</si>
  <si>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</si>
  <si>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</si>
  <si>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</si>
  <si>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</si>
  <si>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</si>
  <si>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</si>
  <si>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</si>
  <si>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</si>
  <si>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</si>
  <si>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</si>
  <si>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</si>
  <si>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</si>
  <si>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</si>
  <si>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</si>
  <si>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</si>
  <si>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</si>
  <si>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</si>
  <si>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</si>
  <si>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</si>
  <si>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</si>
  <si>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</si>
  <si>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</si>
  <si>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</si>
  <si>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</si>
  <si>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</si>
  <si>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</si>
  <si>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</si>
  <si>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</si>
  <si>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</si>
  <si>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</si>
  <si>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</si>
  <si>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</si>
  <si>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</si>
  <si>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</si>
  <si>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</si>
  <si>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</si>
  <si>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</si>
  <si>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</si>
  <si>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</si>
  <si>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</si>
  <si>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</si>
  <si>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</si>
  <si>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</si>
  <si>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</si>
  <si>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</si>
  <si>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</si>
  <si>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</si>
  <si>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</si>
  <si>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</si>
  <si>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</si>
  <si>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</si>
  <si>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</si>
  <si>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</si>
  <si>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</si>
  <si>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</si>
  <si>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</si>
  <si>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</si>
  <si>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</si>
  <si>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</si>
  <si>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</si>
  <si>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</si>
  <si>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</si>
  <si>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</si>
  <si>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</si>
  <si>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</si>
  <si>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</si>
  <si>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</si>
  <si>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</si>
  <si>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</si>
  <si>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</si>
  <si>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</si>
  <si>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</si>
  <si>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</si>
  <si>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</si>
  <si>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</si>
  <si>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</si>
  <si>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</si>
  <si>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</si>
  <si>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</si>
  <si>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</si>
  <si>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</si>
  <si>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</si>
  <si>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</si>
  <si>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</si>
  <si>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</si>
  <si>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</si>
  <si>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</si>
  <si>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</si>
  <si>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</si>
  <si>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</si>
  <si>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</si>
  <si>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</si>
  <si>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</si>
  <si>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</si>
  <si>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</si>
  <si>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</si>
  <si>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</si>
  <si>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</si>
  <si>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</si>
  <si>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</si>
  <si>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</si>
  <si>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</si>
  <si>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</si>
  <si>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</si>
  <si>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</si>
  <si>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</si>
  <si>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</si>
  <si>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</si>
  <si>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</si>
  <si>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</si>
  <si>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</si>
  <si>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</si>
  <si>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</si>
  <si>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</si>
  <si>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</si>
  <si>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</si>
  <si>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</si>
  <si>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</si>
  <si>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</si>
  <si>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</si>
  <si>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</si>
  <si>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</si>
  <si>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</si>
  <si>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</si>
  <si>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</si>
  <si>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</si>
  <si>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</si>
  <si>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</si>
  <si>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</si>
  <si>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</si>
  <si>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</si>
  <si>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</si>
  <si>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</si>
  <si>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</si>
  <si>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</si>
  <si>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</si>
  <si>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</si>
  <si>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</si>
  <si>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</si>
  <si>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</si>
  <si>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</si>
  <si>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</si>
  <si>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</si>
  <si>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</si>
  <si>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</si>
  <si>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</si>
  <si>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</si>
  <si>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</si>
  <si>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</si>
  <si>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</si>
  <si>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</si>
  <si>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</si>
  <si>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</si>
  <si>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</si>
  <si>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</si>
  <si>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</si>
  <si>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</si>
  <si>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</si>
  <si>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</si>
  <si>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</si>
  <si>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</si>
  <si>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</si>
  <si>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</si>
  <si>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</si>
  <si>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</si>
  <si>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</si>
  <si>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</si>
  <si>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</si>
  <si>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</si>
  <si>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</si>
  <si>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</si>
  <si>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</si>
  <si>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</si>
  <si>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</si>
  <si>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</si>
  <si>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</si>
  <si>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</si>
  <si>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</si>
  <si>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</si>
  <si>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</si>
  <si>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</si>
  <si>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</si>
  <si>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</si>
  <si>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</si>
  <si>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</si>
  <si>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</si>
  <si>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</si>
  <si>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</si>
  <si>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</si>
  <si>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</si>
  <si>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</si>
  <si>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</si>
  <si>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</si>
  <si>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</si>
  <si>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</si>
  <si>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</si>
  <si>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</si>
  <si>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</si>
  <si>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</si>
  <si>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</si>
  <si>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</si>
  <si>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</si>
  <si>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</si>
  <si>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</si>
  <si>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</si>
  <si>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</si>
  <si>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</si>
  <si>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</si>
  <si>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</si>
  <si>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</si>
  <si>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</si>
  <si>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</si>
  <si>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</si>
  <si>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</si>
  <si>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</si>
  <si>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</si>
  <si>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</si>
  <si>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</si>
  <si>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</si>
  <si>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</si>
  <si>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</si>
  <si>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</si>
  <si>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</si>
  <si>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</si>
  <si>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</si>
  <si>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</si>
  <si>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</si>
  <si>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</si>
  <si>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</si>
  <si>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</si>
  <si>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</si>
  <si>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</si>
  <si>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</si>
  <si>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</si>
  <si>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</si>
  <si>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</si>
  <si>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</si>
  <si>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</si>
  <si>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</si>
  <si>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</si>
  <si>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</si>
  <si>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</si>
  <si>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</si>
  <si>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</si>
  <si>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</si>
  <si>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</si>
  <si>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</si>
  <si>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</si>
  <si>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</si>
  <si>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</si>
  <si>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</si>
  <si>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</si>
  <si>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</si>
  <si>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</si>
  <si>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</si>
  <si>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</si>
  <si>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</si>
  <si>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</si>
  <si>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</si>
  <si>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</si>
  <si>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</si>
  <si>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</si>
  <si>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</si>
  <si>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</si>
  <si>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</si>
  <si>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</si>
  <si>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</si>
  <si>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</si>
  <si>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</si>
  <si>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</si>
  <si>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</si>
  <si>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</si>
  <si>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</si>
  <si>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</si>
  <si>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</si>
  <si>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</si>
  <si>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</si>
  <si>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</si>
  <si>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</si>
  <si>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</si>
  <si>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</si>
  <si>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</si>
  <si>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</si>
  <si>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</si>
  <si>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</si>
  <si>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</si>
  <si>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</si>
  <si>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</si>
  <si>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</si>
  <si>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</si>
  <si>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</si>
  <si>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</si>
  <si>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</si>
  <si>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</si>
  <si>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</si>
  <si>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</si>
  <si>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</si>
  <si>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</si>
  <si>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</si>
  <si>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</si>
  <si>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</si>
  <si>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</si>
  <si>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</si>
  <si>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</si>
  <si>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</si>
  <si>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</si>
  <si>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</si>
  <si>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</si>
  <si>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</si>
  <si>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</si>
  <si>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</si>
  <si>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</si>
  <si>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</si>
  <si>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</si>
  <si>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</si>
  <si>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</si>
  <si>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</si>
  <si>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</si>
  <si>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</si>
  <si>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</si>
  <si>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</si>
  <si>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</si>
  <si>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</si>
  <si>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</si>
  <si>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</si>
  <si>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</si>
  <si>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</si>
  <si>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</si>
  <si>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</si>
  <si>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</si>
  <si>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</si>
  <si>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</si>
  <si>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</si>
  <si>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</si>
  <si>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</si>
  <si>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</si>
  <si>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</si>
  <si>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</si>
  <si>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</si>
  <si>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</si>
  <si>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</si>
  <si>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</si>
  <si>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</si>
  <si>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</si>
  <si>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</si>
  <si>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</si>
  <si>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</si>
  <si>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</si>
  <si>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</si>
  <si>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</si>
  <si>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</si>
  <si>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</si>
  <si>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</si>
  <si>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</si>
  <si>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</si>
  <si>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</si>
  <si>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</si>
  <si>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</si>
  <si>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</si>
  <si>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</si>
  <si>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</si>
  <si>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</si>
  <si>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</si>
  <si>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</si>
  <si>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</si>
  <si>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</si>
  <si>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</si>
  <si>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</si>
  <si>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</si>
  <si>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</si>
  <si>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</si>
  <si>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</si>
  <si>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</si>
  <si>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</si>
  <si>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</si>
  <si>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</si>
  <si>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</si>
  <si>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</si>
  <si>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</si>
  <si>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</si>
  <si>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</si>
  <si>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</si>
  <si>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</si>
  <si>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</si>
  <si>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</si>
  <si>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</si>
  <si>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</si>
  <si>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</si>
  <si>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</si>
  <si>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</si>
  <si>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</si>
  <si>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</si>
  <si>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</si>
  <si>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</si>
  <si>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</si>
  <si>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</si>
  <si>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</si>
  <si>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</si>
  <si>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</si>
  <si>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</si>
  <si>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</si>
  <si>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</si>
  <si>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</si>
  <si>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</si>
  <si>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</si>
  <si>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</si>
  <si>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</si>
  <si>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</si>
  <si>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</si>
  <si>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</si>
  <si>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</si>
  <si>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</si>
  <si>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</si>
  <si>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</si>
  <si>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</si>
  <si>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</si>
  <si>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</si>
  <si>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</si>
  <si>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</si>
  <si>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</si>
  <si>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</si>
  <si>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</si>
  <si>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</si>
  <si>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</si>
  <si>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</si>
  <si>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</si>
  <si>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</si>
  <si>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</si>
  <si>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</si>
  <si>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</si>
  <si>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</si>
  <si>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</si>
  <si>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</si>
  <si>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</si>
  <si>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</si>
  <si>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</si>
  <si>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</si>
  <si>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</si>
  <si>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</si>
  <si>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</si>
  <si>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</si>
  <si>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</si>
  <si>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</si>
  <si>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</si>
  <si>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</si>
  <si>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</si>
  <si>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</si>
  <si>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</si>
  <si>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</si>
  <si>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</si>
  <si>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</si>
  <si>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</si>
  <si>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</si>
  <si>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</si>
  <si>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</si>
  <si>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</si>
  <si>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</si>
  <si>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</si>
  <si>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</si>
  <si>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</si>
  <si>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</si>
  <si>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</si>
  <si>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</si>
  <si>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</si>
  <si>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</si>
  <si>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</si>
  <si>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</si>
  <si>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</si>
  <si>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</si>
  <si>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</si>
  <si>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</si>
  <si>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</si>
  <si>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</si>
  <si>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</si>
  <si>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</si>
  <si>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</si>
  <si>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</si>
  <si>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</si>
  <si>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</si>
  <si>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</si>
  <si>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</si>
  <si>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</si>
  <si>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</si>
  <si>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</si>
  <si>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</si>
  <si>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</si>
  <si>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</si>
  <si>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</si>
  <si>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</si>
  <si>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</si>
  <si>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</si>
  <si>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</si>
  <si>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</si>
  <si>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</si>
  <si>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</si>
  <si>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</si>
  <si>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</si>
  <si>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</si>
  <si>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</si>
  <si>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</si>
  <si>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</si>
  <si>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</si>
  <si>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</si>
  <si>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</si>
  <si>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</si>
  <si>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</si>
  <si>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</si>
  <si>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</si>
  <si>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</si>
  <si>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</si>
  <si>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</si>
  <si>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</si>
  <si>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</si>
  <si>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</si>
  <si>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</si>
  <si>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</si>
  <si>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</si>
  <si>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</si>
  <si>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</si>
  <si>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</si>
  <si>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</si>
  <si>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</si>
  <si>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</si>
  <si>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</si>
  <si>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</si>
  <si>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</si>
  <si>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</si>
  <si>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</si>
  <si>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</si>
  <si>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</si>
  <si>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</si>
  <si>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</si>
  <si>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</si>
  <si>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</si>
  <si>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</si>
  <si>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</si>
  <si>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</si>
  <si>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</si>
  <si>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</si>
  <si>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</si>
  <si>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</si>
  <si>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</si>
  <si>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</si>
  <si>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</si>
  <si>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</si>
  <si>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</si>
  <si>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</si>
  <si>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</si>
  <si>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</si>
  <si>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</si>
  <si>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</si>
  <si>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</si>
  <si>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</si>
  <si>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</si>
  <si>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</si>
  <si>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</si>
  <si>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</si>
  <si>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</si>
  <si>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</si>
  <si>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</si>
  <si>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</si>
  <si>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</si>
  <si>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</si>
  <si>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</si>
  <si>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</si>
  <si>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</si>
  <si>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</si>
  <si>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</si>
  <si>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</si>
  <si>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</si>
  <si>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</si>
  <si>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</si>
  <si>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</si>
  <si>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</si>
  <si>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</si>
  <si>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</si>
  <si>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</si>
  <si>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</si>
  <si>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</si>
  <si>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</si>
  <si>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</si>
  <si>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</si>
  <si>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</si>
  <si>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</si>
  <si>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</si>
  <si>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</si>
  <si>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</si>
  <si>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</si>
  <si>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</si>
  <si>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</si>
  <si>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</si>
  <si>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</si>
  <si>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</si>
  <si>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</si>
  <si>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</si>
  <si>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</si>
  <si>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</si>
  <si>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</si>
  <si>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</si>
  <si>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</si>
  <si>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</si>
  <si>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</si>
  <si>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</si>
  <si>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</si>
  <si>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</si>
  <si>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</si>
  <si>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</si>
  <si>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</si>
  <si>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</si>
  <si>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</si>
  <si>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</si>
  <si>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</si>
  <si>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</si>
  <si>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</si>
  <si>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</si>
  <si>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</si>
  <si>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</si>
  <si>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</si>
  <si>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</si>
  <si>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</si>
  <si>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</si>
  <si>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</si>
  <si>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</si>
  <si>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</si>
  <si>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</si>
  <si>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</si>
  <si>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</si>
  <si>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</si>
  <si>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</si>
  <si>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</si>
  <si>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</si>
  <si>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</si>
  <si>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</si>
  <si>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</si>
  <si>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</si>
  <si>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</si>
  <si>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</si>
  <si>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</si>
  <si>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</si>
  <si>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</si>
  <si>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</si>
  <si>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</si>
  <si>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</si>
  <si>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</si>
  <si>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</si>
  <si>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</si>
  <si>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</si>
  <si>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</si>
  <si>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</si>
  <si>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</si>
  <si>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</si>
  <si>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</si>
  <si>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</si>
  <si>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</si>
  <si>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</si>
  <si>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</si>
  <si>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</si>
  <si>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</si>
  <si>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</si>
  <si>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</si>
  <si>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</si>
  <si>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</si>
  <si>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</si>
  <si>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</si>
  <si>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</si>
  <si>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</si>
  <si>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</si>
  <si>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</si>
  <si>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</si>
  <si>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</si>
  <si>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</si>
  <si>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</si>
  <si>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</si>
  <si>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</si>
  <si>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</si>
  <si>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</si>
  <si>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</si>
  <si>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</si>
  <si>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</si>
  <si>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</si>
  <si>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</si>
  <si>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</si>
  <si>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</si>
  <si>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</si>
  <si>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</si>
  <si>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</si>
  <si>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</si>
  <si>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</si>
  <si>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</si>
  <si>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</si>
  <si>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</si>
  <si>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</si>
  <si>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</si>
  <si>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</si>
  <si>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</si>
  <si>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</si>
  <si>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</si>
  <si>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</si>
  <si>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</si>
  <si>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</si>
  <si>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</si>
  <si>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</si>
  <si>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</si>
  <si>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</si>
  <si>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</si>
  <si>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</si>
  <si>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</si>
  <si>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</si>
  <si>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</si>
  <si>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</si>
  <si>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</si>
  <si>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</si>
  <si>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</si>
  <si>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</si>
  <si>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</si>
  <si>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</si>
  <si>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</si>
  <si>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</si>
  <si>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</si>
  <si>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</si>
  <si>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</si>
  <si>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</si>
  <si>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</si>
  <si>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</si>
  <si>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</si>
  <si>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</si>
  <si>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</si>
  <si>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</si>
  <si>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</si>
  <si>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</si>
  <si>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</si>
  <si>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</si>
  <si>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</si>
  <si>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</si>
  <si>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</si>
  <si>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</si>
  <si>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</si>
  <si>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</si>
  <si>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</si>
  <si>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</si>
  <si>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</si>
  <si>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</si>
  <si>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</si>
  <si>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</si>
  <si>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</si>
  <si>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</si>
  <si>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</si>
  <si>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</si>
  <si>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</si>
  <si>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</si>
  <si>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</si>
  <si>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</si>
  <si>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</si>
  <si>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</si>
  <si>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</si>
  <si>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</si>
  <si>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</si>
  <si>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</si>
  <si>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</si>
  <si>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</si>
  <si>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</si>
  <si>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</si>
  <si>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</si>
  <si>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</si>
  <si>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</si>
  <si>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</si>
  <si>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</si>
  <si>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</si>
  <si>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</si>
  <si>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</si>
  <si>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</si>
  <si>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</si>
  <si>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</si>
  <si>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</si>
  <si>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</si>
  <si>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</si>
  <si>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</si>
  <si>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</si>
  <si>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</si>
  <si>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</si>
  <si>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</si>
  <si>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</si>
  <si>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</si>
  <si>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</si>
  <si>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</si>
  <si>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</si>
  <si>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</si>
  <si>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</si>
  <si>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</si>
  <si>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</si>
  <si>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</si>
  <si>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</si>
  <si>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</si>
  <si>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</si>
  <si>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</si>
  <si>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</si>
  <si>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</si>
  <si>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</si>
  <si>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</si>
  <si>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</si>
  <si>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</si>
  <si>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</si>
  <si>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</si>
  <si>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</si>
  <si>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</si>
  <si>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</si>
  <si>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</si>
  <si>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</si>
  <si>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</si>
  <si>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</si>
  <si>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</si>
  <si>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</si>
  <si>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</si>
  <si>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</si>
  <si>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</si>
  <si>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</si>
  <si>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</si>
  <si>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</si>
  <si>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</si>
  <si>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</si>
  <si>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</si>
  <si>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</si>
  <si>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</si>
  <si>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</si>
  <si>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</si>
  <si>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</si>
  <si>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</si>
  <si>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</si>
  <si>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</si>
  <si>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</si>
  <si>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</si>
  <si>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</si>
  <si>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</si>
  <si>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</si>
  <si>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</si>
  <si>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</si>
  <si>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</si>
  <si>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</si>
  <si>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</si>
  <si>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</si>
  <si>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</si>
  <si>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</si>
  <si>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</si>
  <si>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</si>
  <si>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</si>
  <si>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</si>
  <si>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</si>
  <si>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</si>
  <si>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</si>
  <si>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</si>
  <si>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</si>
  <si>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</si>
  <si>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</si>
  <si>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</si>
  <si>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</si>
  <si>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</si>
  <si>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</si>
  <si>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</si>
  <si>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</si>
  <si>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</si>
  <si>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</si>
  <si>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</si>
  <si>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</si>
  <si>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</si>
  <si>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</si>
  <si>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</si>
  <si>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</si>
  <si>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</si>
  <si>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</si>
  <si>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</si>
  <si>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</si>
  <si>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</si>
  <si>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</si>
  <si>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</si>
  <si>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</si>
  <si>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</si>
  <si>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</si>
  <si>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</si>
  <si>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</si>
  <si>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</si>
  <si>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</si>
  <si>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</si>
  <si>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</si>
  <si>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</si>
  <si>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</si>
  <si>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</si>
  <si>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</si>
  <si>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</si>
  <si>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</si>
  <si>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</si>
  <si>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</si>
  <si>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</si>
  <si>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</si>
  <si>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</si>
  <si>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</si>
  <si>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</si>
  <si>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</si>
  <si>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</si>
  <si>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</si>
  <si>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</si>
  <si>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</si>
  <si>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</si>
  <si>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</si>
  <si>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</si>
  <si>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</si>
  <si>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</si>
  <si>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</si>
  <si>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</si>
  <si>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</si>
  <si>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</si>
  <si>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</si>
  <si>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</si>
  <si>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</si>
  <si>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</si>
  <si>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</si>
  <si>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</si>
  <si>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</si>
  <si>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</si>
  <si>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</si>
  <si>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</si>
  <si>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</si>
  <si>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</si>
  <si>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</si>
  <si>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</si>
  <si>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</si>
  <si>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</si>
  <si>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</si>
  <si>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</si>
  <si>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</si>
  <si>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</si>
  <si>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</si>
  <si>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</si>
  <si>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</si>
  <si>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</si>
  <si>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</si>
  <si>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</si>
  <si>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</si>
  <si>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</si>
  <si>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</si>
  <si>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</si>
  <si>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</si>
  <si>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</si>
  <si>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</si>
  <si>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</si>
  <si>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</si>
  <si>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</si>
  <si>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</si>
  <si>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</si>
  <si>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</si>
  <si>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</si>
  <si>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</si>
  <si>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</si>
  <si>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</si>
  <si>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</si>
  <si>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</si>
  <si>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</si>
  <si>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</si>
  <si>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</si>
  <si>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</si>
  <si>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</si>
  <si>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</si>
  <si>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</si>
  <si>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</si>
  <si>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</si>
  <si>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</si>
  <si>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</si>
  <si>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</si>
  <si>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</si>
  <si>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</si>
  <si>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</si>
  <si>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</si>
  <si>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</si>
  <si>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</si>
  <si>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</si>
  <si>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</si>
  <si>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</si>
  <si>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</si>
  <si>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</si>
  <si>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</si>
  <si>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</si>
  <si>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</si>
  <si>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</si>
  <si>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</si>
  <si>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</si>
  <si>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</si>
  <si>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</si>
  <si>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</si>
  <si>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</si>
  <si>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</si>
  <si>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</si>
  <si>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</si>
  <si>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</si>
  <si>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</si>
  <si>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</si>
  <si>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</si>
  <si>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</si>
  <si>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</si>
  <si>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</si>
  <si>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</si>
  <si>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</si>
  <si>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</si>
  <si>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</si>
  <si>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</si>
  <si>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</si>
  <si>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</si>
  <si>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</si>
  <si>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</si>
  <si>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</si>
  <si>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</si>
  <si>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</si>
  <si>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</si>
  <si>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</si>
  <si>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</si>
  <si>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</si>
  <si>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</si>
  <si>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</si>
  <si>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</si>
  <si>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</si>
  <si>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</si>
  <si>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</si>
  <si>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</si>
  <si>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</si>
  <si>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</si>
  <si>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</si>
  <si>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</si>
  <si>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</si>
  <si>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</si>
  <si>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</si>
  <si>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</si>
  <si>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</si>
  <si>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</si>
  <si>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</si>
  <si>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</si>
  <si>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</si>
  <si>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</si>
  <si>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</si>
  <si>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</si>
  <si>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</si>
  <si>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</si>
  <si>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</si>
  <si>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</si>
  <si>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</si>
  <si>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</si>
  <si>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</si>
  <si>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</si>
  <si>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</si>
  <si>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</si>
  <si>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</si>
  <si>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</si>
  <si>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</si>
  <si>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</si>
  <si>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</si>
  <si>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</si>
  <si>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</si>
  <si>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</si>
  <si>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</si>
  <si>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</si>
  <si>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</si>
  <si>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</si>
  <si>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</si>
  <si>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</si>
  <si>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</si>
  <si>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</si>
  <si>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</si>
  <si>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</si>
  <si>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</si>
  <si>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</si>
  <si>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</si>
  <si>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</si>
  <si>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</si>
  <si>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</si>
  <si>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</si>
  <si>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</si>
  <si>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</si>
  <si>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</si>
  <si>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</si>
  <si>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</si>
  <si>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</si>
  <si>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</si>
  <si>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</si>
  <si>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</si>
  <si>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</si>
  <si>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</si>
  <si>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</si>
  <si>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</si>
  <si>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</si>
  <si>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</si>
  <si>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</si>
  <si>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</si>
  <si>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</si>
  <si>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</si>
  <si>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</si>
  <si>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</si>
  <si>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</si>
  <si>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</si>
  <si>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</si>
  <si>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</si>
  <si>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</si>
  <si>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</si>
  <si>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</si>
  <si>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</si>
  <si>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</si>
  <si>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</si>
  <si>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</si>
  <si>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</si>
  <si>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</si>
  <si>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</si>
  <si>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</si>
  <si>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</si>
  <si>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</si>
  <si>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</si>
  <si>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</si>
  <si>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</si>
  <si>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</si>
  <si>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</si>
  <si>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</si>
  <si>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</si>
  <si>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</si>
  <si>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</si>
  <si>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</si>
  <si>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</si>
  <si>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</si>
  <si>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</si>
  <si>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</si>
  <si>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</si>
  <si>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</si>
  <si>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</si>
  <si>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</si>
  <si>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</si>
  <si>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</si>
  <si>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</si>
  <si>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</si>
  <si>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</si>
  <si>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</si>
  <si>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</si>
  <si>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</si>
  <si>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</si>
  <si>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</si>
  <si>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</si>
  <si>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</si>
  <si>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</si>
  <si>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</si>
  <si>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</si>
  <si>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</si>
  <si>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</si>
  <si>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</si>
  <si>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</si>
  <si>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</si>
  <si>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</si>
  <si>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</si>
  <si>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</si>
  <si>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</si>
  <si>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</si>
  <si>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</si>
  <si>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</si>
  <si>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</si>
  <si>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</si>
  <si>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</si>
  <si>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</si>
  <si>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</si>
  <si>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</si>
  <si>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</si>
  <si>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</si>
  <si>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</si>
  <si>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</si>
  <si>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</si>
  <si>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</si>
  <si>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</si>
  <si>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</si>
  <si>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</si>
  <si>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</si>
  <si>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</si>
  <si>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</si>
  <si>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</si>
  <si>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</si>
  <si>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</si>
  <si>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</si>
  <si>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</si>
  <si>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</si>
  <si>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</si>
  <si>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</si>
  <si>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</si>
  <si>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</si>
  <si>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</si>
  <si>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</si>
  <si>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</si>
  <si>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</si>
  <si>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</si>
  <si>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</si>
  <si>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</si>
  <si>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</si>
  <si>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</si>
  <si>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</si>
  <si>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</si>
  <si>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</si>
  <si>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</si>
  <si>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</si>
  <si>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</si>
  <si>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</si>
  <si>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</si>
  <si>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</si>
  <si>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</si>
  <si>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</si>
  <si>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</si>
  <si>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</si>
  <si>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</si>
  <si>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</si>
  <si>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</si>
  <si>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</si>
  <si>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</si>
  <si>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</si>
  <si>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</si>
  <si>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</si>
  <si>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</si>
  <si>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</si>
  <si>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</si>
  <si>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</si>
  <si>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</si>
  <si>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</si>
  <si>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</si>
  <si>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</si>
  <si>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</si>
  <si>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</si>
  <si>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</si>
  <si>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</si>
  <si>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</si>
  <si>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</si>
  <si>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</si>
  <si>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</si>
  <si>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</si>
  <si>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</si>
  <si>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</si>
  <si>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</si>
  <si>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</si>
  <si>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</si>
  <si>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</si>
  <si>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</si>
  <si>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</si>
  <si>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</si>
  <si>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</si>
  <si>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</si>
  <si>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</si>
  <si>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</si>
  <si>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</si>
  <si>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</si>
  <si>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</si>
  <si>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</si>
  <si>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</si>
  <si>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</si>
  <si>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</si>
  <si>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</si>
  <si>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</si>
  <si>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</si>
  <si>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</si>
  <si>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</si>
  <si>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</si>
  <si>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</si>
  <si>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</si>
  <si>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</si>
  <si>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</si>
  <si>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</si>
  <si>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</si>
  <si>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</si>
  <si>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</si>
  <si>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</si>
  <si>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</si>
  <si>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</si>
  <si>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</si>
  <si>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</si>
  <si>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</si>
  <si>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</si>
  <si>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</si>
  <si>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</si>
  <si>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</si>
  <si>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</si>
  <si>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</si>
  <si>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</si>
  <si>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</si>
  <si>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</si>
  <si>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</si>
  <si>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</si>
  <si>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</si>
  <si>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</si>
  <si>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</si>
  <si>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</si>
  <si>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</si>
  <si>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</si>
  <si>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</si>
  <si>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</si>
  <si>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</si>
  <si>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</si>
  <si>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</si>
  <si>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</si>
  <si>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</si>
  <si>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</si>
  <si>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</si>
  <si>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</si>
  <si>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</si>
  <si>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</si>
  <si>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</si>
  <si>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</si>
  <si>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</si>
  <si>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</si>
  <si>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</si>
  <si>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</si>
  <si>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</si>
  <si>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</si>
  <si>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</si>
  <si>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</si>
  <si>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</si>
  <si>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</si>
  <si>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</si>
  <si>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</si>
  <si>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</si>
  <si>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</si>
  <si>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</si>
  <si>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</si>
  <si>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</si>
  <si>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</si>
  <si>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</si>
  <si>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</si>
  <si>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</si>
  <si>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</si>
  <si>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</si>
  <si>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</si>
  <si>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</si>
  <si>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</si>
  <si>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</si>
  <si>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</si>
  <si>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</si>
  <si>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</si>
  <si>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</si>
  <si>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</si>
  <si>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</si>
  <si>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</si>
  <si>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</si>
  <si>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</si>
  <si>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</si>
  <si>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</si>
  <si>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</si>
  <si>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</si>
  <si>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</si>
  <si>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</si>
  <si>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</si>
  <si>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</si>
  <si>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</si>
  <si>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</si>
  <si>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</si>
  <si>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</si>
  <si>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</si>
  <si>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</si>
  <si>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</si>
  <si>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</si>
  <si>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</si>
  <si>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</si>
  <si>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</si>
  <si>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</si>
  <si>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</si>
  <si>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</si>
  <si>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</si>
  <si>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</si>
  <si>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</si>
  <si>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</si>
  <si>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</si>
  <si>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</si>
  <si>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</si>
  <si>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</si>
  <si>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</si>
  <si>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</si>
  <si>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</si>
  <si>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</si>
  <si>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</si>
  <si>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</si>
  <si>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</si>
  <si>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</si>
  <si>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</si>
  <si>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</si>
  <si>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</si>
  <si>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</si>
  <si>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</si>
  <si>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</si>
  <si>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</si>
  <si>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</si>
  <si>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</si>
  <si>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</si>
  <si>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</si>
  <si>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</si>
  <si>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</si>
  <si>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</si>
  <si>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</si>
  <si>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</si>
  <si>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</si>
  <si>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</si>
  <si>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</si>
  <si>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</si>
  <si>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</si>
  <si>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</si>
  <si>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</si>
  <si>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</si>
  <si>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</si>
  <si>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</si>
  <si>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</si>
  <si>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</si>
  <si>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</si>
  <si>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</si>
  <si>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</si>
  <si>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</si>
  <si>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</si>
  <si>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</si>
  <si>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</si>
  <si>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</si>
  <si>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</si>
  <si>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</si>
  <si>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</si>
  <si>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</si>
  <si>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</si>
  <si>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</si>
  <si>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</si>
  <si>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</si>
  <si>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</si>
  <si>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</si>
  <si>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</si>
  <si>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</si>
  <si>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</si>
  <si>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</si>
  <si>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</si>
  <si>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</si>
  <si>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</si>
  <si>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</si>
  <si>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</si>
  <si>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</si>
  <si>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</si>
  <si>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</si>
  <si>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</si>
  <si>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</si>
  <si>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</si>
  <si>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</si>
  <si>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</si>
  <si>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</si>
  <si>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</si>
  <si>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</si>
  <si>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</si>
  <si>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</si>
  <si>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</si>
  <si>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</si>
  <si>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</si>
  <si>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</si>
  <si>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</si>
  <si>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</si>
  <si>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</si>
  <si>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</si>
  <si>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</si>
  <si>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</si>
  <si>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</si>
  <si>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</si>
  <si>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</si>
  <si>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</si>
  <si>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</si>
  <si>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</si>
  <si>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</si>
  <si>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</si>
  <si>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</si>
  <si>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</si>
  <si>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</si>
  <si>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</si>
  <si>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</si>
  <si>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</si>
  <si>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</si>
  <si>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</si>
  <si>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</si>
  <si>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</si>
  <si>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</si>
  <si>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</si>
  <si>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</si>
  <si>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</si>
  <si>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</si>
  <si>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</si>
  <si>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</si>
  <si>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</si>
  <si>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</si>
  <si>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</si>
  <si>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</si>
  <si>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</si>
  <si>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</si>
  <si>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</si>
  <si>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</si>
  <si>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</si>
  <si>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</si>
  <si>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</si>
  <si>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</si>
  <si>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</si>
  <si>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</si>
  <si>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</si>
  <si>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</si>
  <si>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</si>
  <si>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</si>
  <si>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</si>
  <si>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</si>
  <si>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</si>
  <si>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</si>
  <si>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</si>
  <si>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</si>
  <si>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</si>
  <si>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</si>
  <si>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</si>
  <si>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</si>
  <si>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</si>
  <si>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</si>
  <si>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</si>
  <si>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</si>
  <si>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</si>
  <si>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</si>
  <si>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</si>
  <si>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</si>
  <si>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</si>
  <si>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</si>
  <si>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</si>
  <si>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</si>
  <si>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</si>
  <si>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</si>
  <si>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</si>
  <si>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</si>
  <si>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</si>
  <si>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</si>
  <si>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</si>
  <si>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</si>
  <si>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</si>
  <si>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</si>
  <si>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</si>
  <si>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</si>
  <si>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</si>
  <si>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</si>
  <si>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</si>
  <si>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</si>
  <si>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</si>
  <si>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</si>
  <si>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</si>
  <si>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</si>
  <si>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</si>
  <si>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</si>
  <si>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</si>
  <si>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</si>
  <si>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</si>
  <si>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</si>
  <si>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</si>
  <si>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</si>
  <si>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</si>
  <si>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</si>
  <si>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</si>
  <si>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</si>
  <si>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</si>
  <si>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</si>
  <si>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</si>
  <si>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</si>
  <si>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</si>
  <si>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</si>
  <si>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</si>
  <si>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</si>
  <si>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</si>
  <si>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</si>
  <si>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</si>
  <si>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</si>
  <si>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</si>
  <si>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</si>
  <si>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</si>
  <si>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</si>
  <si>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</si>
  <si>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</si>
  <si>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</si>
  <si>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</si>
  <si>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</si>
  <si>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</si>
  <si>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</si>
  <si>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</si>
  <si>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</si>
  <si>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</si>
  <si>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</si>
  <si>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</si>
  <si>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</si>
  <si>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</si>
  <si>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</si>
  <si>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</si>
  <si>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</si>
  <si>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</si>
  <si>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</si>
  <si>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</si>
  <si>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</si>
  <si>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</si>
  <si>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</si>
  <si>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</si>
  <si>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</si>
  <si>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</si>
  <si>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</si>
  <si>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</si>
  <si>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</si>
  <si>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</si>
  <si>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</si>
  <si>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</si>
  <si>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</si>
  <si>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</si>
  <si>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</si>
  <si>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</si>
  <si>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</si>
  <si>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</si>
  <si>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</si>
  <si>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</si>
  <si>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</si>
  <si>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</si>
  <si>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</si>
  <si>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</si>
  <si>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</si>
  <si>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</si>
  <si>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</si>
  <si>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</si>
  <si>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</si>
  <si>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</si>
  <si>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</si>
  <si>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</si>
  <si>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</si>
  <si>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</si>
  <si>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</si>
  <si>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</si>
  <si>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</si>
  <si>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</si>
  <si>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</si>
  <si>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</si>
  <si>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</si>
  <si>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</si>
  <si>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</si>
  <si>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</si>
  <si>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</si>
  <si>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</si>
  <si>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</si>
  <si>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</si>
  <si>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</si>
  <si>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</si>
  <si>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</si>
  <si>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</si>
  <si>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</si>
  <si>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</si>
  <si>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</si>
  <si>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</si>
  <si>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</si>
  <si>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</si>
  <si>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</si>
  <si>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</si>
  <si>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</si>
  <si>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</si>
  <si>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</si>
  <si>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</si>
  <si>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</si>
  <si>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</si>
  <si>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</si>
  <si>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</si>
  <si>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</si>
  <si>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</si>
  <si>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</si>
  <si>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</si>
  <si>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</si>
  <si>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</si>
  <si>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</si>
  <si>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</si>
  <si>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</si>
  <si>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</si>
  <si>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</si>
  <si>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</si>
  <si>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</si>
  <si>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</si>
  <si>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</si>
  <si>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</si>
  <si>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</si>
  <si>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</si>
  <si>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</si>
  <si>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</si>
  <si>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</si>
  <si>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</si>
  <si>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</si>
  <si>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</si>
  <si>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</si>
  <si>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</si>
  <si>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</si>
  <si>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</si>
  <si>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</si>
  <si>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</si>
  <si>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</si>
  <si>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</si>
  <si>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</si>
  <si>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</si>
  <si>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</si>
  <si>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</si>
  <si>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</si>
  <si>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</si>
  <si>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</si>
  <si>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</si>
  <si>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</si>
  <si>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</si>
  <si>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</si>
  <si>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</si>
  <si>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</si>
  <si>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</si>
  <si>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</si>
  <si>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</si>
  <si>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</si>
  <si>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</si>
  <si>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</si>
  <si>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</si>
  <si>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</si>
  <si>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</si>
  <si>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</si>
  <si>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</si>
  <si>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</si>
  <si>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</si>
  <si>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</si>
  <si>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</si>
  <si>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</si>
  <si>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</si>
  <si>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</si>
  <si>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</si>
  <si>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</si>
  <si>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</si>
  <si>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</si>
  <si>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</si>
  <si>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</si>
  <si>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</si>
  <si>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</si>
  <si>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</si>
  <si>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</si>
  <si>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</si>
  <si>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</si>
  <si>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</si>
  <si>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</si>
  <si>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</si>
  <si>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</si>
  <si>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</si>
  <si>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</si>
  <si>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</si>
  <si>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</si>
  <si>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</si>
  <si>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</si>
  <si>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</si>
  <si>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</si>
  <si>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</si>
  <si>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</si>
  <si>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</si>
  <si>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</si>
  <si>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</si>
  <si>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</si>
  <si>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</si>
  <si>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</si>
  <si>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</si>
  <si>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</si>
  <si>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</si>
  <si>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</si>
  <si>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</si>
  <si>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</si>
  <si>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</si>
  <si>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</si>
  <si>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</si>
  <si>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</si>
  <si>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</si>
  <si>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</si>
  <si>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</si>
  <si>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</si>
  <si>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</si>
  <si>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</si>
  <si>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</si>
  <si>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</si>
  <si>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</si>
  <si>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</si>
  <si>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</si>
  <si>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</si>
  <si>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</si>
  <si>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</si>
  <si>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</si>
  <si>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</si>
  <si>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</si>
  <si>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</si>
  <si>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</si>
  <si>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</si>
  <si>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</si>
  <si>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</si>
  <si>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</si>
  <si>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</si>
  <si>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</si>
  <si>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</si>
  <si>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</si>
  <si>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</si>
  <si>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</si>
  <si>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</si>
  <si>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</si>
  <si>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</si>
  <si>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</si>
  <si>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</si>
  <si>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</si>
  <si>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</si>
  <si>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</si>
  <si>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</si>
  <si>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</si>
  <si>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</si>
  <si>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</si>
  <si>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</si>
  <si>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</si>
  <si>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</si>
  <si>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</si>
  <si>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</si>
  <si>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</si>
  <si>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</si>
  <si>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</si>
  <si>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</si>
  <si>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</si>
  <si>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</si>
  <si>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</si>
  <si>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</si>
  <si>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</si>
  <si>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</si>
  <si>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</si>
  <si>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</si>
  <si>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</si>
  <si>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</si>
  <si>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</si>
  <si>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</si>
  <si>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</si>
  <si>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</si>
  <si>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</si>
  <si>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</si>
  <si>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</si>
  <si>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</si>
  <si>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</si>
  <si>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</si>
  <si>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</si>
  <si>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</si>
  <si>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</si>
  <si>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</si>
  <si>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</si>
  <si>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</si>
  <si>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</si>
  <si>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</si>
  <si>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</si>
  <si>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</si>
  <si>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</si>
  <si>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</si>
  <si>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</si>
  <si>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</si>
  <si>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</si>
  <si>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</si>
  <si>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</si>
  <si>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</si>
  <si>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</si>
  <si>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</si>
  <si>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</si>
  <si>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</si>
  <si>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</si>
  <si>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</si>
  <si>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</si>
  <si>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</si>
  <si>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</si>
  <si>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</si>
  <si>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</si>
  <si>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</si>
  <si>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</si>
  <si>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</si>
  <si>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</si>
  <si>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</si>
  <si>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</si>
  <si>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</si>
  <si>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</si>
  <si>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</si>
  <si>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</si>
  <si>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</si>
  <si>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</si>
  <si>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</si>
  <si>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</si>
  <si>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</si>
  <si>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</si>
  <si>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</si>
  <si>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</si>
  <si>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</si>
  <si>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</si>
  <si>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</si>
  <si>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</si>
  <si>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</si>
  <si>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</si>
  <si>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</si>
  <si>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</si>
  <si>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</si>
  <si>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</si>
  <si>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</si>
  <si>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</si>
  <si>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</si>
  <si>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</si>
  <si>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</si>
  <si>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</si>
  <si>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</si>
  <si>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</si>
  <si>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</si>
  <si>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</si>
  <si>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</si>
  <si>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</si>
  <si>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</si>
  <si>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</si>
  <si>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</si>
  <si>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</si>
  <si>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</si>
  <si>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</si>
  <si>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</si>
  <si>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</si>
  <si>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</si>
  <si>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</si>
  <si>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</si>
  <si>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</si>
  <si>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</si>
  <si>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</si>
  <si>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</si>
  <si>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</si>
  <si>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</si>
  <si>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</si>
  <si>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</si>
  <si>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</si>
  <si>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</si>
  <si>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</si>
  <si>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</si>
  <si>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</si>
  <si>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</si>
  <si>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</si>
  <si>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</si>
  <si>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</si>
  <si>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</si>
  <si>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</si>
  <si>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</si>
  <si>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</si>
  <si>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</si>
  <si>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</si>
  <si>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</si>
  <si>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</si>
  <si>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</si>
  <si>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</si>
  <si>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</si>
  <si>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</si>
  <si>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</si>
  <si>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</si>
  <si>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</si>
  <si>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</si>
  <si>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</si>
  <si>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</si>
  <si>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</si>
  <si>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</si>
  <si>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</si>
  <si>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</si>
  <si>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</si>
  <si>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</si>
  <si>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</si>
  <si>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</si>
  <si>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</si>
  <si>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</si>
  <si>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</si>
  <si>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</si>
  <si>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</si>
  <si>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</si>
  <si>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</si>
  <si>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</si>
  <si>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</si>
  <si>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</si>
  <si>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</si>
  <si>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</si>
  <si>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</si>
  <si>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</si>
  <si>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</si>
  <si>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</si>
  <si>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</si>
  <si>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</si>
  <si>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</si>
  <si>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</si>
  <si>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</si>
  <si>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</si>
  <si>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</si>
  <si>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</si>
  <si>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</si>
  <si>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</si>
  <si>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</si>
  <si>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</si>
  <si>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</si>
  <si>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</si>
  <si>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</si>
  <si>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</si>
  <si>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</si>
  <si>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</si>
  <si>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</si>
  <si>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</si>
  <si>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</si>
  <si>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</si>
  <si>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</si>
  <si>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</si>
  <si>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</si>
  <si>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</si>
  <si>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</si>
  <si>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</si>
  <si>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</si>
  <si>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</si>
  <si>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</si>
  <si>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</si>
  <si>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</si>
  <si>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</si>
  <si>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</si>
  <si>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</si>
  <si>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</si>
  <si>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</si>
  <si>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</si>
  <si>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</si>
  <si>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</si>
  <si>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</si>
  <si>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</si>
  <si>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</si>
  <si>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</si>
  <si>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</si>
  <si>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</si>
  <si>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</si>
  <si>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</si>
  <si>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</si>
  <si>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</si>
  <si>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</si>
  <si>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</si>
  <si>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</si>
  <si>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</si>
  <si>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</si>
  <si>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</si>
  <si>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</si>
  <si>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</si>
  <si>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</si>
  <si>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</si>
  <si>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</si>
  <si>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</si>
  <si>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</si>
  <si>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</si>
  <si>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</si>
  <si>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</si>
  <si>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</si>
  <si>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</si>
  <si>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</si>
  <si>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</si>
  <si>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</si>
  <si>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</si>
  <si>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</si>
  <si>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</si>
  <si>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</si>
  <si>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</si>
  <si>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</si>
  <si>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</si>
  <si>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</si>
  <si>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</si>
  <si>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</si>
  <si>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</si>
  <si>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</si>
  <si>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</si>
  <si>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</si>
  <si>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</si>
  <si>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</si>
  <si>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</si>
  <si>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</si>
  <si>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</si>
  <si>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</si>
  <si>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</si>
  <si>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</si>
  <si>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</si>
  <si>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</si>
  <si>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</si>
  <si>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</si>
  <si>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</si>
  <si>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</si>
  <si>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</si>
  <si>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</si>
  <si>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</si>
  <si>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</si>
  <si>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</si>
  <si>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</si>
  <si>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</si>
  <si>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</si>
  <si>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</si>
  <si>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</si>
  <si>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</si>
  <si>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</si>
  <si>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</si>
  <si>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</si>
  <si>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</si>
  <si>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</si>
  <si>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</si>
  <si>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</si>
  <si>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</si>
  <si>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</si>
  <si>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</si>
  <si>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</si>
  <si>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</si>
  <si>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</si>
  <si>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</si>
  <si>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</si>
  <si>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</si>
  <si>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</si>
  <si>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</si>
  <si>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</si>
  <si>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</si>
  <si>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</si>
  <si>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</si>
  <si>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</si>
  <si>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</si>
  <si>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</si>
  <si>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</si>
  <si>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</si>
  <si>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</si>
  <si>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</si>
  <si>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</si>
  <si>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</si>
  <si>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</si>
  <si>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</si>
  <si>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</si>
  <si>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</si>
  <si>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</si>
  <si>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</si>
  <si>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</si>
  <si>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</si>
  <si>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</si>
  <si>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</si>
  <si>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</si>
  <si>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</si>
  <si>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</si>
  <si>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</si>
  <si>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</si>
  <si>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</si>
  <si>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</si>
  <si>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</si>
  <si>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</si>
  <si>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</si>
  <si>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</si>
  <si>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</si>
  <si>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</si>
  <si>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</si>
  <si>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</si>
  <si>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</si>
  <si>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</si>
  <si>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</si>
  <si>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</si>
  <si>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</si>
  <si>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</si>
  <si>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</si>
  <si>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</si>
  <si>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</si>
  <si>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</si>
  <si>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</si>
  <si>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</si>
  <si>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</si>
  <si>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</si>
  <si>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</si>
  <si>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</si>
  <si>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</si>
  <si>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</si>
  <si>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</si>
  <si>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</si>
  <si>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</si>
  <si>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</si>
  <si>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</si>
  <si>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</si>
  <si>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</si>
  <si>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</si>
  <si>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</si>
  <si>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</si>
  <si>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</si>
  <si>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</si>
  <si>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</si>
  <si>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</si>
  <si>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</si>
  <si>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</si>
  <si>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</si>
  <si>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</si>
  <si>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</si>
  <si>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</si>
  <si>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</si>
  <si>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</si>
  <si>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</si>
  <si>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</si>
  <si>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</si>
  <si>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</si>
  <si>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</si>
  <si>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</si>
  <si>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</si>
  <si>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</si>
  <si>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</si>
  <si>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</si>
  <si>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</si>
  <si>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</si>
  <si>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</si>
  <si>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</si>
  <si>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</si>
  <si>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</si>
  <si>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</si>
  <si>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</si>
  <si>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</si>
  <si>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</si>
  <si>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</si>
  <si>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</si>
  <si>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</si>
  <si>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</si>
  <si>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</si>
  <si>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</si>
  <si>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</si>
  <si>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</si>
  <si>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</si>
  <si>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</si>
  <si>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</si>
  <si>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</si>
  <si>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</si>
  <si>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</si>
  <si>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</si>
  <si>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</si>
  <si>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</si>
  <si>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</si>
  <si>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</si>
  <si>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</si>
  <si>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</si>
  <si>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</si>
  <si>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</si>
  <si>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</si>
  <si>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</si>
  <si>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</si>
  <si>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</si>
  <si>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</si>
  <si>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</si>
  <si>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</si>
  <si>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</si>
  <si>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</si>
  <si>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</si>
  <si>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</si>
  <si>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</si>
  <si>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</si>
  <si>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</si>
  <si>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</si>
  <si>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</si>
  <si>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</si>
  <si>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</si>
  <si>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</si>
  <si>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</si>
  <si>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</si>
  <si>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</si>
  <si>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</si>
  <si>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</si>
  <si>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</si>
  <si>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</si>
  <si>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</si>
  <si>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</si>
  <si>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</si>
  <si>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</si>
  <si>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</si>
  <si>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</si>
  <si>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</si>
  <si>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</si>
  <si>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</si>
  <si>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</si>
  <si>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</si>
  <si>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</si>
  <si>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</si>
  <si>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</si>
  <si>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</si>
  <si>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</si>
  <si>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</si>
  <si>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</si>
  <si>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</si>
  <si>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</si>
  <si>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</si>
  <si>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</si>
  <si>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</si>
  <si>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</si>
  <si>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</si>
  <si>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</si>
  <si>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</si>
  <si>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</si>
  <si>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</si>
  <si>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</si>
  <si>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</si>
  <si>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</si>
  <si>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</si>
  <si>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</si>
  <si>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</si>
  <si>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</si>
  <si>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</si>
  <si>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</si>
  <si>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</si>
  <si>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</si>
  <si>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</si>
  <si>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</si>
  <si>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</si>
  <si>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</si>
  <si>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</si>
  <si>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</si>
  <si>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</si>
  <si>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</si>
  <si>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</si>
  <si>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</si>
  <si>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</si>
  <si>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</si>
  <si>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</si>
  <si>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</si>
  <si>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</si>
  <si>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</si>
  <si>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</si>
  <si>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</si>
  <si>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</si>
  <si>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</si>
  <si>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</si>
  <si>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</si>
  <si>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</si>
  <si>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</si>
  <si>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</si>
  <si>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</si>
  <si>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</si>
  <si>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</si>
  <si>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</si>
  <si>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</si>
  <si>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</si>
  <si>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</si>
  <si>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</si>
  <si>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</si>
  <si>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</si>
  <si>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</si>
  <si>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</si>
  <si>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</si>
  <si>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</si>
  <si>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</si>
  <si>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</si>
  <si>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</si>
  <si>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</si>
  <si>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</si>
  <si>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</si>
  <si>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</si>
  <si>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</si>
  <si>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</si>
  <si>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</si>
  <si>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</si>
  <si>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</si>
  <si>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</si>
  <si>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</si>
  <si>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</si>
  <si>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</si>
  <si>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</si>
  <si>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</si>
  <si>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</si>
  <si>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</si>
  <si>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</si>
  <si>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</si>
  <si>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</si>
  <si>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</si>
  <si>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</si>
  <si>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</si>
  <si>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</si>
  <si>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</si>
  <si>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</si>
  <si>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</si>
  <si>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</si>
  <si>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</si>
  <si>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</si>
  <si>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</si>
  <si>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</si>
  <si>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</si>
  <si>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</si>
  <si>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</si>
  <si>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</si>
  <si>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</si>
  <si>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</si>
  <si>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</si>
  <si>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</si>
  <si>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</si>
  <si>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</si>
  <si>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</si>
  <si>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</si>
  <si>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</si>
  <si>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</si>
  <si>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</si>
  <si>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</si>
  <si>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</si>
  <si>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</si>
  <si>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</si>
  <si>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</si>
  <si>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</si>
  <si>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</si>
  <si>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</si>
  <si>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</si>
  <si>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</si>
  <si>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</si>
  <si>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</si>
  <si>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</si>
  <si>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</si>
  <si>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</si>
  <si>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</si>
  <si>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</si>
  <si>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</si>
  <si>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</si>
  <si>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</si>
  <si>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</si>
  <si>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</si>
  <si>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</si>
  <si>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</si>
  <si>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</si>
  <si>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</si>
  <si>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</si>
  <si>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</si>
  <si>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</si>
  <si>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</si>
  <si>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</si>
  <si>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</si>
  <si>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</si>
  <si>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</si>
  <si>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</si>
  <si>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</si>
  <si>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</si>
  <si>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</si>
  <si>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</si>
  <si>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</si>
  <si>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</si>
  <si>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</si>
  <si>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</si>
  <si>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</si>
  <si>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</si>
  <si>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</si>
  <si>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</si>
  <si>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</si>
  <si>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</si>
  <si>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</si>
  <si>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</si>
  <si>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</si>
  <si>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</si>
  <si>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</si>
  <si>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</si>
  <si>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</si>
  <si>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</si>
  <si>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</si>
  <si>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</si>
  <si>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</si>
  <si>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</si>
  <si>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</si>
  <si>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</si>
  <si>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</si>
  <si>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</si>
  <si>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</si>
  <si>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</si>
  <si>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</si>
  <si>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</si>
  <si>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</si>
  <si>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</si>
  <si>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</si>
  <si>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</si>
  <si>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</si>
  <si>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</si>
  <si>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</si>
  <si>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</si>
  <si>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</si>
  <si>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</si>
  <si>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</si>
  <si>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</si>
  <si>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</si>
  <si>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</si>
  <si>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</si>
  <si>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</si>
  <si>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</si>
  <si>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</si>
  <si>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</si>
  <si>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</si>
  <si>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</si>
  <si>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</si>
  <si>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</si>
  <si>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</si>
  <si>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</si>
  <si>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</si>
  <si>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</si>
  <si>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</si>
  <si>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</si>
  <si>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</si>
  <si>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</si>
  <si>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</si>
  <si>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</si>
  <si>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</si>
  <si>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</si>
  <si>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</si>
  <si>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</si>
  <si>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</si>
  <si>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</si>
  <si>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</si>
  <si>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</si>
  <si>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</si>
  <si>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</si>
  <si>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</si>
  <si>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</si>
  <si>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</si>
  <si>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</si>
  <si>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</si>
  <si>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</si>
  <si>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</si>
  <si>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</si>
  <si>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</si>
  <si>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</si>
  <si>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</si>
  <si>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</si>
  <si>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</si>
  <si>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</si>
  <si>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</si>
  <si>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</si>
  <si>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</si>
  <si>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</si>
  <si>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</si>
  <si>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</si>
  <si>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</si>
  <si>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</si>
  <si>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</si>
  <si>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</si>
  <si>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</si>
  <si>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</si>
  <si>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</si>
  <si>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</si>
  <si>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</si>
  <si>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</si>
  <si>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</si>
  <si>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</si>
  <si>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</si>
  <si>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</si>
  <si>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</si>
  <si>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</si>
  <si>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</si>
  <si>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</si>
  <si>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</si>
  <si>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</si>
  <si>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</si>
  <si>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</si>
  <si>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</si>
  <si>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</si>
  <si>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</si>
  <si>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</si>
  <si>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</si>
  <si>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</si>
  <si>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</si>
  <si>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</si>
  <si>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</si>
  <si>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</si>
  <si>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</si>
  <si>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</si>
  <si>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</si>
  <si>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</si>
  <si>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</si>
  <si>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</si>
  <si>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</si>
  <si>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</si>
  <si>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</si>
  <si>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</si>
  <si>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</si>
  <si>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</si>
  <si>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</si>
  <si>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</si>
  <si>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</si>
  <si>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</si>
  <si>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</si>
  <si>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</si>
  <si>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</si>
  <si>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</si>
  <si>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</si>
  <si>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</si>
  <si>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</si>
  <si>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</si>
  <si>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</si>
  <si>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</si>
  <si>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</si>
  <si>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</si>
  <si>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</si>
  <si>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</si>
  <si>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</si>
  <si>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</si>
  <si>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</si>
  <si>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</si>
  <si>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</si>
  <si>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</si>
  <si>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</si>
  <si>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</si>
  <si>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</si>
  <si>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</si>
  <si>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</si>
  <si>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</si>
  <si>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</si>
  <si>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</si>
  <si>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</si>
  <si>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</si>
  <si>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</si>
  <si>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</si>
  <si>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</si>
  <si>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</si>
  <si>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</si>
  <si>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</si>
  <si>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</si>
  <si>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</si>
  <si>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</si>
  <si>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</si>
  <si>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</si>
  <si>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</si>
  <si>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</si>
  <si>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</si>
  <si>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</si>
  <si>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</si>
  <si>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</si>
  <si>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</si>
  <si>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</si>
  <si>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</si>
  <si>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</si>
  <si>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</si>
  <si>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</si>
  <si>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</si>
  <si>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</si>
  <si>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</si>
  <si>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</si>
  <si>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</si>
  <si>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</si>
  <si>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</si>
  <si>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</si>
  <si>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</si>
  <si>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</si>
  <si>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</si>
  <si>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</si>
  <si>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</si>
  <si>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</si>
  <si>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</si>
  <si>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</si>
  <si>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</si>
  <si>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</si>
  <si>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</si>
  <si>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</si>
  <si>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</si>
  <si>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</si>
  <si>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</si>
  <si>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</si>
  <si>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</si>
  <si>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</si>
  <si>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</si>
  <si>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</si>
  <si>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</si>
  <si>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</si>
  <si>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</si>
  <si>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</si>
  <si>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</si>
  <si>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</si>
  <si>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</si>
  <si>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</si>
  <si>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</si>
  <si>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</si>
  <si>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</si>
  <si>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</si>
  <si>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</si>
  <si>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</si>
  <si>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</si>
  <si>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</si>
  <si>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</si>
  <si>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</si>
  <si>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</si>
  <si>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</si>
  <si>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</si>
  <si>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</si>
  <si>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</si>
  <si>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</si>
  <si>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</si>
  <si>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</si>
  <si>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</si>
  <si>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</si>
  <si>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</si>
  <si>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</si>
  <si>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</si>
  <si>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</si>
  <si>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</si>
  <si>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</si>
  <si>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</si>
  <si>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</si>
  <si>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</si>
  <si>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</si>
  <si>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</si>
  <si>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</si>
  <si>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</si>
  <si>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</si>
  <si>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</si>
  <si>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</si>
  <si>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</si>
  <si>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</si>
  <si>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</si>
  <si>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</si>
  <si>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</si>
  <si>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</si>
  <si>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</si>
  <si>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</si>
  <si>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</si>
  <si>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</si>
  <si>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</si>
  <si>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</si>
  <si>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</si>
  <si>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</si>
  <si>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</si>
  <si>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</si>
  <si>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</si>
  <si>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</si>
  <si>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</si>
  <si>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</si>
  <si>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</si>
  <si>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</si>
  <si>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</si>
  <si>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</si>
  <si>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</si>
  <si>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</si>
  <si>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</si>
  <si>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</si>
  <si>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</si>
  <si>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</si>
  <si>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</si>
  <si>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</si>
  <si>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</si>
  <si>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</si>
  <si>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</si>
  <si>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</si>
  <si>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</si>
  <si>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</si>
  <si>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</si>
  <si>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</si>
  <si>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</si>
  <si>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</si>
  <si>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</si>
  <si>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</si>
  <si>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</si>
  <si>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</si>
  <si>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</si>
  <si>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</si>
  <si>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</si>
  <si>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</si>
  <si>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</si>
  <si>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</si>
  <si>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</si>
  <si>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</si>
  <si>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</si>
  <si>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</si>
  <si>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</si>
  <si>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</si>
  <si>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</si>
  <si>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</si>
  <si>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</si>
  <si>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</si>
  <si>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</si>
  <si>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</si>
  <si>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</si>
  <si>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</si>
  <si>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</si>
  <si>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</si>
  <si>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</si>
  <si>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</si>
  <si>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</si>
  <si>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</si>
  <si>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</si>
  <si>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</si>
  <si>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</si>
  <si>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</si>
  <si>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</si>
  <si>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</si>
  <si>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</si>
  <si>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</si>
  <si>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</si>
  <si>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</si>
  <si>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</si>
  <si>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</si>
  <si>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</si>
  <si>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</si>
  <si>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</si>
  <si>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</si>
  <si>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</si>
  <si>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</si>
  <si>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</si>
  <si>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</si>
  <si>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</si>
  <si>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</si>
  <si>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</si>
  <si>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</si>
  <si>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</si>
  <si>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</si>
  <si>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</si>
  <si>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</si>
  <si>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</si>
  <si>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</si>
  <si>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</si>
  <si>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</si>
  <si>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</si>
  <si>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</si>
  <si>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</si>
  <si>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</si>
  <si>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</si>
  <si>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</si>
  <si>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</si>
  <si>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</si>
  <si>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</si>
  <si>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</si>
  <si>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</si>
  <si>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</si>
  <si>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</si>
  <si>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</si>
  <si>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</si>
  <si>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</si>
  <si>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</si>
  <si>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</si>
  <si>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</si>
  <si>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</si>
  <si>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</si>
  <si>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</si>
  <si>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</si>
  <si>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</si>
  <si>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</si>
  <si>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</si>
  <si>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</si>
  <si>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</si>
  <si>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</si>
  <si>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</si>
  <si>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</si>
  <si>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</si>
  <si>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</si>
  <si>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</si>
  <si>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</si>
  <si>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</si>
  <si>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</si>
  <si>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</si>
  <si>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</si>
  <si>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</si>
  <si>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</si>
  <si>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</si>
  <si>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</si>
  <si>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</si>
  <si>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</si>
  <si>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</si>
  <si>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</si>
  <si>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</si>
  <si>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</si>
  <si>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</si>
  <si>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</si>
  <si>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</si>
  <si>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</si>
  <si>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</si>
  <si>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</si>
  <si>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</si>
  <si>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</si>
  <si>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</si>
  <si>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</si>
  <si>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</si>
  <si>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</si>
  <si>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</si>
  <si>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</si>
  <si>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</si>
  <si>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</si>
  <si>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</si>
  <si>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</si>
  <si>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</si>
  <si>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</si>
  <si>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</si>
  <si>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</si>
  <si>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</si>
  <si>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</si>
  <si>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</si>
  <si>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</si>
  <si>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</si>
  <si>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</si>
  <si>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</si>
  <si>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</si>
  <si>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</si>
  <si>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</si>
  <si>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</si>
  <si>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</si>
  <si>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</si>
  <si>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</si>
  <si>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</si>
  <si>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</si>
  <si>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</si>
  <si>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</si>
  <si>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</si>
  <si>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</si>
  <si>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</si>
  <si>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</si>
  <si>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</si>
  <si>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</si>
  <si>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</si>
  <si>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</si>
  <si>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</si>
  <si>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</si>
  <si>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</si>
  <si>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</si>
  <si>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</si>
  <si>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</si>
  <si>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</si>
  <si>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</si>
  <si>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</si>
  <si>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</si>
  <si>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</si>
  <si>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</si>
  <si>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</si>
  <si>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</si>
  <si>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</si>
  <si>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</si>
  <si>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</si>
  <si>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</si>
  <si>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</si>
  <si>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</si>
  <si>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</si>
  <si>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</si>
  <si>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</si>
  <si>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</si>
  <si>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</si>
  <si>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</si>
  <si>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</si>
  <si>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</si>
  <si>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</si>
  <si>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</si>
  <si>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</si>
  <si>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</si>
  <si>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</si>
  <si>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</si>
  <si>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</si>
  <si>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</si>
  <si>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</si>
  <si>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</si>
  <si>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</si>
  <si>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</si>
  <si>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</si>
  <si>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</si>
  <si>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</si>
  <si>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</si>
  <si>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</si>
  <si>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</si>
  <si>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</si>
  <si>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</si>
  <si>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</si>
  <si>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</si>
  <si>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</si>
  <si>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</si>
  <si>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</si>
  <si>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</si>
  <si>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</si>
  <si>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</si>
  <si>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</si>
  <si>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</si>
  <si>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</si>
  <si>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</si>
  <si>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</si>
  <si>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</si>
  <si>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</si>
  <si>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</si>
  <si>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</si>
  <si>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</si>
  <si>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</si>
  <si>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</si>
  <si>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</si>
  <si>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</si>
  <si>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</si>
  <si>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</si>
  <si>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</si>
  <si>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</si>
  <si>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</si>
  <si>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</si>
  <si>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</si>
  <si>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</si>
  <si>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</si>
  <si>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</si>
  <si>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</si>
  <si>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</si>
  <si>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</si>
  <si>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</si>
  <si>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</si>
  <si>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</si>
  <si>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</si>
  <si>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</si>
  <si>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</si>
  <si>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</si>
  <si>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</si>
  <si>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</si>
  <si>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</si>
  <si>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</si>
  <si>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</si>
  <si>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</si>
  <si>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</si>
  <si>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</si>
  <si>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</si>
  <si>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</si>
  <si>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</si>
  <si>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</si>
  <si>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</si>
  <si>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</si>
  <si>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</si>
  <si>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</si>
  <si>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</si>
  <si>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</si>
  <si>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</si>
  <si>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</si>
  <si>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</si>
  <si>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</si>
  <si>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</si>
  <si>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</si>
  <si>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</si>
  <si>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</si>
  <si>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</si>
  <si>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</si>
  <si>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</si>
  <si>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</si>
  <si>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</si>
  <si>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</si>
  <si>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</si>
  <si>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</si>
  <si>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</si>
  <si>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</si>
  <si>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</si>
  <si>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</si>
  <si>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</si>
  <si>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</si>
  <si>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</si>
  <si>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</si>
  <si>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</si>
  <si>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</si>
  <si>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</si>
  <si>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</si>
  <si>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</si>
  <si>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</si>
  <si>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</si>
  <si>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</si>
  <si>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</si>
  <si>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</si>
  <si>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</si>
  <si>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</si>
  <si>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</si>
  <si>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</si>
  <si>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</si>
  <si>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</si>
  <si>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</si>
  <si>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</si>
  <si>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</si>
  <si>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</si>
  <si>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</si>
  <si>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</si>
  <si>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</si>
  <si>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</si>
  <si>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</si>
  <si>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</si>
  <si>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</si>
  <si>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</si>
  <si>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</si>
  <si>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</si>
  <si>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</si>
  <si>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</si>
  <si>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</si>
  <si>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</si>
  <si>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</si>
  <si>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</si>
  <si>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</si>
  <si>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</si>
  <si>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</si>
  <si>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</si>
  <si>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</si>
  <si>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</si>
  <si>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</si>
  <si>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</si>
  <si>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</si>
  <si>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</si>
  <si>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</si>
  <si>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</si>
  <si>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</si>
  <si>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</si>
  <si>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</si>
  <si>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</si>
  <si>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</si>
  <si>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</si>
  <si>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</si>
  <si>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</si>
  <si>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</si>
  <si>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</si>
  <si>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</si>
  <si>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</si>
  <si>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</si>
  <si>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</si>
  <si>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</si>
  <si>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</si>
  <si>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</si>
  <si>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</si>
  <si>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</si>
  <si>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</si>
  <si>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</si>
  <si>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</si>
  <si>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</si>
  <si>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</si>
  <si>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</si>
  <si>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</si>
  <si>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</si>
  <si>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</si>
  <si>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</si>
  <si>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</si>
  <si>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</si>
  <si>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</si>
  <si>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</si>
  <si>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</si>
  <si>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</si>
  <si>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</si>
  <si>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</si>
  <si>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</si>
  <si>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</si>
  <si>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</si>
  <si>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</si>
  <si>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</si>
  <si>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</si>
  <si>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</si>
  <si>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</si>
  <si>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</si>
  <si>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</si>
  <si>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</si>
  <si>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</si>
  <si>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</si>
  <si>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</si>
  <si>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</si>
  <si>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</si>
  <si>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</si>
  <si>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</si>
  <si>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</si>
  <si>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</si>
  <si>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</si>
  <si>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</si>
  <si>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</si>
  <si>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</si>
  <si>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</si>
  <si>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</si>
  <si>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</si>
  <si>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</si>
  <si>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</si>
  <si>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</si>
  <si>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</si>
  <si>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</si>
  <si>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</si>
  <si>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</si>
  <si>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</si>
  <si>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</si>
  <si>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</si>
  <si>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</si>
  <si>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</si>
  <si>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</si>
  <si>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</si>
  <si>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</si>
  <si>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</si>
  <si>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</si>
  <si>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</si>
  <si>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</si>
  <si>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</si>
  <si>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</si>
  <si>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</si>
  <si>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</si>
  <si>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</si>
  <si>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</si>
  <si>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</si>
  <si>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</si>
  <si>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</si>
  <si>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</si>
  <si>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</si>
  <si>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</si>
  <si>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</si>
  <si>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</si>
  <si>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</si>
  <si>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</si>
  <si>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</si>
  <si>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</si>
  <si>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</si>
  <si>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</si>
  <si>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</si>
  <si>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</si>
  <si>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</si>
  <si>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</si>
  <si>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</si>
  <si>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</si>
  <si>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</si>
  <si>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</si>
  <si>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</si>
  <si>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</si>
  <si>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</si>
  <si>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</si>
  <si>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</si>
  <si>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</si>
  <si>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</si>
  <si>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</si>
  <si>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</si>
  <si>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</si>
  <si>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</si>
  <si>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</si>
  <si>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</si>
  <si>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</si>
  <si>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</si>
  <si>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</si>
  <si>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</si>
  <si>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</si>
  <si>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</si>
  <si>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</si>
  <si>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</si>
  <si>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</si>
  <si>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</si>
  <si>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</si>
  <si>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</si>
  <si>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</si>
  <si>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</si>
  <si>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</si>
  <si>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</si>
  <si>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</si>
  <si>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</si>
  <si>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</si>
  <si>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</si>
  <si>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</si>
  <si>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</si>
  <si>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</si>
  <si>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</si>
  <si>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</si>
  <si>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</si>
  <si>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</si>
  <si>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</si>
  <si>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</si>
  <si>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</si>
  <si>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</si>
  <si>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</si>
  <si>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</si>
  <si>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</si>
  <si>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</si>
  <si>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</si>
  <si>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</si>
  <si>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</si>
  <si>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</si>
  <si>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</si>
  <si>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</si>
  <si>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</si>
  <si>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</si>
  <si>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</si>
  <si>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</si>
  <si>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</si>
  <si>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</si>
  <si>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</si>
  <si>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</si>
  <si>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</si>
  <si>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</si>
  <si>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</si>
  <si>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</si>
  <si>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</si>
  <si>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</si>
  <si>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</si>
  <si>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</si>
  <si>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</si>
  <si>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</si>
  <si>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</si>
  <si>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</si>
  <si>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</si>
  <si>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</si>
  <si>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</si>
  <si>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</si>
  <si>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</si>
  <si>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</si>
  <si>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</si>
  <si>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</si>
  <si>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</si>
  <si>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</si>
  <si>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</si>
  <si>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</si>
  <si>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</si>
  <si>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</si>
  <si>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</si>
  <si>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</si>
  <si>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</si>
  <si>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</si>
  <si>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</si>
  <si>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</si>
  <si>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</si>
  <si>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</si>
  <si>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</si>
  <si>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</si>
  <si>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</si>
  <si>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</si>
  <si>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</si>
  <si>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</si>
  <si>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</si>
  <si>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</si>
  <si>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</si>
  <si>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</si>
  <si>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</si>
  <si>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</si>
  <si>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</si>
  <si>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</si>
  <si>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</si>
  <si>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</si>
  <si>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</si>
  <si>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</si>
  <si>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</si>
  <si>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</si>
  <si>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</si>
  <si>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</si>
  <si>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</si>
  <si>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</si>
  <si>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</si>
  <si>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</si>
  <si>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</si>
  <si>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</si>
  <si>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</si>
  <si>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</si>
  <si>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</si>
  <si>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</si>
  <si>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</si>
  <si>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</si>
  <si>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</si>
  <si>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</si>
  <si>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</si>
  <si>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</si>
  <si>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</si>
  <si>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</si>
  <si>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</si>
  <si>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</si>
  <si>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</si>
  <si>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</si>
  <si>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</si>
  <si>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</si>
  <si>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</si>
  <si>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</si>
  <si>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</si>
  <si>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</si>
  <si>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</si>
  <si>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</si>
  <si>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</si>
  <si>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</si>
  <si>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</si>
  <si>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</si>
  <si>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</si>
  <si>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</si>
  <si>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</si>
  <si>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</si>
  <si>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</si>
  <si>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</si>
  <si>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</si>
  <si>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</si>
  <si>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</si>
  <si>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</si>
  <si>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</si>
  <si>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</si>
  <si>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</si>
  <si>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</si>
  <si>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</si>
  <si>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</si>
  <si>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</si>
  <si>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</si>
  <si>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</si>
  <si>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</si>
  <si>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</si>
  <si>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</si>
  <si>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</si>
  <si>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</si>
  <si>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</si>
  <si>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</si>
  <si>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</si>
  <si>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</si>
  <si>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</si>
  <si>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</si>
  <si>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</si>
  <si>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</si>
  <si>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</si>
  <si>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</si>
  <si>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</si>
  <si>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</si>
  <si>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</si>
  <si>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</si>
  <si>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</si>
  <si>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</si>
  <si>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</si>
  <si>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</si>
  <si>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</si>
  <si>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</si>
  <si>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</si>
  <si>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</si>
  <si>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</si>
  <si>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</si>
  <si>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</si>
  <si>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</si>
  <si>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</si>
  <si>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</si>
  <si>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</si>
  <si>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</si>
  <si>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</si>
  <si>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</si>
  <si>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</si>
  <si>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</si>
  <si>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</si>
  <si>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</si>
  <si>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</si>
  <si>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</si>
  <si>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</si>
  <si>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</si>
  <si>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</si>
  <si>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</si>
  <si>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</si>
  <si>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</si>
  <si>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</si>
  <si>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</si>
  <si>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</si>
  <si>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</si>
  <si>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</si>
  <si>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</si>
  <si>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</si>
  <si>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</si>
  <si>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</si>
  <si>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</si>
  <si>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</si>
  <si>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</si>
  <si>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</si>
  <si>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</si>
  <si>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</si>
  <si>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</si>
  <si>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</si>
  <si>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</si>
  <si>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</si>
  <si>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</si>
  <si>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</si>
  <si>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</si>
  <si>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</si>
  <si>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</si>
  <si>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</si>
  <si>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</si>
  <si>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</si>
  <si>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</si>
  <si>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</si>
  <si>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</si>
  <si>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</si>
  <si>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</si>
  <si>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</si>
  <si>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</si>
  <si>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</si>
  <si>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</si>
  <si>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</si>
  <si>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</si>
  <si>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</si>
  <si>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</si>
  <si>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</si>
  <si>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</si>
  <si>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</si>
  <si>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</si>
  <si>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</si>
  <si>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</si>
  <si>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</si>
  <si>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</si>
  <si>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</si>
  <si>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</si>
  <si>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</si>
  <si>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</si>
  <si>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</si>
  <si>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</si>
  <si>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</si>
  <si>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</si>
  <si>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</si>
  <si>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</si>
  <si>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</si>
  <si>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</si>
  <si>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</si>
  <si>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</si>
  <si>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</si>
  <si>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</si>
  <si>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</si>
  <si>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</si>
  <si>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</si>
  <si>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</si>
  <si>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</si>
  <si>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</si>
  <si>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</si>
  <si>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</si>
  <si>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</si>
  <si>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</si>
  <si>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</si>
  <si>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</si>
  <si>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</si>
  <si>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</si>
  <si>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</si>
  <si>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</si>
  <si>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</si>
  <si>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</si>
  <si>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</si>
  <si>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</si>
  <si>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</si>
  <si>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</si>
  <si>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</si>
  <si>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</si>
  <si>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</si>
  <si>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</si>
  <si>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</si>
  <si>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</si>
  <si>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</si>
  <si>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</si>
  <si>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</si>
  <si>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</si>
  <si>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</si>
  <si>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</si>
  <si>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</si>
  <si>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</si>
  <si>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</si>
  <si>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</si>
  <si>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</si>
  <si>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</si>
  <si>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</si>
  <si>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</si>
  <si>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</si>
  <si>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</si>
  <si>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</si>
  <si>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</si>
  <si>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</si>
  <si>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</si>
  <si>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</si>
  <si>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</si>
  <si>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</si>
  <si>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</si>
  <si>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</si>
  <si>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</si>
  <si>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</si>
  <si>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</si>
  <si>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</si>
  <si>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</si>
  <si>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</si>
  <si>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</si>
  <si>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</si>
  <si>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</si>
  <si>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</si>
  <si>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</si>
  <si>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</si>
  <si>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</si>
  <si>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</si>
  <si>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</si>
  <si>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</si>
  <si>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</si>
  <si>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</si>
  <si>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</si>
  <si>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</si>
  <si>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</si>
  <si>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</si>
  <si>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</si>
  <si>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</si>
  <si>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</si>
  <si>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</si>
  <si>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</si>
  <si>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</si>
  <si>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</si>
  <si>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</si>
  <si>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</si>
  <si>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</si>
  <si>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</si>
  <si>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</si>
  <si>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</si>
  <si>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</si>
  <si>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</si>
  <si>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</si>
  <si>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</si>
  <si>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</si>
  <si>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</si>
  <si>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</si>
  <si>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</si>
  <si>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</si>
  <si>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</si>
  <si>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</si>
  <si>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</si>
  <si>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</si>
  <si>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</si>
  <si>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</si>
  <si>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</si>
  <si>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</si>
  <si>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</si>
  <si>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</si>
  <si>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</si>
  <si>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</si>
  <si>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</si>
  <si>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</si>
  <si>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</si>
  <si>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</si>
  <si>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</si>
  <si>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</si>
  <si>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</si>
  <si>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</si>
  <si>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</si>
  <si>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</si>
  <si>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</si>
  <si>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</si>
  <si>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</si>
  <si>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</si>
  <si>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</si>
  <si>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</si>
  <si>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</si>
  <si>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</si>
  <si>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</si>
  <si>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</si>
  <si>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</si>
  <si>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</si>
  <si>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</si>
  <si>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</si>
  <si>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</si>
  <si>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</si>
  <si>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</si>
  <si>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</si>
  <si>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</si>
  <si>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</si>
  <si>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</si>
  <si>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</si>
  <si>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</si>
  <si>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</si>
  <si>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</si>
  <si>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</si>
  <si>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</si>
  <si>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</si>
  <si>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</si>
  <si>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</si>
  <si>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</si>
  <si>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</si>
  <si>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</si>
  <si>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</si>
  <si>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</si>
  <si>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</si>
  <si>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</si>
  <si>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</si>
  <si>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</si>
  <si>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</si>
  <si>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</si>
  <si>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</si>
  <si>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</si>
  <si>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</si>
  <si>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</si>
  <si>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</si>
  <si>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</si>
  <si>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</si>
  <si>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</si>
  <si>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</si>
  <si>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</si>
  <si>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</si>
  <si>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</si>
  <si>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</si>
  <si>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</si>
  <si>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</si>
  <si>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</si>
  <si>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</si>
  <si>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</si>
  <si>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</si>
  <si>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</si>
  <si>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</si>
  <si>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</si>
  <si>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</si>
  <si>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</si>
  <si>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</si>
  <si>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</si>
  <si>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</si>
  <si>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</si>
  <si>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</si>
  <si>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</si>
  <si>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</si>
  <si>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</si>
  <si>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</si>
  <si>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</si>
  <si>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</si>
  <si>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</si>
  <si>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</si>
  <si>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</si>
  <si>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</si>
  <si>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</si>
  <si>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</si>
  <si>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</si>
  <si>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</si>
  <si>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</si>
  <si>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</si>
  <si>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</si>
  <si>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</si>
  <si>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</si>
  <si>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</si>
  <si>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</si>
  <si>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</si>
  <si>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</si>
  <si>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</si>
  <si>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</si>
  <si>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</si>
  <si>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</si>
  <si>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</si>
  <si>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</si>
  <si>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</si>
  <si>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</si>
  <si>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</si>
  <si>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</si>
  <si>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</si>
  <si>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</si>
  <si>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</si>
  <si>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</si>
  <si>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</si>
  <si>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</si>
  <si>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</si>
  <si>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</si>
  <si>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</si>
  <si>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</si>
  <si>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</si>
  <si>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</si>
  <si>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</si>
  <si>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</si>
  <si>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</si>
  <si>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</si>
  <si>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</si>
  <si>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</si>
  <si>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</si>
  <si>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</si>
  <si>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</si>
  <si>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</si>
  <si>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</si>
  <si>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</si>
  <si>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</si>
  <si>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</si>
  <si>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</si>
  <si>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</si>
  <si>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</si>
  <si>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</si>
  <si>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</si>
  <si>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</si>
  <si>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</si>
  <si>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</si>
  <si>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</si>
  <si>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</si>
  <si>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</si>
  <si>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</si>
  <si>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</si>
  <si>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</si>
  <si>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</si>
  <si>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</si>
  <si>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</si>
  <si>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</si>
  <si>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</si>
  <si>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</si>
  <si>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</si>
  <si>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</si>
  <si>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</si>
  <si>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</si>
  <si>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</si>
  <si>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</si>
  <si>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</si>
  <si>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</si>
  <si>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</si>
  <si>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</si>
  <si>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</si>
  <si>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</si>
  <si>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</si>
  <si>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</si>
  <si>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</si>
  <si>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</si>
  <si>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</si>
  <si>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</si>
  <si>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</si>
  <si>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</si>
  <si>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</si>
  <si>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</si>
  <si>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</si>
  <si>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</si>
  <si>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</si>
  <si>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</si>
  <si>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</si>
  <si>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</si>
  <si>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</si>
  <si>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</si>
  <si>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</si>
  <si>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</si>
  <si>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</si>
  <si>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</si>
  <si>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</si>
  <si>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</si>
  <si>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</si>
  <si>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</si>
  <si>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</si>
  <si>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</si>
  <si>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</si>
  <si>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</si>
  <si>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</si>
  <si>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</si>
  <si>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</si>
  <si>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</si>
  <si>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</si>
  <si>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</si>
  <si>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</si>
  <si>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</si>
  <si>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</si>
  <si>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</si>
  <si>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</si>
  <si>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</si>
  <si>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</si>
  <si>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</si>
  <si>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</si>
  <si>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</si>
  <si>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</si>
  <si>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</si>
  <si>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</si>
  <si>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</si>
  <si>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</si>
  <si>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</si>
  <si>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</si>
  <si>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</si>
  <si>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</si>
  <si>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</si>
  <si>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</si>
  <si>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</si>
  <si>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</si>
  <si>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</si>
  <si>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</si>
  <si>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</si>
  <si>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</si>
  <si>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</si>
  <si>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</si>
  <si>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</si>
  <si>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</si>
  <si>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</si>
  <si>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</si>
  <si>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</si>
  <si>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</si>
  <si>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</si>
  <si>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</si>
  <si>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</si>
  <si>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</si>
  <si>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</si>
  <si>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</si>
  <si>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</si>
  <si>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</si>
  <si>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</si>
  <si>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</si>
  <si>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</si>
  <si>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</si>
  <si>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</si>
  <si>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</si>
  <si>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</si>
  <si>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</si>
  <si>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</si>
  <si>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</si>
  <si>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</si>
  <si>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</si>
  <si>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</si>
  <si>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</si>
  <si>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</si>
  <si>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</si>
  <si>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</si>
  <si>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</si>
  <si>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</si>
  <si>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</si>
  <si>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</si>
  <si>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</si>
  <si>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</si>
  <si>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</si>
  <si>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</si>
  <si>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</si>
  <si>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</si>
  <si>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</si>
  <si>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</si>
  <si>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</si>
  <si>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</si>
  <si>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</si>
  <si>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</si>
  <si>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</si>
  <si>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</si>
  <si>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</si>
  <si>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</si>
  <si>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</si>
  <si>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</si>
  <si>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</si>
  <si>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</si>
  <si>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</si>
  <si>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</si>
  <si>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</si>
  <si>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</si>
  <si>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</si>
  <si>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</si>
  <si>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</si>
  <si>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</si>
  <si>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</si>
  <si>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</si>
  <si>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</si>
  <si>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</si>
  <si>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</si>
  <si>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</si>
  <si>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</si>
  <si>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</si>
  <si>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</si>
  <si>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</si>
  <si>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</si>
  <si>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</si>
  <si>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</si>
  <si>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</si>
  <si>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</si>
  <si>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</si>
  <si>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</si>
  <si>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</si>
  <si>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</si>
  <si>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</si>
  <si>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</si>
  <si>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</si>
  <si>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</si>
  <si>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</si>
  <si>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</si>
  <si>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</si>
  <si>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</si>
  <si>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</si>
  <si>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</si>
  <si>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</si>
  <si>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</si>
  <si>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</si>
  <si>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</si>
  <si>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</si>
  <si>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</si>
  <si>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</si>
  <si>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</si>
  <si>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</si>
  <si>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</si>
  <si>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</si>
  <si>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</si>
  <si>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</si>
  <si>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</si>
  <si>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</si>
  <si>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</si>
  <si>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</si>
  <si>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</si>
  <si>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</si>
  <si>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</si>
  <si>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</si>
  <si>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</si>
  <si>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</si>
  <si>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</si>
  <si>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</si>
  <si>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</si>
  <si>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</si>
  <si>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</si>
  <si>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</si>
  <si>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</si>
  <si>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</si>
  <si>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</si>
  <si>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</si>
  <si>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</si>
  <si>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</si>
  <si>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</si>
  <si>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</si>
  <si>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</si>
  <si>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</si>
  <si>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</si>
  <si>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</si>
  <si>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</si>
  <si>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</si>
  <si>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</si>
  <si>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</si>
  <si>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</si>
  <si>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</si>
  <si>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</si>
  <si>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</si>
  <si>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</si>
  <si>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</si>
  <si>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</si>
  <si>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</si>
  <si>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</si>
  <si>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</si>
  <si>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</si>
  <si>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</si>
  <si>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</si>
  <si>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</si>
  <si>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</si>
  <si>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</si>
  <si>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</si>
  <si>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</si>
  <si>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</si>
  <si>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</si>
  <si>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</si>
  <si>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</si>
  <si>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</si>
  <si>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</si>
  <si>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</si>
  <si>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</si>
  <si>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</si>
  <si>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</si>
  <si>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</si>
  <si>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</si>
  <si>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</si>
  <si>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</si>
  <si>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</si>
  <si>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</si>
  <si>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</si>
  <si>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</si>
  <si>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</si>
  <si>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</si>
  <si>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</si>
  <si>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</si>
  <si>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</si>
  <si>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</si>
  <si>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</si>
  <si>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</si>
  <si>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</si>
  <si>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</si>
  <si>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</si>
  <si>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</si>
  <si>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</si>
  <si>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</si>
  <si>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</si>
  <si>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</si>
  <si>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</si>
  <si>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</si>
  <si>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</si>
  <si>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</si>
  <si>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</si>
  <si>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</si>
  <si>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</si>
  <si>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</si>
  <si>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</si>
  <si>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</si>
  <si>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</si>
  <si>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</si>
  <si>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</si>
  <si>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</si>
  <si>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</si>
  <si>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</si>
  <si>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</si>
  <si>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</si>
  <si>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</si>
  <si>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</si>
  <si>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</si>
  <si>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</si>
  <si>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</si>
  <si>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</si>
  <si>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</si>
  <si>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</si>
  <si>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</si>
  <si>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</si>
  <si>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</si>
  <si>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</si>
  <si>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</si>
  <si>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</si>
  <si>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</si>
  <si>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</si>
  <si>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</si>
  <si>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</si>
  <si>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</si>
  <si>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</si>
  <si>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</si>
  <si>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</si>
  <si>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</si>
  <si>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</si>
  <si>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</si>
  <si>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</si>
  <si>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</si>
  <si>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</si>
  <si>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</si>
  <si>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</si>
  <si>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</si>
  <si>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</si>
  <si>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</si>
  <si>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</si>
  <si>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</si>
  <si>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</si>
  <si>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</si>
  <si>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</si>
  <si>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</si>
  <si>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</si>
  <si>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</si>
  <si>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</si>
  <si>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</si>
  <si>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</si>
  <si>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</si>
  <si>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</si>
  <si>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</si>
  <si>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</si>
  <si>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</si>
  <si>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</si>
  <si>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</si>
  <si>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</si>
  <si>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</si>
  <si>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</si>
  <si>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</si>
  <si>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</si>
  <si>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</si>
  <si>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</si>
  <si>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</si>
  <si>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</si>
  <si>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</si>
  <si>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</si>
  <si>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</si>
  <si>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</si>
  <si>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</si>
  <si>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</si>
  <si>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</si>
  <si>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</si>
  <si>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</si>
  <si>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</si>
  <si>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</si>
  <si>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</si>
  <si>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</si>
  <si>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</si>
  <si>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</si>
  <si>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</si>
  <si>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</si>
  <si>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</si>
  <si>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</si>
  <si>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</si>
  <si>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</si>
  <si>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</si>
  <si>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</si>
  <si>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</si>
  <si>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</si>
  <si>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</si>
  <si>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</si>
  <si>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</si>
  <si>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</si>
  <si>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</si>
  <si>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</si>
  <si>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</si>
  <si>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</si>
  <si>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</si>
  <si>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</si>
  <si>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</si>
  <si>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</si>
  <si>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</si>
  <si>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</si>
  <si>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</si>
  <si>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</si>
  <si>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</si>
  <si>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</si>
  <si>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</si>
  <si>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</si>
  <si>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</si>
  <si>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</si>
  <si>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</si>
  <si>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</si>
  <si>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</si>
  <si>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</si>
  <si>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</si>
  <si>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</si>
  <si>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</si>
  <si>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</si>
  <si>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</si>
  <si>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</si>
  <si>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</si>
  <si>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</si>
  <si>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</si>
  <si>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</si>
  <si>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</si>
  <si>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</si>
  <si>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</si>
  <si>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</si>
  <si>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</si>
  <si>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</si>
  <si>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</si>
  <si>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</si>
  <si>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</si>
  <si>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</si>
  <si>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</si>
  <si>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</si>
  <si>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</si>
  <si>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</si>
  <si>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</si>
  <si>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</si>
  <si>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</si>
  <si>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</si>
  <si>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</si>
  <si>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</si>
  <si>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</si>
  <si>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</si>
  <si>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</si>
  <si>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</si>
  <si>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</si>
  <si>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</si>
  <si>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</si>
  <si>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</si>
  <si>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</si>
  <si>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</si>
  <si>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</si>
  <si>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</si>
  <si>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</si>
  <si>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</si>
  <si>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</si>
  <si>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</si>
  <si>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</si>
  <si>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</si>
  <si>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</si>
  <si>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</si>
  <si>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</si>
  <si>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</si>
  <si>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</si>
  <si>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</si>
  <si>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</si>
  <si>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</si>
  <si>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</si>
  <si>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</si>
  <si>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</si>
  <si>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</si>
  <si>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</si>
  <si>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</si>
  <si>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</si>
  <si>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</si>
  <si>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</si>
  <si>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</si>
  <si>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</si>
  <si>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</si>
  <si>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</si>
  <si>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</si>
  <si>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</si>
  <si>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</si>
  <si>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</si>
  <si>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</si>
  <si>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</si>
  <si>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</si>
  <si>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</si>
  <si>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</si>
  <si>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</si>
  <si>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</si>
  <si>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</si>
  <si>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</si>
  <si>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</si>
  <si>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</si>
  <si>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</si>
  <si>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</si>
  <si>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</si>
  <si>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</si>
  <si>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</si>
  <si>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</si>
  <si>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</si>
  <si>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</si>
  <si>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</si>
  <si>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</si>
  <si>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</si>
  <si>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</si>
  <si>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</si>
  <si>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</si>
  <si>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</si>
  <si>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</si>
  <si>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</si>
  <si>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</si>
  <si>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</si>
  <si>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</si>
  <si>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</si>
  <si>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</si>
  <si>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</si>
  <si>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</si>
  <si>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</si>
  <si>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</si>
  <si>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</si>
  <si>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</si>
  <si>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</si>
  <si>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</si>
  <si>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</si>
  <si>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</si>
  <si>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</si>
  <si>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</si>
  <si>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</si>
  <si>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</si>
  <si>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</si>
  <si>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</si>
  <si>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</si>
  <si>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</si>
  <si>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</si>
  <si>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</si>
  <si>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</si>
  <si>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</si>
  <si>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</si>
  <si>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</si>
  <si>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</si>
  <si>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</si>
  <si>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</si>
  <si>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</si>
  <si>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</si>
  <si>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</si>
  <si>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</si>
  <si>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</si>
  <si>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</si>
  <si>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</si>
  <si>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</si>
  <si>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</si>
  <si>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</si>
  <si>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</si>
  <si>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</si>
  <si>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</si>
  <si>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</si>
  <si>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</si>
  <si>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</si>
  <si>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</si>
  <si>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</si>
  <si>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</si>
  <si>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</si>
  <si>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</si>
  <si>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</si>
  <si>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</si>
  <si>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</si>
  <si>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</si>
  <si>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</si>
  <si>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</si>
  <si>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</si>
  <si>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</si>
  <si>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</si>
  <si>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</si>
  <si>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</si>
  <si>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</si>
  <si>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</si>
  <si>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</si>
  <si>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</si>
  <si>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</si>
  <si>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</si>
  <si>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</si>
  <si>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</si>
  <si>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</si>
  <si>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</si>
  <si>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</si>
  <si>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</si>
  <si>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</si>
  <si>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</si>
  <si>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</si>
  <si>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</si>
  <si>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</si>
  <si>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</si>
  <si>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</si>
  <si>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</si>
  <si>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</si>
  <si>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</si>
  <si>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</si>
  <si>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</si>
  <si>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</si>
  <si>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</si>
  <si>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</si>
  <si>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</si>
  <si>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</si>
  <si>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</si>
  <si>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</si>
  <si>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</si>
  <si>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</si>
  <si>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</si>
  <si>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</si>
  <si>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</si>
  <si>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</si>
  <si>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</si>
  <si>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</si>
  <si>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</si>
  <si>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</si>
  <si>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</si>
  <si>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</si>
  <si>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</si>
  <si>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</si>
  <si>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</si>
  <si>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</si>
  <si>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</si>
  <si>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</si>
  <si>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</si>
  <si>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</si>
  <si>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</si>
  <si>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</si>
  <si>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</si>
  <si>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</si>
  <si>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</si>
  <si>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</si>
  <si>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</si>
  <si>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</si>
  <si>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</si>
  <si>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</si>
  <si>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</si>
  <si>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</si>
  <si>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</si>
  <si>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</si>
  <si>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</si>
  <si>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</si>
  <si>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</si>
  <si>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</si>
  <si>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</si>
  <si>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</si>
  <si>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</si>
  <si>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</si>
  <si>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</si>
  <si>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</si>
  <si>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</si>
  <si>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</si>
  <si>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</si>
  <si>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</si>
  <si>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</si>
  <si>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</si>
  <si>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</si>
  <si>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</si>
  <si>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</si>
  <si>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</si>
  <si>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</si>
  <si>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</si>
  <si>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</si>
  <si>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</si>
  <si>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</si>
  <si>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</si>
  <si>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</si>
  <si>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</si>
  <si>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</si>
  <si>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</si>
  <si>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</si>
  <si>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</si>
  <si>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</si>
  <si>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</si>
  <si>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</si>
  <si>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</si>
  <si>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</si>
  <si>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</si>
  <si>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</si>
  <si>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</si>
  <si>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</si>
  <si>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</si>
  <si>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</si>
  <si>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</si>
  <si>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</si>
  <si>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</si>
  <si>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</si>
  <si>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</si>
  <si>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</si>
  <si>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</si>
  <si>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</si>
  <si>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</si>
  <si>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</si>
  <si>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</si>
  <si>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</si>
  <si>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</si>
  <si>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</si>
  <si>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</si>
  <si>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</si>
  <si>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</si>
  <si>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</si>
  <si>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</si>
  <si>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</si>
  <si>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</si>
  <si>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</si>
  <si>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</si>
  <si>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</si>
  <si>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</si>
  <si>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</si>
  <si>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</si>
  <si>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</si>
  <si>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</si>
  <si>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</si>
  <si>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</si>
  <si>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</si>
  <si>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</si>
  <si>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</si>
  <si>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</si>
  <si>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</si>
  <si>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</si>
  <si>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</si>
  <si>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</si>
  <si>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</si>
  <si>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</si>
  <si>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</si>
  <si>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</si>
  <si>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</si>
  <si>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</si>
  <si>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</si>
  <si>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</si>
  <si>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</si>
  <si>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</si>
  <si>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</si>
  <si>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</si>
  <si>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</si>
  <si>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</si>
  <si>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</si>
  <si>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</si>
  <si>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</si>
  <si>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</si>
  <si>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</si>
  <si>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</si>
  <si>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</si>
  <si>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</si>
  <si>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</si>
  <si>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</si>
  <si>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</si>
  <si>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</si>
  <si>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</si>
  <si>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</si>
  <si>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</si>
  <si>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</si>
  <si>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</si>
  <si>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</si>
  <si>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</si>
  <si>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</si>
  <si>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</si>
  <si>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</si>
  <si>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</si>
  <si>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</si>
  <si>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</si>
  <si>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</si>
  <si>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</si>
  <si>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</si>
  <si>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</si>
  <si>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</si>
  <si>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</si>
  <si>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</si>
  <si>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</si>
  <si>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</si>
  <si>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</si>
  <si>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</si>
  <si>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</si>
  <si>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</si>
  <si>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</si>
  <si>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</si>
  <si>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</si>
  <si>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</si>
  <si>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</si>
  <si>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</si>
  <si>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</si>
  <si>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</si>
  <si>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</si>
  <si>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</si>
  <si>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</si>
  <si>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</si>
  <si>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</si>
  <si>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</si>
  <si>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</si>
  <si>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</si>
  <si>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</si>
  <si>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</si>
  <si>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</si>
  <si>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</si>
  <si>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</si>
  <si>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</si>
  <si>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</si>
  <si>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</si>
  <si>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</si>
  <si>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</si>
  <si>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</si>
  <si>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</si>
  <si>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</si>
  <si>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</si>
  <si>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</si>
  <si>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</si>
  <si>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</si>
  <si>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</si>
  <si>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</si>
  <si>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</si>
  <si>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</si>
  <si>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</si>
  <si>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</si>
  <si>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</si>
  <si>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</si>
  <si>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</si>
  <si>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</si>
  <si>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</si>
  <si>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</si>
  <si>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</si>
  <si>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</si>
  <si>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</si>
  <si>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</si>
  <si>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</si>
  <si>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</si>
  <si>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</si>
  <si>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</si>
  <si>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</si>
  <si>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</si>
  <si>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</si>
  <si>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</si>
  <si>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</si>
  <si>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</si>
  <si>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</si>
  <si>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</si>
  <si>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</si>
  <si>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</si>
  <si>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</si>
  <si>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</si>
  <si>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</si>
  <si>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</si>
  <si>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</si>
  <si>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</si>
  <si>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</si>
  <si>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</si>
  <si>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</si>
  <si>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</si>
  <si>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</si>
  <si>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</si>
  <si>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</si>
  <si>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</si>
  <si>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</si>
  <si>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</si>
  <si>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</si>
  <si>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</si>
  <si>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</si>
  <si>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</si>
  <si>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</si>
  <si>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</si>
  <si>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</si>
  <si>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</si>
  <si>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</si>
  <si>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</si>
  <si>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</si>
  <si>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</si>
  <si>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</si>
  <si>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</si>
  <si>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</si>
  <si>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</si>
  <si>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</si>
  <si>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</si>
  <si>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</si>
  <si>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</si>
  <si>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</si>
  <si>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</si>
  <si>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</si>
  <si>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</si>
  <si>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</si>
  <si>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</si>
  <si>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</si>
  <si>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</si>
  <si>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</si>
  <si>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</si>
  <si>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</si>
  <si>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</si>
  <si>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</si>
  <si>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</si>
  <si>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</si>
  <si>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</si>
  <si>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</si>
  <si>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</si>
  <si>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</si>
  <si>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</si>
  <si>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</si>
  <si>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</si>
  <si>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</si>
  <si>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</si>
  <si>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</si>
  <si>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</si>
  <si>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</si>
  <si>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</si>
  <si>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</si>
  <si>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</si>
  <si>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</si>
  <si>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</si>
  <si>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</si>
  <si>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</si>
  <si>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</si>
  <si>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</si>
  <si>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</si>
  <si>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</si>
  <si>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</si>
  <si>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</si>
  <si>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</si>
  <si>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</si>
  <si>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</si>
  <si>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</si>
  <si>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</si>
  <si>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</si>
  <si>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</si>
  <si>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</si>
  <si>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</si>
  <si>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</si>
  <si>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</si>
  <si>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</si>
  <si>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</si>
  <si>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</si>
  <si>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</si>
  <si>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</si>
  <si>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</si>
  <si>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</si>
  <si>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</si>
  <si>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</si>
  <si>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</si>
  <si>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</si>
  <si>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</si>
  <si>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</si>
  <si>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</si>
  <si>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</si>
  <si>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</si>
  <si>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</si>
  <si>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</si>
  <si>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</si>
  <si>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</si>
  <si>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</si>
  <si>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</si>
  <si>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</si>
  <si>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</si>
  <si>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</si>
  <si>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</si>
  <si>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</si>
  <si>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</si>
  <si>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</si>
  <si>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</si>
  <si>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</si>
  <si>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</si>
  <si>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</si>
  <si>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</si>
  <si>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</si>
  <si>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</si>
  <si>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</si>
  <si>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</si>
  <si>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</si>
  <si>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</si>
  <si>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</si>
  <si>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</si>
  <si>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</si>
  <si>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</si>
  <si>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</si>
  <si>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</si>
  <si>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</si>
  <si>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</si>
  <si>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</si>
  <si>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</si>
  <si>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</si>
  <si>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</si>
  <si>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</si>
  <si>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</si>
  <si>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</si>
  <si>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</si>
  <si>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</si>
  <si>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</si>
  <si>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</si>
  <si>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</si>
  <si>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</si>
  <si>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</si>
  <si>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</si>
  <si>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</si>
  <si>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</si>
  <si>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</si>
  <si>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</si>
  <si>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</si>
  <si>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</si>
  <si>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</si>
  <si>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</si>
  <si>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</si>
  <si>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</si>
  <si>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</si>
  <si>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</si>
  <si>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</si>
  <si>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</si>
  <si>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</si>
  <si>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</si>
  <si>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</si>
  <si>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</si>
  <si>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</si>
  <si>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</si>
  <si>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</si>
  <si>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</si>
  <si>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</si>
  <si>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</si>
  <si>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</si>
  <si>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</si>
  <si>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</si>
  <si>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</si>
  <si>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</si>
  <si>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</si>
  <si>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</si>
  <si>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</si>
  <si>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</si>
  <si>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</si>
  <si>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</si>
  <si>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</si>
  <si>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</si>
  <si>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</si>
  <si>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</si>
  <si>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</si>
  <si>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</si>
  <si>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</si>
  <si>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</si>
  <si>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</si>
  <si>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</si>
  <si>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</si>
  <si>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</si>
  <si>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</si>
  <si>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</si>
  <si>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</si>
  <si>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</si>
  <si>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</si>
  <si>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</si>
  <si>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</si>
  <si>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</si>
  <si>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</si>
  <si>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</si>
  <si>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</si>
  <si>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</si>
  <si>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</si>
  <si>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</si>
  <si>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</si>
  <si>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</si>
  <si>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</si>
  <si>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</si>
  <si>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</si>
  <si>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</si>
  <si>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</si>
  <si>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</si>
  <si>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</si>
  <si>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</si>
  <si>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</si>
  <si>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</si>
  <si>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</si>
  <si>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</si>
  <si>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</si>
  <si>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</si>
  <si>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</si>
  <si>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</si>
  <si>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</si>
  <si>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</si>
  <si>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</si>
  <si>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</si>
  <si>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</si>
  <si>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</si>
  <si>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</si>
  <si>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</si>
  <si>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</si>
  <si>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</si>
  <si>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</si>
  <si>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</si>
  <si>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</si>
  <si>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</si>
  <si>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</si>
  <si>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</si>
  <si>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</si>
  <si>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</si>
  <si>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</si>
  <si>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</si>
  <si>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</si>
  <si>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</si>
  <si>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</si>
  <si>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</si>
  <si>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</si>
  <si>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</si>
  <si>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</si>
  <si>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</si>
  <si>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</si>
  <si>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</si>
  <si>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</si>
  <si>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</si>
  <si>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</si>
  <si>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</si>
  <si>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</si>
  <si>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</si>
  <si>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</si>
  <si>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</si>
  <si>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</si>
  <si>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</si>
  <si>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</si>
  <si>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</si>
  <si>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</si>
  <si>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</si>
  <si>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</si>
  <si>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</si>
  <si>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</si>
  <si>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</si>
  <si>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</si>
  <si>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</si>
  <si>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</si>
  <si>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</si>
  <si>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</si>
  <si>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</si>
  <si>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</si>
  <si>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</si>
  <si>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</si>
  <si>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</si>
  <si>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</si>
  <si>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</si>
  <si>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</si>
  <si>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</si>
  <si>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</si>
  <si>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</si>
  <si>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</si>
  <si>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</si>
  <si>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</si>
  <si>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</si>
  <si>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</si>
  <si>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</si>
  <si>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</si>
  <si>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</si>
  <si>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</si>
  <si>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</si>
  <si>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</si>
  <si>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</si>
  <si>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</si>
  <si>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</si>
  <si>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</si>
  <si>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</si>
  <si>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</si>
  <si>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</si>
  <si>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</si>
  <si>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</si>
  <si>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</si>
  <si>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</si>
  <si>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</si>
  <si>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</si>
  <si>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</si>
  <si>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</si>
  <si>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</si>
  <si>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</si>
  <si>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</si>
  <si>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</si>
  <si>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</si>
  <si>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</si>
  <si>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</si>
  <si>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</si>
  <si>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</si>
  <si>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</si>
  <si>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</si>
  <si>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</si>
  <si>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</si>
  <si>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</si>
  <si>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</si>
  <si>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</si>
  <si>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</si>
  <si>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</si>
  <si>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</si>
  <si>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</si>
  <si>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</si>
  <si>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</si>
  <si>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</si>
  <si>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</si>
  <si>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</si>
  <si>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</si>
  <si>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</si>
  <si>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</si>
  <si>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</si>
  <si>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</si>
  <si>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</si>
  <si>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</si>
  <si>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</si>
  <si>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</si>
  <si>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</si>
  <si>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</si>
  <si>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</si>
  <si>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</si>
  <si>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</si>
  <si>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</si>
  <si>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</si>
  <si>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</si>
  <si>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</si>
  <si>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</si>
  <si>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</si>
  <si>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</si>
  <si>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</si>
  <si>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</si>
  <si>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</si>
  <si>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</si>
  <si>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</si>
  <si>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</si>
  <si>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</si>
  <si>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</si>
  <si>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</si>
  <si>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</si>
  <si>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</si>
  <si>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</si>
  <si>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</si>
  <si>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</si>
  <si>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</si>
  <si>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</si>
  <si>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</si>
  <si>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</si>
  <si>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</si>
  <si>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</si>
  <si>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</si>
  <si>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</si>
  <si>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</si>
  <si>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</si>
  <si>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</si>
  <si>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</si>
  <si>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</si>
  <si>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</si>
  <si>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</si>
  <si>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</si>
  <si>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</si>
  <si>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</si>
  <si>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</si>
  <si>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</si>
  <si>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</si>
  <si>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</si>
  <si>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</si>
  <si>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</si>
  <si>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</si>
  <si>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</si>
  <si>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</si>
  <si>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</si>
  <si>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</si>
  <si>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</si>
  <si>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</si>
  <si>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</si>
  <si>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</si>
  <si>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</si>
  <si>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</si>
  <si>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</si>
  <si>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</si>
  <si>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</si>
  <si>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</si>
  <si>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</si>
  <si>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</si>
  <si>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</si>
  <si>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</si>
  <si>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</si>
  <si>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</si>
  <si>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</si>
  <si>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</si>
  <si>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</si>
  <si>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</si>
  <si>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</si>
  <si>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</si>
  <si>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</si>
  <si>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</si>
  <si>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</si>
  <si>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</si>
  <si>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</si>
  <si>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</si>
  <si>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</si>
  <si>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</si>
  <si>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</si>
  <si>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</si>
  <si>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</si>
  <si>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</si>
  <si>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</si>
  <si>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</si>
  <si>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</si>
  <si>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</si>
  <si>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</si>
  <si>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</si>
  <si>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</si>
  <si>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</si>
  <si>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</si>
  <si>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</si>
  <si>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</si>
  <si>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</si>
  <si>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</si>
  <si>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</si>
  <si>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</si>
  <si>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</si>
  <si>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</si>
  <si>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</si>
  <si>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</si>
  <si>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</si>
  <si>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</si>
  <si>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</si>
  <si>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</si>
  <si>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</si>
  <si>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</si>
  <si>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</si>
  <si>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</si>
  <si>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</si>
  <si>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</si>
  <si>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</si>
  <si>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</si>
  <si>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</si>
  <si>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</si>
  <si>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</si>
  <si>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</si>
  <si>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</si>
  <si>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</si>
  <si>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</si>
  <si>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</si>
  <si>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</si>
  <si>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</si>
  <si>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</si>
  <si>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</si>
  <si>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</si>
  <si>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</si>
  <si>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</si>
  <si>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</si>
  <si>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</si>
  <si>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</si>
  <si>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</si>
  <si>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</si>
  <si>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</si>
  <si>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</si>
  <si>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</si>
  <si>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</si>
  <si>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</si>
  <si>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</si>
  <si>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</si>
  <si>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</si>
  <si>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</si>
  <si>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</si>
  <si>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</si>
  <si>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</si>
  <si>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</si>
  <si>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</si>
  <si>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</si>
  <si>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</si>
  <si>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</si>
  <si>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</si>
  <si>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</si>
  <si>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</si>
  <si>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</si>
  <si>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</si>
  <si>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</si>
  <si>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</si>
  <si>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</si>
  <si>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</si>
  <si>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</si>
  <si>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</si>
  <si>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</si>
  <si>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</si>
  <si>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</si>
  <si>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</si>
  <si>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</si>
  <si>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</si>
  <si>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</si>
  <si>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</si>
  <si>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</si>
  <si>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</si>
  <si>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</si>
  <si>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</si>
  <si>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</si>
  <si>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</si>
  <si>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</si>
  <si>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</si>
  <si>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</si>
  <si>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</si>
  <si>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</si>
  <si>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</si>
  <si>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</si>
  <si>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</si>
  <si>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</si>
  <si>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</si>
  <si>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</si>
  <si>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</si>
  <si>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</si>
  <si>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</si>
  <si>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</si>
  <si>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</si>
  <si>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</si>
  <si>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</si>
  <si>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</si>
  <si>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</si>
  <si>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</si>
  <si>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</si>
  <si>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</si>
  <si>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</si>
  <si>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</si>
  <si>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</si>
  <si>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</si>
  <si>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</si>
  <si>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</si>
  <si>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</si>
  <si>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</si>
  <si>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</si>
  <si>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</si>
  <si>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</si>
  <si>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</si>
  <si>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</si>
  <si>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</si>
  <si>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</si>
  <si>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</si>
  <si>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</si>
  <si>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</si>
  <si>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</si>
  <si>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</si>
  <si>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</si>
  <si>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</si>
  <si>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</si>
  <si>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</si>
  <si>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</si>
  <si>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</si>
  <si>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</si>
  <si>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</si>
  <si>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</si>
  <si>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</si>
  <si>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</si>
  <si>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</si>
  <si>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</si>
  <si>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</si>
  <si>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</si>
  <si>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</si>
  <si>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</si>
  <si>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</si>
  <si>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</si>
  <si>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</si>
  <si>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</si>
  <si>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</si>
  <si>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</si>
  <si>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</si>
  <si>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</si>
  <si>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</si>
  <si>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</si>
  <si>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</si>
  <si>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</si>
  <si>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</si>
  <si>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</si>
  <si>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</si>
  <si>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</si>
  <si>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</si>
  <si>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</si>
  <si>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</si>
  <si>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</si>
  <si>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</si>
  <si>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</si>
  <si>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</si>
  <si>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</si>
  <si>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</si>
  <si>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</si>
  <si>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</si>
  <si>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</si>
  <si>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</si>
  <si>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</si>
  <si>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</si>
  <si>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</si>
  <si>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</si>
  <si>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</si>
  <si>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</si>
  <si>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</si>
  <si>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</si>
  <si>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</si>
  <si>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</si>
  <si>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</si>
  <si>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</si>
  <si>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</si>
  <si>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</si>
  <si>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</si>
  <si>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</si>
  <si>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</si>
  <si>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</si>
  <si>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</si>
  <si>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</si>
  <si>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</si>
  <si>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</si>
  <si>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</si>
  <si>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</si>
  <si>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</si>
  <si>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</si>
  <si>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</si>
  <si>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</si>
  <si>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</si>
  <si>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</si>
  <si>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</si>
  <si>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</si>
  <si>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</si>
  <si>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</si>
  <si>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</si>
  <si>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</si>
  <si>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</si>
  <si>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</si>
  <si>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</si>
  <si>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</si>
  <si>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</si>
  <si>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</si>
  <si>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</si>
  <si>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</si>
  <si>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</si>
  <si>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</si>
  <si>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</si>
  <si>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</si>
  <si>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</si>
  <si>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</si>
  <si>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</si>
  <si>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</si>
  <si>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</si>
  <si>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</si>
  <si>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</si>
  <si>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</si>
  <si>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</si>
  <si>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</si>
  <si>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</si>
  <si>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</si>
  <si>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</si>
  <si>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</si>
  <si>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</si>
  <si>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</si>
  <si>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</si>
  <si>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</si>
  <si>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</si>
  <si>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</si>
  <si>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</si>
  <si>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</si>
  <si>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</si>
  <si>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</si>
  <si>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</si>
  <si>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</si>
  <si>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</si>
  <si>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</si>
  <si>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</si>
  <si>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</si>
  <si>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</si>
  <si>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</si>
  <si>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</si>
  <si>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</si>
  <si>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</si>
  <si>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</si>
  <si>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</si>
  <si>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</si>
  <si>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</si>
  <si>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</si>
  <si>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</si>
  <si>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</si>
  <si>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</si>
  <si>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</si>
  <si>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</si>
  <si>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</si>
  <si>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</si>
  <si>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</si>
  <si>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</si>
  <si>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</si>
  <si>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</si>
  <si>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</si>
  <si>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</si>
  <si>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</si>
  <si>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</si>
  <si>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</si>
  <si>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</si>
  <si>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</si>
  <si>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</si>
  <si>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</si>
  <si>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</si>
  <si>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</si>
  <si>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</si>
  <si>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</si>
  <si>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</si>
  <si>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</si>
  <si>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</si>
  <si>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</si>
  <si>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</si>
  <si>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</si>
  <si>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</si>
  <si>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</si>
  <si>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</si>
  <si>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</si>
  <si>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</si>
  <si>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</si>
  <si>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</si>
  <si>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</si>
  <si>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</si>
  <si>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</si>
  <si>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</si>
  <si>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</si>
  <si>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</si>
  <si>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</si>
  <si>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</si>
  <si>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</si>
  <si>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</si>
  <si>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</si>
  <si>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</si>
  <si>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</si>
  <si>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</si>
  <si>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</si>
  <si>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</si>
  <si>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</si>
  <si>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</si>
  <si>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</si>
  <si>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</si>
  <si>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</si>
  <si>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</si>
  <si>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</si>
  <si>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</si>
  <si>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</si>
  <si>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</si>
  <si>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</si>
  <si>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</si>
  <si>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</si>
  <si>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</si>
  <si>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</si>
  <si>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</si>
  <si>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</si>
  <si>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</si>
  <si>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</si>
  <si>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</si>
  <si>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</si>
  <si>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</si>
  <si>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</si>
  <si>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</si>
  <si>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</si>
  <si>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</si>
  <si>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</si>
  <si>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</si>
  <si>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</si>
  <si>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</si>
  <si>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</si>
  <si>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</si>
  <si>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</si>
  <si>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</si>
  <si>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</si>
  <si>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</si>
  <si>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</si>
  <si>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</si>
  <si>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</si>
  <si>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</si>
  <si>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</si>
  <si>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</si>
  <si>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</si>
  <si>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</si>
  <si>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</si>
  <si>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</si>
  <si>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</si>
  <si>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</si>
  <si>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</si>
  <si>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</si>
  <si>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</si>
  <si>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</si>
  <si>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</si>
  <si>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</si>
  <si>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</si>
  <si>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</si>
  <si>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</si>
  <si>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</si>
  <si>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</si>
  <si>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</si>
  <si>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</si>
  <si>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</si>
  <si>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</si>
  <si>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</si>
  <si>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</si>
  <si>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</si>
  <si>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</si>
  <si>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</si>
  <si>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</si>
  <si>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</si>
  <si>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</si>
  <si>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</si>
  <si>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</si>
  <si>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</si>
  <si>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</si>
  <si>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</si>
  <si>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</si>
  <si>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</si>
  <si>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</si>
  <si>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</si>
  <si>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</si>
  <si>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</si>
  <si>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</si>
  <si>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</si>
  <si>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</si>
  <si>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</si>
  <si>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</si>
  <si>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</si>
  <si>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</si>
  <si>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</si>
  <si>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</si>
  <si>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</si>
  <si>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</si>
  <si>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</si>
  <si>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</si>
  <si>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</si>
  <si>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</si>
  <si>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</si>
  <si>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</si>
  <si>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</si>
  <si>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</si>
  <si>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</si>
  <si>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</si>
  <si>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</si>
  <si>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</si>
  <si>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</si>
  <si>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</si>
  <si>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</si>
  <si>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</si>
  <si>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</si>
  <si>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</si>
  <si>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</si>
  <si>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</si>
  <si>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</si>
  <si>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</si>
  <si>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</si>
  <si>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</si>
  <si>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</si>
  <si>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</si>
  <si>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</si>
  <si>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</si>
  <si>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</si>
  <si>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</si>
  <si>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</si>
  <si>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</si>
  <si>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</si>
  <si>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</si>
  <si>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</si>
  <si>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</si>
  <si>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</si>
  <si>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</si>
  <si>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</si>
  <si>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</si>
  <si>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</si>
  <si>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</si>
  <si>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</si>
  <si>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</si>
  <si>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</si>
  <si>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</si>
  <si>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</si>
  <si>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</si>
  <si>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</si>
  <si>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</si>
  <si>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</si>
  <si>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</si>
  <si>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</si>
  <si>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</si>
  <si>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</si>
  <si>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</si>
  <si>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</si>
  <si>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</si>
  <si>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</si>
  <si>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</si>
  <si>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</si>
  <si>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</si>
  <si>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</si>
  <si>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</si>
  <si>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</si>
  <si>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</si>
  <si>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</si>
  <si>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</si>
  <si>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</si>
  <si>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</si>
  <si>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</si>
  <si>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</si>
  <si>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</si>
  <si>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</si>
  <si>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</si>
  <si>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</si>
  <si>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</si>
  <si>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</si>
  <si>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</si>
  <si>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</si>
  <si>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</si>
  <si>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</si>
  <si>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</si>
  <si>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</si>
  <si>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</si>
  <si>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</si>
  <si>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</si>
  <si>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</si>
  <si>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</si>
  <si>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</si>
  <si>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</si>
  <si>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</si>
  <si>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</si>
  <si>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</si>
  <si>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</si>
  <si>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</si>
  <si>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</si>
  <si>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</si>
  <si>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</si>
  <si>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</si>
  <si>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</si>
  <si>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</si>
  <si>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</si>
  <si>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</si>
  <si>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</si>
  <si>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</si>
  <si>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</si>
  <si>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</si>
  <si>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</si>
  <si>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</si>
  <si>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</si>
  <si>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</si>
  <si>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</si>
  <si>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</si>
  <si>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</si>
  <si>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</si>
  <si>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</si>
  <si>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</si>
  <si>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</si>
  <si>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</si>
  <si>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</si>
  <si>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</si>
  <si>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</si>
  <si>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</si>
  <si>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</si>
  <si>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</si>
  <si>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</si>
  <si>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</si>
  <si>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</si>
  <si>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</si>
  <si>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</si>
  <si>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</si>
  <si>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</si>
  <si>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</si>
  <si>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</si>
  <si>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</si>
  <si>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</si>
  <si>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</si>
  <si>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</si>
  <si>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</si>
  <si>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</si>
  <si>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</si>
  <si>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</si>
  <si>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</si>
  <si>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</si>
  <si>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</si>
  <si>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</si>
  <si>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</si>
  <si>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</si>
  <si>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</si>
  <si>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</si>
  <si>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</si>
  <si>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</si>
  <si>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</si>
  <si>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</si>
  <si>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</si>
  <si>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</si>
  <si>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</si>
  <si>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</si>
  <si>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</si>
  <si>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</si>
  <si>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</si>
  <si>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</si>
  <si>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</si>
  <si>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</si>
  <si>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</si>
  <si>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</si>
  <si>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</si>
  <si>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</si>
  <si>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</si>
  <si>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</si>
  <si>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</si>
  <si>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</si>
  <si>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</si>
  <si>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</si>
  <si>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</si>
  <si>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</si>
  <si>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</si>
  <si>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</si>
  <si>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</si>
  <si>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</si>
  <si>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</si>
  <si>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</si>
  <si>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</si>
  <si>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</si>
  <si>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</si>
  <si>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</si>
  <si>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</si>
  <si>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</si>
  <si>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</si>
  <si>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</si>
  <si>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</si>
  <si>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</si>
  <si>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</si>
  <si>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</si>
  <si>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</si>
  <si>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</si>
  <si>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</si>
  <si>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</si>
  <si>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</si>
  <si>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</si>
  <si>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</si>
  <si>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</si>
  <si>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</si>
  <si>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</si>
  <si>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</si>
  <si>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</si>
  <si>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</si>
  <si>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</si>
  <si>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</si>
  <si>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</si>
  <si>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</si>
  <si>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</si>
  <si>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</si>
  <si>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</si>
  <si>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</si>
  <si>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</si>
  <si>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</si>
  <si>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</si>
  <si>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</si>
  <si>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</si>
  <si>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</si>
  <si>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</si>
  <si>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</si>
  <si>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</si>
  <si>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</si>
  <si>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</si>
  <si>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</si>
  <si>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</si>
  <si>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</si>
  <si>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</si>
  <si>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</si>
  <si>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</si>
  <si>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</si>
  <si>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</si>
  <si>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</si>
  <si>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</si>
  <si>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</si>
  <si>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</si>
  <si>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</si>
  <si>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</si>
  <si>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</si>
  <si>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</si>
  <si>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</si>
  <si>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</si>
  <si>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</si>
  <si>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</si>
  <si>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</si>
  <si>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</si>
  <si>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</si>
  <si>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</si>
  <si>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</si>
  <si>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</si>
  <si>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</si>
  <si>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</si>
  <si>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</si>
  <si>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</si>
  <si>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</si>
  <si>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</si>
  <si>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</si>
  <si>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</si>
  <si>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</si>
  <si>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</si>
  <si>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</si>
  <si>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</si>
  <si>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</si>
  <si>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</si>
  <si>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</si>
  <si>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</si>
  <si>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</si>
  <si>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</si>
  <si>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</si>
  <si>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</si>
  <si>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</si>
  <si>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</si>
  <si>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</si>
  <si>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</si>
  <si>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</si>
  <si>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</si>
  <si>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</si>
  <si>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</si>
  <si>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</si>
  <si>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</si>
  <si>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</si>
  <si>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</si>
  <si>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</si>
  <si>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</si>
  <si>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</si>
  <si>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</si>
  <si>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</si>
  <si>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</si>
  <si>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</si>
  <si>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</si>
  <si>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</si>
  <si>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</si>
  <si>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</si>
  <si>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</si>
  <si>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</si>
  <si>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</si>
  <si>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</si>
  <si>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</si>
  <si>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</si>
  <si>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</si>
  <si>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</si>
  <si>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</si>
  <si>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</si>
  <si>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</si>
  <si>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</si>
  <si>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</si>
  <si>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</si>
  <si>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</si>
  <si>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</si>
  <si>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</si>
  <si>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</si>
  <si>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</si>
  <si>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</si>
  <si>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</si>
  <si>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</si>
  <si>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</si>
  <si>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</si>
  <si>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</si>
  <si>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</si>
  <si>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</si>
  <si>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</si>
  <si>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</si>
  <si>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</si>
  <si>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</si>
  <si>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</si>
  <si>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</si>
  <si>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</si>
  <si>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</si>
  <si>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</si>
  <si>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</si>
  <si>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</si>
  <si>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</si>
  <si>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</si>
  <si>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</si>
  <si>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</si>
  <si>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</si>
  <si>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</si>
  <si>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</si>
  <si>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</si>
  <si>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</si>
  <si>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</si>
  <si>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</si>
  <si>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</si>
  <si>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</si>
  <si>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</si>
  <si>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</si>
  <si>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</si>
  <si>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</si>
  <si>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</si>
  <si>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</si>
  <si>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</si>
  <si>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</si>
  <si>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</si>
  <si>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</si>
  <si>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</si>
  <si>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</si>
  <si>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</si>
  <si>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</si>
  <si>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</si>
  <si>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</si>
  <si>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</si>
  <si>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</si>
  <si>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</si>
  <si>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</si>
  <si>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</si>
  <si>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</si>
  <si>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</si>
  <si>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</si>
  <si>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</si>
  <si>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</si>
  <si>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</si>
  <si>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</si>
  <si>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</si>
  <si>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</si>
  <si>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</si>
  <si>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</si>
  <si>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</si>
  <si>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</si>
  <si>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</si>
  <si>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</si>
  <si>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</si>
  <si>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</si>
  <si>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</si>
  <si>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</si>
  <si>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</si>
  <si>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</si>
  <si>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</si>
  <si>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</si>
  <si>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</si>
  <si>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</si>
  <si>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</si>
  <si>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</si>
  <si>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</si>
  <si>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</si>
  <si>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</si>
  <si>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</si>
  <si>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</si>
  <si>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</si>
  <si>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</si>
  <si>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</si>
  <si>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</si>
  <si>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</si>
  <si>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</si>
  <si>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</si>
  <si>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</si>
  <si>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</si>
  <si>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</si>
  <si>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</si>
  <si>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</si>
  <si>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</si>
  <si>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</si>
  <si>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</si>
  <si>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</si>
  <si>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</si>
  <si>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</si>
  <si>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</si>
  <si>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</si>
  <si>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</si>
  <si>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</si>
  <si>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</si>
  <si>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</si>
  <si>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</si>
  <si>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</si>
  <si>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</si>
  <si>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</si>
  <si>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</si>
  <si>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</si>
  <si>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</si>
  <si>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</si>
  <si>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</si>
  <si>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</si>
  <si>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</si>
  <si>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</si>
  <si>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</si>
  <si>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</si>
  <si>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</si>
  <si>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</si>
  <si>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</si>
  <si>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</si>
  <si>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</si>
  <si>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</si>
  <si>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</si>
  <si>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</si>
  <si>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</si>
  <si>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</si>
  <si>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</si>
  <si>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</si>
  <si>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</si>
  <si>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</si>
  <si>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</si>
  <si>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</si>
  <si>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</si>
  <si>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</si>
  <si>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</si>
  <si>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</si>
  <si>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</si>
  <si>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</si>
  <si>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</si>
  <si>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</si>
  <si>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</si>
  <si>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</si>
  <si>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</si>
  <si>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</si>
  <si>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</si>
  <si>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</si>
  <si>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</si>
  <si>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</si>
  <si>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</si>
  <si>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</si>
  <si>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</si>
  <si>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</si>
  <si>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</si>
  <si>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</si>
  <si>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</si>
  <si>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</si>
  <si>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</si>
  <si>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</si>
  <si>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</si>
  <si>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</si>
  <si>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</si>
  <si>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</si>
  <si>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</si>
  <si>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</si>
  <si>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</si>
  <si>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</si>
  <si>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</si>
  <si>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</si>
  <si>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</si>
  <si>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</si>
  <si>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</si>
  <si>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</si>
  <si>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</si>
  <si>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</si>
  <si>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</si>
  <si>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</si>
  <si>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</si>
  <si>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</si>
  <si>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</si>
  <si>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</si>
  <si>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</si>
  <si>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</si>
  <si>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</si>
  <si>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</si>
  <si>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</si>
  <si>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</si>
  <si>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</si>
  <si>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</si>
  <si>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</si>
  <si>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</si>
  <si>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</si>
  <si>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</si>
  <si>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</si>
  <si>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</si>
  <si>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</si>
  <si>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</si>
  <si>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</si>
  <si>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</si>
  <si>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</si>
  <si>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</si>
  <si>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</si>
  <si>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</si>
  <si>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</si>
  <si>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</si>
  <si>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</si>
  <si>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</si>
  <si>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</si>
  <si>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</si>
  <si>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</si>
  <si>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</si>
  <si>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</si>
  <si>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</si>
  <si>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</si>
  <si>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</si>
  <si>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</si>
  <si>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</si>
  <si>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</si>
  <si>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</si>
  <si>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</si>
  <si>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</si>
  <si>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</si>
  <si>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</si>
  <si>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</si>
  <si>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</si>
  <si>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</si>
  <si>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</si>
  <si>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</si>
  <si>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</si>
  <si>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</si>
  <si>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</si>
  <si>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</si>
  <si>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</si>
  <si>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</si>
  <si>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</si>
  <si>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</si>
  <si>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</si>
  <si>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</si>
  <si>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</si>
  <si>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</si>
  <si>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</si>
  <si>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</si>
  <si>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</si>
  <si>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</si>
  <si>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</si>
  <si>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</si>
  <si>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</si>
  <si>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</si>
  <si>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</si>
  <si>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</si>
  <si>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</si>
  <si>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</si>
  <si>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</si>
  <si>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</si>
  <si>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</si>
  <si>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</si>
  <si>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</si>
  <si>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</si>
  <si>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</si>
  <si>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</si>
  <si>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</si>
  <si>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</si>
  <si>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</si>
  <si>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</si>
  <si>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</si>
  <si>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</si>
  <si>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</si>
  <si>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</si>
  <si>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</si>
  <si>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</si>
  <si>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</si>
  <si>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</si>
  <si>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</si>
  <si>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</si>
  <si>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</si>
  <si>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</si>
  <si>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</si>
  <si>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</si>
  <si>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</si>
  <si>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</si>
  <si>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</si>
  <si>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</si>
  <si>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</si>
  <si>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</si>
  <si>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</si>
  <si>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</si>
  <si>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</si>
  <si>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</si>
  <si>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</si>
  <si>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</si>
  <si>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</si>
  <si>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</si>
  <si>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</si>
  <si>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</si>
  <si>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</si>
  <si>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</si>
  <si>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</si>
  <si>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</si>
  <si>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</si>
  <si>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</si>
  <si>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</si>
  <si>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</si>
  <si>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</si>
  <si>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</si>
  <si>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</si>
  <si>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</si>
  <si>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</si>
  <si>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</si>
  <si>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</si>
  <si>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</si>
  <si>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</si>
  <si>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</si>
  <si>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</si>
  <si>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</si>
  <si>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</si>
  <si>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</si>
  <si>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</si>
  <si>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</si>
  <si>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</si>
  <si>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</si>
  <si>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</si>
  <si>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</si>
  <si>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</si>
  <si>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</si>
  <si>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</si>
  <si>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</si>
  <si>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</si>
  <si>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</si>
  <si>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</si>
  <si>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</si>
  <si>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</si>
  <si>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</si>
  <si>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</si>
  <si>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</si>
  <si>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</si>
  <si>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</si>
  <si>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</si>
  <si>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</si>
  <si>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</si>
  <si>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</si>
  <si>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</si>
  <si>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</si>
  <si>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</si>
  <si>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</si>
  <si>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</si>
  <si>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</si>
  <si>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</si>
  <si>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</si>
  <si>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</si>
  <si>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</si>
  <si>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</si>
  <si>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</si>
  <si>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</si>
  <si>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</si>
  <si>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</si>
  <si>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</si>
  <si>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</si>
  <si>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</si>
  <si>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</si>
  <si>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</si>
  <si>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</si>
  <si>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</si>
  <si>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</si>
  <si>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</si>
  <si>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</si>
  <si>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</si>
  <si>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</si>
  <si>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</si>
  <si>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</si>
  <si>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</si>
  <si>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</si>
  <si>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</si>
  <si>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</si>
  <si>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</si>
  <si>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</si>
  <si>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</si>
  <si>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</si>
  <si>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</si>
  <si>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</si>
  <si>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</si>
  <si>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</si>
  <si>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</si>
  <si>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</si>
  <si>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</si>
  <si>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</si>
  <si>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</si>
  <si>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</si>
  <si>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</si>
  <si>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</si>
  <si>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</si>
  <si>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</si>
  <si>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</si>
  <si>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</si>
  <si>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</si>
  <si>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</si>
  <si>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</si>
  <si>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</si>
  <si>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</si>
  <si>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</si>
  <si>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</si>
  <si>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</si>
  <si>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</si>
  <si>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</si>
  <si>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</si>
  <si>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</si>
  <si>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</si>
  <si>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</si>
  <si>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</si>
  <si>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</si>
  <si>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</si>
  <si>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</si>
  <si>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</si>
  <si>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</si>
  <si>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</si>
  <si>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</si>
  <si>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</si>
  <si>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</si>
  <si>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</si>
  <si>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</si>
  <si>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</si>
  <si>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</si>
  <si>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</si>
  <si>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</si>
  <si>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</si>
  <si>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</si>
  <si>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</si>
  <si>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</si>
  <si>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</si>
  <si>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</si>
  <si>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</si>
  <si>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</si>
  <si>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</si>
  <si>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</si>
  <si>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</si>
  <si>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</si>
  <si>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</si>
  <si>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</si>
  <si>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</si>
  <si>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</si>
  <si>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</si>
  <si>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</si>
  <si>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</si>
  <si>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</si>
  <si>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</si>
  <si>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</si>
  <si>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</si>
  <si>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</si>
  <si>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</si>
  <si>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</si>
  <si>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</si>
  <si>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</si>
  <si>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</si>
  <si>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</si>
  <si>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</si>
  <si>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</si>
  <si>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</si>
  <si>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</si>
  <si>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</si>
  <si>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</si>
  <si>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</si>
  <si>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</si>
  <si>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</si>
  <si>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</si>
  <si>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</si>
  <si>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</si>
  <si>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</si>
  <si>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</si>
  <si>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</si>
  <si>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</si>
  <si>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</si>
  <si>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</si>
  <si>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</si>
  <si>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</si>
  <si>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</si>
  <si>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</si>
  <si>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</si>
  <si>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</si>
  <si>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</si>
  <si>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</si>
  <si>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</si>
  <si>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</si>
  <si>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</si>
  <si>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</si>
  <si>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</si>
  <si>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</si>
  <si>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</si>
  <si>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</si>
  <si>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</si>
  <si>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</si>
  <si>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</si>
  <si>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</si>
  <si>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</si>
  <si>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</si>
  <si>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</si>
  <si>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</si>
  <si>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</si>
  <si>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</si>
  <si>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</si>
  <si>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</si>
  <si>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</si>
  <si>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</si>
  <si>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</si>
  <si>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</si>
  <si>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</si>
  <si>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</si>
  <si>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</si>
  <si>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</si>
  <si>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</si>
  <si>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</si>
  <si>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</si>
  <si>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</si>
  <si>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</si>
  <si>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</si>
  <si>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</si>
  <si>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</si>
  <si>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</si>
  <si>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</si>
  <si>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</si>
  <si>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</si>
  <si>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</si>
  <si>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</si>
  <si>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</si>
  <si>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</si>
  <si>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</si>
  <si>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</si>
  <si>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</si>
  <si>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</si>
  <si>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</si>
  <si>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</si>
  <si>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</si>
  <si>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</si>
  <si>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</si>
  <si>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</si>
  <si>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</si>
  <si>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</si>
  <si>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</si>
  <si>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</si>
  <si>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</si>
  <si>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</si>
  <si>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</si>
  <si>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</si>
  <si>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</si>
  <si>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</si>
  <si>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</si>
  <si>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</si>
  <si>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</si>
  <si>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</si>
  <si>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</si>
  <si>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</si>
  <si>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</si>
  <si>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</si>
  <si>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</si>
  <si>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</si>
  <si>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</si>
  <si>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</si>
  <si>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</si>
  <si>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</si>
  <si>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</si>
  <si>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</si>
  <si>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</si>
  <si>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</si>
  <si>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</si>
  <si>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</si>
  <si>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</si>
  <si>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</si>
  <si>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</si>
  <si>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</si>
  <si>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</si>
  <si>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</si>
  <si>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</si>
  <si>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</si>
  <si>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</si>
  <si>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</si>
  <si>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</si>
  <si>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</si>
  <si>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</si>
  <si>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</si>
  <si>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</si>
  <si>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</si>
  <si>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</si>
  <si>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</si>
  <si>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</si>
  <si>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</si>
  <si>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</si>
  <si>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</si>
  <si>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</si>
  <si>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</si>
  <si>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</si>
  <si>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</si>
  <si>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</si>
  <si>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</si>
  <si>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</si>
  <si>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</si>
  <si>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</si>
  <si>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</si>
  <si>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</si>
  <si>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</si>
  <si>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</si>
  <si>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</si>
  <si>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</si>
  <si>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</si>
  <si>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</si>
  <si>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</si>
  <si>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</si>
  <si>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</si>
  <si>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</si>
  <si>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</si>
  <si>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</si>
  <si>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</si>
  <si>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</si>
  <si>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</si>
  <si>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</si>
  <si>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</si>
  <si>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</si>
  <si>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</si>
  <si>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</si>
  <si>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</si>
  <si>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</si>
  <si>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</si>
  <si>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</si>
  <si>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</si>
  <si>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</si>
  <si>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</si>
  <si>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</si>
  <si>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</si>
  <si>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</si>
  <si>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</si>
  <si>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</si>
  <si>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</si>
  <si>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</si>
  <si>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</si>
  <si>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</si>
  <si>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</si>
  <si>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</si>
  <si>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</si>
  <si>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</si>
  <si>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</si>
  <si>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</si>
  <si>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</si>
  <si>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</si>
  <si>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</si>
  <si>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</si>
  <si>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</si>
  <si>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</si>
  <si>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</si>
  <si>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</si>
  <si>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</si>
  <si>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</si>
  <si>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</si>
  <si>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</si>
  <si>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</si>
  <si>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</si>
  <si>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</si>
  <si>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</si>
  <si>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</si>
  <si>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</si>
  <si>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</si>
  <si>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</si>
  <si>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</si>
  <si>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</si>
  <si>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</si>
  <si>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</si>
  <si>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</si>
  <si>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</si>
  <si>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</si>
  <si>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</si>
  <si>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</si>
  <si>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</si>
  <si>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</si>
  <si>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</si>
  <si>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</si>
  <si>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</si>
  <si>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</si>
  <si>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</si>
  <si>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</si>
  <si>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</si>
  <si>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</si>
  <si>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</si>
  <si>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</si>
  <si>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</si>
  <si>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</si>
  <si>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</si>
  <si>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</si>
  <si>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</si>
  <si>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</si>
  <si>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</si>
  <si>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</si>
  <si>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</si>
  <si>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</si>
  <si>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</si>
  <si>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</si>
  <si>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</si>
  <si>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</si>
  <si>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</si>
  <si>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</si>
  <si>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</si>
  <si>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</si>
  <si>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</si>
  <si>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</si>
  <si>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</si>
  <si>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</si>
  <si>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</si>
  <si>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</si>
  <si>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</si>
  <si>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</si>
  <si>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</si>
  <si>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</si>
  <si>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</si>
  <si>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</si>
  <si>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</si>
  <si>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</si>
  <si>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</si>
  <si>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</si>
  <si>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</si>
  <si>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</si>
  <si>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</si>
  <si>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</si>
  <si>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</si>
  <si>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</si>
  <si>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</si>
  <si>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</si>
  <si>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</si>
  <si>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</si>
  <si>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</si>
  <si>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</si>
  <si>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</si>
  <si>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</si>
  <si>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</si>
  <si>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</si>
  <si>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</si>
  <si>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</si>
  <si>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</si>
  <si>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</si>
  <si>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</si>
  <si>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</si>
  <si>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</si>
  <si>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</si>
  <si>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</si>
  <si>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</si>
  <si>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</si>
  <si>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</si>
  <si>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</si>
  <si>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</si>
  <si>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</si>
  <si>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</si>
  <si>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</si>
  <si>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</si>
  <si>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</si>
  <si>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</si>
  <si>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</si>
  <si>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</si>
  <si>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</si>
  <si>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</si>
  <si>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</si>
  <si>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</si>
  <si>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</si>
  <si>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</si>
  <si>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</si>
  <si>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</si>
  <si>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</si>
  <si>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</si>
  <si>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</si>
  <si>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</si>
  <si>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</si>
  <si>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</si>
  <si>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</si>
  <si>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</si>
  <si>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</si>
  <si>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</si>
  <si>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</si>
  <si>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</si>
  <si>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</si>
  <si>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</si>
  <si>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</si>
  <si>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</si>
  <si>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</si>
  <si>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</si>
  <si>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</si>
  <si>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</si>
  <si>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</si>
  <si>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</si>
  <si>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</si>
  <si>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</si>
  <si>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</si>
  <si>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</si>
  <si>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</si>
  <si>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</si>
  <si>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</si>
  <si>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</si>
  <si>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</si>
  <si>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</si>
  <si>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</si>
  <si>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</si>
  <si>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</si>
  <si>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</si>
  <si>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</si>
  <si>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</si>
  <si>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</si>
  <si>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</si>
  <si>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</si>
  <si>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</si>
  <si>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</si>
  <si>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</si>
  <si>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</si>
  <si>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</si>
  <si>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</si>
  <si>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</si>
  <si>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</si>
  <si>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</si>
  <si>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</si>
  <si>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</si>
  <si>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</si>
  <si>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</si>
  <si>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</si>
  <si>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</si>
  <si>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</si>
  <si>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</si>
  <si>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</si>
  <si>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</si>
  <si>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</si>
  <si>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</si>
  <si>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</si>
  <si>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</si>
  <si>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</si>
  <si>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</si>
  <si>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</si>
  <si>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</si>
  <si>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</si>
  <si>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</si>
  <si>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</si>
  <si>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</si>
  <si>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</si>
  <si>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</si>
  <si>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</si>
  <si>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</si>
  <si>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</si>
  <si>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</si>
  <si>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</si>
  <si>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</si>
  <si>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</si>
  <si>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</si>
  <si>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</si>
  <si>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</si>
  <si>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</si>
  <si>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</si>
  <si>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</si>
  <si>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</si>
  <si>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</si>
  <si>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</si>
  <si>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</si>
  <si>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</si>
  <si>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</si>
  <si>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</si>
  <si>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</si>
  <si>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</si>
  <si>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</si>
  <si>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</si>
  <si>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</si>
  <si>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</si>
  <si>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</si>
  <si>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</si>
  <si>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</si>
  <si>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</si>
  <si>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</si>
  <si>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</si>
  <si>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</si>
  <si>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</si>
  <si>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</si>
  <si>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</si>
  <si>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</si>
  <si>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</si>
  <si>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</si>
  <si>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</si>
  <si>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</si>
  <si>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</si>
  <si>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</si>
  <si>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</si>
  <si>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</si>
  <si>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</si>
  <si>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</si>
  <si>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</si>
  <si>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</si>
  <si>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</si>
  <si>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</si>
  <si>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</si>
  <si>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</si>
  <si>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</si>
  <si>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</si>
  <si>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</si>
  <si>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</si>
  <si>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</si>
  <si>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</si>
  <si>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</si>
  <si>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</si>
  <si>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</si>
  <si>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</si>
  <si>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</si>
  <si>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</si>
  <si>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</si>
  <si>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</si>
  <si>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</si>
  <si>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</si>
  <si>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</si>
  <si>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</si>
  <si>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</si>
  <si>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</si>
  <si>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</si>
  <si>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</si>
  <si>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</si>
  <si>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</si>
  <si>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</si>
  <si>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</si>
  <si>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</si>
  <si>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</si>
  <si>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</si>
  <si>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</si>
  <si>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</si>
  <si>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</si>
  <si>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</si>
  <si>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</si>
  <si>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</si>
  <si>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</si>
  <si>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</si>
  <si>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</si>
  <si>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</si>
  <si>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</si>
  <si>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</si>
  <si>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</si>
  <si>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</si>
  <si>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</si>
  <si>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</si>
  <si>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</si>
  <si>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</si>
  <si>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</si>
  <si>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</si>
  <si>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</si>
  <si>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</si>
  <si>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</si>
  <si>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</si>
  <si>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</si>
  <si>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</si>
  <si>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</si>
  <si>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</si>
  <si>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</si>
  <si>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</si>
  <si>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</si>
  <si>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</si>
  <si>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</si>
  <si>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</si>
  <si>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</si>
  <si>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</si>
  <si>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</si>
  <si>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</si>
  <si>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</si>
  <si>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</si>
  <si>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</si>
  <si>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</si>
  <si>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</si>
  <si>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</si>
  <si>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</si>
  <si>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</si>
  <si>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</si>
  <si>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</si>
  <si>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</si>
  <si>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</si>
  <si>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</si>
  <si>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</si>
  <si>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</si>
  <si>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</si>
  <si>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</si>
  <si>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</si>
  <si>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</si>
  <si>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</si>
  <si>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</si>
  <si>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</si>
  <si>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</si>
  <si>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</si>
  <si>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</si>
  <si>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</si>
  <si>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</si>
  <si>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</si>
  <si>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</si>
  <si>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</si>
  <si>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</si>
  <si>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</si>
  <si>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</si>
  <si>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</si>
  <si>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</si>
  <si>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</si>
  <si>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</si>
  <si>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</si>
  <si>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</si>
  <si>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</si>
  <si>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</si>
  <si>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</si>
  <si>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</si>
  <si>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</si>
  <si>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</si>
  <si>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</si>
  <si>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</si>
  <si>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</si>
  <si>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</si>
  <si>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</si>
  <si>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</si>
  <si>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</si>
  <si>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</si>
  <si>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</si>
  <si>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</si>
  <si>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</si>
  <si>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</si>
  <si>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</si>
  <si>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</si>
  <si>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</si>
  <si>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</si>
  <si>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</si>
  <si>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</si>
  <si>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</si>
  <si>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</si>
  <si>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</si>
  <si>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</si>
  <si>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</si>
  <si>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</si>
  <si>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</si>
  <si>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</si>
  <si>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</si>
  <si>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</si>
  <si>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</si>
  <si>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</si>
  <si>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</si>
  <si>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</si>
  <si>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</si>
  <si>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</si>
  <si>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</si>
  <si>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</si>
  <si>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</si>
  <si>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</si>
  <si>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</si>
  <si>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</si>
  <si>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</si>
  <si>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</si>
  <si>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</si>
  <si>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</si>
  <si>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</si>
  <si>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</si>
  <si>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</si>
  <si>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</si>
  <si>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</si>
  <si>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</si>
  <si>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</si>
  <si>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</si>
  <si>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</si>
  <si>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</si>
  <si>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</si>
  <si>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</si>
  <si>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</si>
  <si>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</si>
  <si>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</si>
  <si>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</si>
  <si>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</si>
  <si>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</si>
  <si>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</si>
  <si>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</si>
  <si>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</si>
  <si>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</si>
  <si>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</si>
  <si>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</si>
  <si>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</si>
  <si>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</si>
  <si>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</si>
  <si>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</si>
  <si>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</si>
  <si>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</si>
  <si>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</si>
  <si>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</si>
  <si>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</si>
  <si>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</si>
  <si>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</si>
  <si>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</si>
  <si>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</si>
  <si>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</si>
  <si>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</si>
  <si>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</si>
  <si>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</si>
  <si>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</si>
  <si>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</si>
  <si>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</si>
  <si>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</si>
  <si>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</si>
  <si>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</si>
  <si>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</si>
  <si>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</si>
  <si>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</si>
  <si>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</si>
  <si>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</si>
  <si>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</si>
  <si>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</si>
  <si>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</si>
  <si>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</si>
  <si>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</si>
  <si>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</si>
  <si>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</si>
  <si>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</si>
  <si>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</si>
  <si>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</si>
  <si>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</si>
  <si>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</si>
  <si>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</si>
  <si>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</si>
  <si>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</si>
  <si>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</si>
  <si>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</si>
  <si>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</si>
  <si>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</si>
  <si>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</si>
  <si>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</si>
  <si>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</si>
  <si>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</si>
  <si>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</si>
  <si>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</si>
  <si>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</si>
  <si>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</si>
  <si>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</si>
  <si>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</si>
  <si>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</si>
  <si>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</si>
  <si>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</si>
  <si>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</si>
  <si>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</si>
  <si>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</si>
  <si>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</si>
  <si>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</si>
  <si>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</si>
  <si>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</si>
  <si>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</si>
  <si>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</si>
  <si>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</si>
  <si>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</si>
  <si>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</si>
  <si>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</si>
  <si>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</si>
  <si>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</si>
  <si>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</si>
  <si>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</si>
  <si>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</si>
  <si>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</si>
  <si>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</si>
  <si>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</si>
  <si>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</si>
  <si>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</si>
  <si>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</si>
  <si>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</si>
  <si>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</si>
  <si>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</si>
  <si>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</si>
  <si>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</si>
  <si>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</si>
  <si>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</si>
  <si>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</si>
  <si>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</si>
  <si>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</si>
  <si>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</si>
  <si>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</si>
  <si>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</si>
  <si>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</si>
  <si>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</si>
  <si>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</si>
  <si>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</si>
  <si>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</si>
  <si>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</si>
  <si>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</si>
  <si>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</si>
  <si>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</si>
  <si>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</si>
  <si>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</si>
  <si>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</si>
  <si>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</si>
  <si>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</si>
  <si>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</si>
  <si>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</si>
  <si>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</si>
  <si>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</si>
  <si>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</si>
  <si>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</si>
  <si>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</si>
  <si>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</si>
  <si>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</si>
  <si>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</si>
  <si>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</si>
  <si>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</si>
  <si>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</si>
  <si>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</si>
  <si>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</si>
  <si>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</si>
  <si>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</si>
  <si>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</si>
  <si>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</si>
  <si>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</si>
  <si>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</si>
  <si>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</si>
  <si>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</si>
  <si>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</si>
  <si>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</si>
  <si>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</si>
  <si>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</si>
  <si>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</si>
  <si>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</si>
  <si>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</si>
  <si>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</si>
  <si>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</si>
  <si>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</si>
  <si>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</si>
  <si>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</si>
  <si>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</si>
  <si>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</si>
  <si>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</si>
  <si>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</si>
  <si>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</si>
  <si>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</si>
  <si>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</si>
  <si>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</si>
  <si>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</si>
  <si>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</si>
  <si>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</si>
  <si>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</si>
  <si>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</si>
  <si>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</si>
  <si>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</si>
  <si>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</si>
  <si>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</si>
  <si>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</si>
  <si>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</si>
  <si>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</si>
  <si>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</si>
  <si>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</si>
  <si>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</si>
  <si>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</si>
  <si>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</si>
  <si>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</si>
  <si>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</si>
  <si>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</si>
  <si>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</si>
  <si>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</si>
  <si>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</si>
  <si>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</si>
  <si>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</si>
  <si>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</si>
  <si>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</si>
  <si>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</si>
  <si>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</si>
  <si>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</si>
  <si>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</si>
  <si>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</si>
  <si>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</si>
  <si>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</si>
  <si>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</si>
  <si>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</si>
  <si>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</si>
  <si>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</si>
  <si>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</si>
  <si>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</si>
  <si>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</si>
  <si>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</si>
  <si>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</si>
  <si>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</si>
  <si>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</si>
  <si>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</si>
  <si>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</si>
  <si>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</si>
  <si>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</si>
  <si>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</si>
  <si>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</si>
  <si>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</si>
  <si>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</si>
  <si>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</si>
  <si>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</si>
  <si>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</si>
  <si>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</si>
  <si>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</si>
  <si>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</si>
  <si>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</si>
  <si>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</si>
  <si>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</si>
  <si>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</si>
  <si>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</si>
  <si>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</si>
  <si>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</si>
  <si>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</si>
  <si>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</si>
  <si>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</si>
  <si>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</si>
  <si>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</si>
  <si>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</si>
  <si>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</si>
  <si>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</si>
  <si>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</si>
  <si>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</si>
  <si>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</si>
  <si>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</si>
  <si>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</si>
  <si>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</si>
  <si>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</si>
  <si>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</si>
  <si>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</si>
  <si>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</si>
  <si>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</si>
  <si>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</si>
  <si>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</si>
  <si>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</si>
  <si>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</si>
  <si>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</si>
  <si>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</si>
  <si>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</si>
  <si>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</si>
  <si>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</si>
  <si>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</si>
  <si>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</si>
  <si>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</si>
  <si>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</si>
  <si>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</si>
  <si>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</si>
  <si>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</si>
  <si>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</si>
  <si>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</si>
  <si>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</si>
  <si>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</si>
  <si>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</si>
  <si>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</si>
  <si>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</si>
  <si>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</si>
  <si>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</si>
  <si>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</si>
  <si>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</si>
  <si>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</si>
  <si>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</si>
  <si>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</si>
  <si>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</si>
  <si>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</si>
  <si>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</si>
  <si>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</si>
  <si>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</si>
  <si>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</si>
  <si>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</si>
  <si>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</si>
  <si>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</si>
  <si>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</si>
  <si>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</si>
  <si>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</si>
  <si>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</si>
  <si>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</si>
  <si>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</si>
  <si>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</si>
  <si>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</si>
  <si>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</si>
  <si>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</si>
  <si>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</si>
  <si>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</si>
  <si>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</si>
  <si>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</si>
  <si>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</si>
  <si>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</si>
  <si>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</si>
  <si>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</si>
  <si>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</si>
  <si>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</si>
  <si>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</si>
  <si>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</si>
  <si>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</si>
  <si>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</si>
  <si>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</si>
  <si>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</si>
  <si>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</si>
  <si>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</si>
  <si>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</si>
  <si>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</si>
  <si>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</si>
  <si>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</si>
  <si>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</si>
  <si>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</si>
  <si>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</si>
  <si>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</si>
  <si>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</si>
  <si>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</si>
  <si>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</si>
  <si>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</si>
  <si>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</si>
  <si>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</si>
  <si>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</si>
  <si>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</si>
  <si>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</si>
  <si>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</si>
  <si>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</si>
  <si>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</si>
  <si>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</si>
  <si>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</si>
  <si>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</si>
  <si>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</si>
  <si>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</si>
  <si>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</si>
  <si>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</si>
  <si>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</si>
  <si>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</si>
  <si>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</si>
  <si>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</si>
  <si>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</si>
  <si>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</si>
  <si>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</si>
  <si>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</si>
  <si>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</si>
  <si>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</si>
  <si>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</si>
  <si>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</si>
  <si>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</si>
  <si>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</si>
  <si>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</si>
  <si>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</si>
  <si>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</si>
  <si>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</si>
  <si>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</si>
  <si>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</si>
  <si>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</si>
  <si>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</si>
  <si>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</si>
  <si>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</si>
  <si>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</si>
  <si>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</si>
  <si>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</si>
  <si>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</si>
  <si>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</si>
  <si>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</si>
  <si>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</si>
  <si>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</si>
  <si>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</si>
  <si>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</si>
  <si>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</si>
  <si>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</si>
  <si>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</si>
  <si>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</si>
  <si>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</si>
  <si>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</si>
  <si>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</si>
  <si>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</si>
  <si>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</si>
  <si>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</si>
  <si>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</si>
  <si>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</si>
  <si>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</si>
  <si>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</si>
  <si>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</si>
  <si>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</si>
  <si>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</si>
  <si>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</si>
  <si>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</si>
  <si>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</si>
  <si>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</si>
  <si>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</si>
  <si>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</si>
  <si>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</si>
  <si>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</si>
  <si>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</si>
  <si>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</si>
  <si>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</si>
  <si>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</si>
  <si>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</si>
  <si>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</si>
  <si>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</si>
  <si>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</si>
  <si>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</si>
  <si>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</si>
  <si>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</si>
  <si>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</si>
  <si>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</si>
  <si>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</si>
  <si>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</si>
  <si>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</si>
  <si>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</si>
  <si>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</si>
  <si>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</si>
  <si>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</si>
  <si>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</si>
  <si>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</si>
  <si>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</si>
  <si>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</si>
  <si>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</si>
  <si>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</si>
  <si>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</si>
  <si>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</si>
  <si>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</si>
  <si>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</si>
  <si>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</si>
  <si>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</si>
  <si>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</si>
  <si>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</si>
  <si>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</si>
  <si>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</si>
  <si>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</si>
  <si>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</si>
  <si>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</si>
  <si>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</si>
  <si>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</si>
  <si>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</si>
  <si>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</si>
  <si>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</si>
  <si>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</si>
  <si>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</si>
  <si>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</si>
  <si>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</si>
  <si>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</si>
  <si>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</si>
  <si>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</si>
  <si>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</si>
  <si>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</si>
  <si>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</si>
  <si>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</si>
  <si>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</si>
  <si>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</si>
  <si>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</si>
  <si>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</si>
  <si>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</si>
  <si>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</si>
  <si>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</si>
  <si>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</si>
  <si>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</si>
  <si>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</si>
  <si>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</si>
  <si>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</si>
  <si>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</si>
  <si>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</si>
  <si>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</si>
  <si>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</si>
  <si>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</si>
  <si>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</si>
  <si>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</si>
  <si>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</si>
  <si>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</si>
  <si>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</si>
  <si>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</si>
  <si>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</si>
  <si>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</si>
  <si>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</si>
  <si>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</si>
  <si>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</si>
  <si>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</si>
  <si>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</si>
  <si>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</si>
  <si>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</si>
  <si>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</si>
  <si>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</si>
  <si>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</si>
  <si>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</si>
  <si>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</si>
  <si>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</si>
  <si>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</si>
  <si>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</si>
  <si>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</si>
  <si>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</si>
  <si>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</si>
  <si>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</si>
  <si>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</si>
  <si>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</si>
  <si>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</si>
  <si>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</si>
  <si>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</si>
  <si>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</si>
  <si>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</si>
  <si>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</si>
  <si>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</si>
  <si>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</si>
  <si>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</si>
  <si>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</si>
  <si>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</si>
  <si>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</si>
  <si>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</si>
  <si>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</si>
  <si>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</si>
  <si>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</si>
  <si>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</si>
  <si>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</si>
  <si>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</si>
  <si>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</si>
  <si>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</si>
  <si>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</si>
  <si>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</si>
  <si>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</si>
  <si>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</si>
  <si>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</si>
  <si>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</si>
  <si>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</si>
  <si>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</si>
  <si>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</si>
  <si>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</si>
  <si>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</si>
  <si>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</si>
  <si>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</si>
  <si>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</si>
  <si>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</si>
  <si>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</si>
  <si>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</si>
  <si>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</si>
  <si>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</si>
  <si>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</si>
  <si>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</si>
  <si>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</si>
  <si>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</si>
  <si>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</si>
  <si>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</si>
  <si>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</si>
  <si>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</si>
  <si>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</si>
  <si>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</si>
  <si>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</si>
  <si>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</si>
  <si>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</si>
  <si>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</si>
  <si>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</si>
  <si>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</si>
  <si>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</si>
  <si>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</si>
  <si>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</si>
  <si>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</si>
  <si>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</si>
  <si>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</si>
  <si>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</si>
  <si>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</si>
  <si>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</si>
  <si>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</si>
  <si>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</si>
  <si>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</si>
  <si>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</si>
  <si>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</si>
  <si>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</si>
  <si>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</si>
  <si>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</si>
  <si>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</si>
  <si>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</si>
  <si>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</si>
  <si>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</si>
  <si>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</si>
  <si>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</si>
  <si>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</si>
  <si>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</si>
  <si>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</si>
  <si>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</si>
  <si>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</si>
  <si>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</si>
  <si>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</si>
  <si>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</si>
  <si>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</si>
  <si>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</si>
  <si>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</si>
  <si>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</si>
  <si>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</si>
  <si>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</si>
  <si>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</si>
  <si>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</si>
  <si>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</si>
  <si>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</si>
  <si>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</si>
  <si>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</si>
  <si>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</si>
  <si>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</si>
  <si>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</si>
  <si>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</si>
  <si>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</si>
  <si>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</si>
  <si>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</si>
  <si>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</si>
  <si>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</si>
  <si>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</si>
  <si>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</si>
  <si>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</si>
  <si>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</si>
  <si>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</si>
  <si>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</si>
  <si>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</si>
  <si>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</si>
  <si>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</si>
  <si>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</si>
  <si>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</si>
  <si>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</si>
  <si>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</si>
  <si>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</si>
  <si>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</si>
  <si>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</si>
  <si>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</si>
  <si>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</si>
  <si>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</si>
  <si>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</si>
  <si>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</si>
  <si>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</si>
  <si>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</si>
  <si>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</si>
  <si>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</si>
  <si>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</si>
  <si>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</si>
  <si>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</si>
  <si>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</si>
  <si>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</si>
  <si>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</si>
  <si>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</si>
  <si>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</si>
  <si>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</si>
  <si>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</si>
  <si>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</si>
  <si>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</si>
  <si>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</si>
  <si>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</si>
  <si>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</si>
  <si>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</si>
  <si>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</si>
  <si>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</si>
  <si>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</si>
  <si>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</si>
  <si>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</si>
  <si>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</si>
  <si>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</si>
  <si>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</si>
  <si>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</si>
  <si>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</si>
  <si>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</si>
  <si>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</si>
  <si>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</si>
  <si>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</si>
  <si>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</si>
  <si>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</si>
  <si>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</si>
  <si>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</si>
  <si>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</si>
  <si>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</si>
  <si>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</si>
  <si>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</si>
  <si>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</si>
  <si>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</si>
  <si>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</si>
  <si>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</si>
  <si>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</si>
  <si>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</si>
  <si>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</si>
  <si>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</si>
  <si>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</si>
  <si>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</si>
  <si>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</si>
  <si>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</si>
  <si>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</si>
  <si>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</si>
  <si>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</si>
  <si>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</si>
  <si>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</si>
  <si>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</si>
  <si>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</si>
  <si>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</si>
  <si>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</si>
  <si>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</si>
  <si>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</si>
  <si>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</si>
  <si>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</si>
  <si>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</si>
  <si>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</si>
  <si>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</si>
  <si>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</si>
  <si>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</si>
  <si>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</si>
  <si>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</si>
  <si>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</si>
  <si>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</si>
  <si>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</si>
  <si>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</si>
  <si>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</si>
  <si>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</si>
  <si>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</si>
  <si>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</si>
  <si>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</si>
  <si>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</si>
  <si>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</si>
  <si>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</si>
  <si>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</si>
  <si>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</si>
  <si>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</si>
  <si>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</si>
  <si>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</si>
  <si>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</si>
  <si>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</si>
  <si>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</si>
  <si>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</si>
  <si>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</si>
  <si>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</si>
  <si>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</si>
  <si>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</si>
  <si>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</si>
  <si>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</si>
  <si>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</si>
  <si>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</si>
  <si>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</si>
  <si>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</si>
  <si>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</si>
  <si>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</si>
  <si>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</si>
  <si>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</si>
  <si>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</si>
  <si>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</si>
  <si>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</si>
  <si>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</si>
  <si>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</si>
  <si>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</si>
  <si>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</si>
  <si>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</si>
  <si>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</si>
  <si>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</si>
  <si>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</si>
  <si>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</si>
  <si>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</si>
  <si>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</si>
  <si>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</si>
  <si>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</si>
  <si>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</si>
  <si>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</si>
  <si>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</si>
  <si>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</si>
  <si>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</si>
  <si>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</si>
  <si>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</si>
  <si>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</si>
  <si>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</si>
  <si>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</si>
  <si>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</si>
  <si>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</si>
  <si>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</si>
  <si>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</si>
  <si>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</si>
  <si>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</si>
  <si>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</si>
  <si>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</si>
  <si>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</si>
  <si>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</si>
  <si>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</si>
  <si>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</si>
  <si>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</si>
  <si>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</si>
  <si>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</si>
  <si>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</si>
  <si>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</si>
  <si>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</si>
  <si>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</si>
  <si>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</si>
  <si>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</si>
  <si>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</si>
  <si>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</si>
  <si>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</si>
  <si>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</si>
  <si>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</si>
  <si>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</si>
  <si>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</si>
  <si>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</si>
  <si>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</si>
  <si>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</si>
  <si>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</si>
  <si>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</si>
  <si>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</si>
  <si>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</si>
  <si>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</si>
  <si>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</si>
  <si>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</si>
  <si>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</si>
  <si>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</si>
  <si>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</si>
  <si>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</si>
  <si>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</si>
  <si>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</si>
  <si>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</si>
  <si>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</si>
  <si>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</si>
  <si>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</si>
  <si>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</si>
  <si>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</si>
  <si>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</si>
  <si>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</si>
  <si>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</si>
  <si>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</si>
  <si>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</si>
  <si>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</si>
  <si>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</si>
  <si>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</si>
  <si>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</si>
  <si>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</si>
  <si>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</si>
  <si>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</si>
  <si>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</si>
  <si>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</si>
  <si>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</si>
  <si>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</si>
  <si>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</si>
  <si>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</si>
  <si>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</si>
  <si>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</si>
  <si>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</si>
  <si>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</si>
  <si>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</si>
  <si>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</si>
  <si>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</si>
  <si>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</si>
  <si>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</si>
  <si>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</si>
  <si>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</si>
  <si>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</si>
  <si>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</si>
  <si>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</si>
  <si>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</si>
  <si>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</si>
  <si>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</si>
  <si>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</si>
  <si>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</si>
  <si>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</si>
  <si>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</si>
  <si>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</si>
  <si>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</si>
  <si>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</si>
  <si>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</si>
  <si>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</si>
  <si>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</si>
  <si>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</si>
  <si>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</si>
  <si>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</si>
  <si>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</si>
  <si>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</si>
  <si>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</si>
  <si>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</si>
  <si>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</si>
  <si>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</si>
  <si>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</si>
  <si>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</si>
  <si>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</si>
  <si>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</si>
  <si>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</si>
  <si>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</si>
  <si>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</si>
  <si>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</si>
  <si>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</si>
  <si>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</si>
  <si>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</si>
  <si>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</si>
  <si>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</si>
  <si>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</si>
  <si>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</si>
  <si>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</si>
  <si>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</si>
  <si>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</si>
  <si>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</si>
  <si>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</si>
  <si>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</si>
  <si>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</si>
  <si>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</si>
  <si>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</si>
  <si>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</si>
  <si>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</si>
  <si>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</si>
  <si>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</si>
  <si>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</si>
  <si>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</si>
  <si>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</si>
  <si>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</si>
  <si>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</si>
  <si>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</si>
  <si>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</si>
  <si>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</si>
  <si>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</si>
  <si>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</si>
  <si>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</si>
  <si>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</si>
  <si>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</si>
  <si>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</si>
  <si>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</si>
  <si>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</si>
  <si>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</si>
  <si>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</si>
  <si>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</si>
  <si>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</si>
  <si>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</si>
  <si>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</si>
  <si>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</si>
  <si>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</si>
  <si>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</si>
  <si>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</si>
  <si>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</si>
  <si>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</si>
  <si>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</si>
  <si>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</si>
  <si>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</si>
  <si>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</si>
  <si>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</si>
  <si>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</si>
  <si>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</si>
  <si>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</si>
  <si>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</si>
  <si>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</si>
  <si>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</si>
  <si>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</si>
  <si>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</si>
  <si>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</si>
  <si>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</si>
  <si>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</si>
  <si>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</si>
  <si>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</si>
  <si>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</si>
  <si>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</si>
  <si>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</si>
  <si>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</si>
  <si>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</si>
  <si>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</si>
  <si>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</si>
  <si>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</si>
  <si>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</si>
  <si>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</si>
  <si>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</si>
  <si>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</si>
  <si>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</si>
  <si>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</si>
  <si>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</si>
  <si>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</si>
  <si>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</si>
  <si>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</si>
  <si>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</si>
  <si>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</si>
  <si>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</si>
  <si>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</si>
  <si>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</si>
  <si>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</si>
  <si>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</si>
  <si>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</si>
  <si>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</si>
  <si>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</si>
  <si>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</si>
  <si>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</si>
  <si>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</si>
  <si>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</si>
  <si>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</si>
  <si>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</si>
  <si>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</si>
  <si>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</si>
  <si>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</si>
  <si>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</si>
  <si>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</si>
  <si>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</si>
  <si>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</si>
  <si>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</si>
  <si>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</si>
  <si>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</si>
  <si>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</si>
  <si>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</si>
  <si>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</si>
  <si>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</si>
  <si>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</si>
  <si>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</si>
  <si>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</si>
  <si>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</si>
  <si>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</si>
  <si>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</si>
  <si>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</si>
  <si>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</si>
  <si>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</si>
  <si>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</si>
  <si>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</si>
  <si>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</si>
  <si>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</si>
  <si>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</si>
  <si>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</si>
  <si>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</si>
  <si>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</si>
  <si>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</si>
  <si>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</si>
  <si>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</si>
  <si>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</si>
  <si>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</si>
  <si>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</si>
  <si>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</si>
  <si>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</si>
  <si>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</si>
  <si>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</si>
  <si>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</si>
  <si>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</si>
  <si>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</si>
  <si>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</si>
  <si>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</si>
  <si>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</si>
  <si>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</si>
  <si>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</si>
  <si>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</si>
  <si>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</si>
  <si>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</si>
  <si>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</si>
  <si>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</si>
  <si>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</si>
  <si>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</si>
  <si>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</si>
  <si>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</si>
  <si>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</si>
  <si>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</si>
  <si>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</si>
  <si>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</si>
  <si>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</si>
  <si>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</si>
  <si>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</si>
  <si>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</si>
  <si>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</si>
  <si>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</si>
  <si>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</si>
  <si>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</si>
  <si>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</si>
  <si>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</si>
  <si>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</si>
  <si>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</si>
  <si>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</si>
  <si>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</si>
  <si>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</si>
  <si>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</si>
  <si>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</si>
  <si>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</si>
  <si>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</si>
  <si>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</si>
  <si>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</si>
  <si>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</si>
  <si>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</si>
  <si>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</si>
  <si>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</si>
  <si>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</si>
  <si>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</si>
  <si>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</si>
  <si>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</si>
  <si>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</si>
  <si>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</si>
  <si>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</si>
  <si>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</si>
  <si>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</si>
  <si>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</si>
  <si>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</si>
  <si>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</si>
  <si>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</si>
  <si>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</si>
  <si>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</si>
  <si>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</si>
  <si>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</si>
  <si>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</si>
  <si>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</si>
  <si>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</si>
  <si>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</si>
  <si>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</si>
  <si>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</si>
  <si>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</si>
  <si>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</si>
  <si>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</si>
  <si>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</si>
  <si>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</si>
  <si>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</si>
  <si>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</si>
  <si>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</si>
  <si>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</si>
  <si>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</si>
  <si>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</si>
  <si>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</si>
  <si>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</si>
  <si>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</si>
  <si>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</si>
  <si>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</si>
  <si>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</si>
  <si>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</si>
  <si>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</si>
  <si>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</si>
  <si>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</si>
  <si>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</si>
  <si>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</si>
  <si>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</si>
  <si>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</si>
  <si>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</si>
  <si>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</si>
  <si>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</si>
  <si>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</si>
  <si>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</si>
  <si>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</si>
  <si>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</si>
  <si>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</si>
  <si>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</si>
  <si>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</si>
  <si>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</si>
  <si>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</si>
  <si>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</si>
  <si>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</si>
  <si>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</si>
  <si>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</si>
  <si>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</si>
  <si>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</si>
  <si>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</si>
  <si>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</si>
  <si>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</si>
  <si>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</si>
  <si>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</si>
  <si>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</si>
  <si>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</si>
  <si>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</si>
  <si>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</si>
  <si>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</si>
  <si>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</si>
  <si>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</si>
  <si>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</si>
  <si>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</si>
  <si>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</si>
  <si>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</si>
  <si>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</si>
  <si>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</si>
  <si>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</si>
  <si>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</si>
  <si>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</si>
  <si>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</si>
  <si>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</si>
  <si>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</si>
  <si>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</si>
  <si>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</si>
  <si>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</si>
  <si>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</si>
  <si>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</si>
  <si>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</si>
  <si>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</si>
  <si>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</si>
  <si>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</si>
  <si>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</si>
  <si>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</si>
  <si>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</si>
  <si>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</si>
  <si>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</si>
  <si>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</si>
  <si>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</si>
  <si>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</si>
  <si>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</si>
  <si>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</si>
  <si>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</si>
  <si>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</si>
  <si>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</si>
  <si>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</si>
  <si>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</si>
  <si>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</si>
  <si>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</si>
  <si>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</si>
  <si>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</si>
  <si>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</si>
  <si>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</si>
  <si>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</si>
  <si>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</si>
  <si>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</si>
  <si>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</si>
  <si>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</si>
  <si>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</si>
  <si>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</si>
  <si>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</si>
  <si>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</si>
  <si>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</si>
  <si>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</si>
  <si>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</si>
  <si>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</si>
  <si>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</si>
  <si>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</si>
  <si>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</si>
  <si>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</si>
  <si>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</si>
  <si>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</si>
  <si>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</si>
  <si>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</si>
  <si>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</si>
  <si>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</si>
  <si>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</si>
  <si>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</si>
  <si>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</si>
  <si>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</si>
  <si>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</si>
  <si>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</si>
  <si>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</si>
  <si>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</si>
  <si>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</si>
  <si>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</si>
  <si>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</si>
  <si>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</si>
  <si>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</si>
  <si>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</si>
  <si>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</si>
  <si>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</si>
  <si>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</si>
  <si>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</si>
  <si>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</si>
  <si>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</si>
  <si>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</si>
  <si>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</si>
  <si>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</si>
  <si>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</si>
  <si>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</si>
  <si>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</si>
  <si>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</si>
  <si>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</si>
  <si>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</si>
  <si>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</si>
  <si>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</si>
  <si>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</si>
  <si>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</si>
  <si>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</si>
  <si>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</si>
  <si>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</si>
  <si>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</si>
  <si>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</si>
  <si>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</si>
  <si>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</si>
  <si>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</si>
  <si>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</si>
  <si>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</si>
  <si>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</si>
  <si>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</si>
  <si>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</si>
  <si>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</si>
  <si>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</si>
  <si>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</si>
  <si>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</si>
  <si>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</si>
  <si>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</si>
  <si>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</si>
  <si>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</si>
  <si>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</si>
  <si>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</si>
  <si>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</si>
  <si>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</si>
  <si>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</si>
  <si>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</si>
  <si>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</si>
  <si>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</si>
  <si>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</si>
  <si>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</si>
  <si>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</si>
  <si>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</si>
  <si>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</si>
  <si>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</si>
  <si>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</si>
  <si>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</si>
  <si>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</si>
  <si>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</si>
  <si>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</si>
  <si>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</si>
  <si>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</si>
  <si>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</si>
  <si>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</si>
  <si>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</si>
  <si>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</si>
  <si>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</si>
  <si>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</si>
  <si>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</si>
  <si>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</si>
  <si>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</si>
  <si>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</si>
  <si>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</si>
  <si>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</si>
  <si>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</si>
  <si>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</si>
  <si>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</si>
  <si>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</si>
  <si>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</si>
  <si>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</si>
  <si>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</si>
  <si>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</si>
  <si>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</si>
  <si>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</si>
  <si>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</si>
  <si>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</si>
  <si>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</si>
  <si>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</si>
  <si>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</si>
  <si>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</si>
  <si>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</si>
  <si>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</si>
  <si>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</si>
  <si>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</si>
  <si>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</si>
  <si>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</si>
  <si>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</si>
  <si>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</si>
  <si>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</si>
  <si>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</si>
  <si>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</si>
  <si>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</si>
  <si>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</si>
  <si>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</si>
  <si>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</si>
  <si>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</si>
  <si>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</si>
  <si>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</si>
  <si>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</si>
  <si>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</si>
  <si>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</si>
  <si>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</si>
  <si>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</si>
  <si>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</si>
  <si>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</si>
  <si>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</si>
  <si>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</si>
  <si>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</si>
  <si>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</si>
  <si>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</si>
  <si>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</si>
  <si>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</si>
  <si>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</si>
  <si>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</si>
  <si>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</si>
  <si>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</si>
  <si>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</si>
  <si>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</si>
  <si>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</si>
  <si>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</si>
  <si>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</si>
  <si>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</si>
  <si>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</si>
  <si>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</si>
  <si>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</si>
  <si>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</si>
  <si>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</si>
  <si>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</si>
  <si>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</si>
  <si>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</si>
  <si>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</si>
  <si>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</si>
  <si>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</si>
  <si>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</si>
  <si>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</si>
  <si>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</si>
  <si>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</si>
  <si>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</si>
  <si>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</si>
  <si>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</si>
  <si>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</si>
  <si>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</si>
  <si>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</si>
  <si>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</si>
  <si>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</si>
  <si>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</si>
  <si>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</si>
  <si>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</si>
  <si>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</si>
  <si>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</si>
  <si>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</si>
  <si>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</si>
  <si>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</si>
  <si>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</si>
  <si>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</si>
  <si>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</si>
  <si>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</si>
  <si>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</si>
  <si>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</si>
  <si>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</si>
  <si>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</si>
  <si>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</si>
  <si>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</si>
  <si>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</si>
  <si>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</si>
  <si>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</si>
  <si>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</si>
  <si>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</si>
  <si>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</si>
  <si>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</si>
  <si>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</si>
  <si>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</si>
  <si>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</si>
  <si>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</si>
  <si>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</si>
  <si>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</si>
  <si>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</si>
  <si>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</si>
  <si>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</si>
  <si>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</si>
  <si>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</si>
  <si>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</si>
  <si>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</si>
  <si>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</si>
  <si>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</si>
  <si>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</si>
  <si>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</si>
  <si>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</si>
  <si>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</si>
  <si>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</si>
  <si>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</si>
  <si>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</si>
  <si>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</si>
  <si>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</si>
  <si>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</si>
  <si>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</si>
  <si>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</si>
  <si>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</si>
  <si>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</si>
  <si>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</si>
  <si>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</si>
  <si>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</si>
  <si>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</si>
  <si>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</si>
  <si>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</si>
  <si>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</si>
  <si>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</si>
  <si>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</si>
  <si>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</si>
  <si>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</si>
  <si>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</si>
  <si>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</si>
  <si>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</si>
  <si>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</si>
  <si>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</si>
  <si>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</si>
  <si>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</si>
  <si>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</si>
  <si>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</si>
  <si>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</si>
  <si>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</si>
  <si>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</si>
  <si>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</si>
  <si>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</si>
  <si>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</si>
  <si>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</si>
  <si>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</si>
  <si>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</si>
  <si>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</si>
  <si>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</si>
  <si>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</si>
  <si>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</si>
  <si>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</si>
  <si>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</si>
  <si>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</si>
  <si>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</si>
  <si>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</si>
  <si>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</si>
  <si>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</si>
  <si>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</si>
  <si>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</si>
  <si>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</si>
  <si>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</si>
  <si>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</si>
  <si>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</si>
  <si>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</si>
  <si>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</si>
  <si>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</si>
  <si>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</si>
  <si>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</si>
  <si>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</si>
  <si>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</si>
  <si>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</si>
  <si>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</si>
  <si>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</si>
  <si>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</si>
  <si>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</si>
  <si>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</si>
  <si>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</si>
  <si>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</si>
  <si>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</si>
  <si>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</si>
  <si>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</si>
  <si>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</si>
  <si>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</si>
  <si>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</si>
  <si>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</si>
  <si>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</si>
  <si>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</si>
  <si>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</si>
  <si>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</si>
  <si>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</si>
  <si>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</si>
  <si>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</si>
  <si>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</si>
  <si>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</si>
  <si>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</si>
  <si>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</si>
  <si>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</si>
  <si>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</si>
  <si>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</si>
  <si>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</si>
  <si>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</si>
  <si>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</si>
  <si>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</si>
  <si>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</si>
  <si>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</si>
  <si>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</si>
  <si>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</si>
  <si>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</si>
  <si>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</si>
  <si>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</si>
  <si>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</si>
  <si>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</si>
  <si>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</si>
  <si>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</si>
  <si>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</si>
  <si>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</si>
  <si>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</si>
  <si>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</si>
  <si>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</si>
  <si>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</si>
  <si>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</si>
  <si>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</si>
  <si>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</si>
  <si>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</si>
  <si>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</si>
  <si>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</si>
  <si>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</si>
  <si>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</si>
  <si>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</si>
  <si>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</si>
  <si>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</si>
  <si>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</si>
  <si>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</si>
  <si>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</si>
  <si>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</si>
  <si>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</si>
  <si>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</si>
  <si>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</si>
  <si>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</si>
  <si>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</si>
  <si>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</si>
  <si>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</si>
  <si>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</si>
  <si>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</si>
  <si>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</si>
  <si>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</si>
  <si>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</si>
  <si>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</si>
  <si>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</si>
  <si>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</si>
  <si>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</si>
  <si>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</si>
  <si>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</si>
  <si>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</si>
  <si>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</si>
  <si>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</si>
  <si>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</si>
  <si>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</si>
  <si>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</si>
  <si>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</si>
  <si>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</si>
  <si>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</si>
  <si>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</si>
  <si>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</si>
  <si>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</si>
  <si>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</si>
  <si>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</si>
  <si>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</si>
  <si>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</si>
  <si>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</si>
  <si>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</si>
  <si>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</si>
  <si>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</si>
  <si>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</si>
  <si>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</si>
  <si>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</si>
  <si>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</si>
  <si>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</si>
  <si>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</si>
  <si>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</si>
  <si>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</si>
  <si>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</si>
  <si>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</si>
  <si>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</si>
  <si>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</si>
  <si>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</si>
  <si>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</si>
  <si>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</si>
  <si>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</si>
  <si>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</si>
  <si>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</si>
  <si>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</si>
  <si>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</si>
  <si>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</si>
  <si>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</si>
  <si>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</si>
  <si>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</si>
  <si>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</si>
  <si>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</si>
  <si>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</si>
  <si>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</si>
  <si>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</si>
  <si>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</si>
  <si>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</si>
  <si>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</si>
  <si>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</si>
  <si>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</si>
  <si>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</si>
  <si>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</si>
  <si>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</si>
  <si>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</si>
  <si>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</si>
  <si>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</si>
  <si>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</si>
  <si>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</si>
  <si>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</si>
  <si>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</si>
  <si>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</si>
  <si>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</si>
  <si>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</si>
  <si>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</si>
  <si>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</si>
  <si>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</si>
  <si>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</si>
  <si>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</si>
  <si>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</si>
  <si>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</si>
  <si>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</si>
  <si>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</si>
  <si>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</si>
  <si>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</si>
  <si>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</si>
  <si>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</si>
  <si>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</si>
  <si>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</si>
  <si>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</si>
  <si>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</si>
  <si>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</si>
  <si>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</si>
  <si>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</si>
  <si>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</si>
  <si>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</si>
  <si>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</si>
  <si>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</si>
  <si>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</si>
  <si>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</si>
  <si>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</si>
  <si>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</si>
  <si>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</si>
  <si>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</si>
  <si>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</si>
  <si>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</si>
  <si>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</si>
  <si>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</si>
  <si>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</si>
  <si>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</si>
  <si>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</si>
  <si>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</si>
  <si>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</si>
  <si>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</si>
  <si>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</si>
  <si>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</si>
  <si>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</si>
  <si>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</si>
  <si>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</si>
  <si>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</si>
  <si>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</si>
  <si>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</si>
  <si>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</si>
  <si>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</si>
  <si>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</si>
  <si>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</si>
  <si>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</si>
  <si>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</si>
  <si>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</si>
  <si>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</si>
  <si>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</si>
  <si>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</si>
  <si>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</si>
  <si>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</si>
  <si>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</si>
  <si>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</si>
  <si>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</si>
  <si>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</si>
  <si>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</si>
  <si>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</si>
  <si>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</si>
  <si>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</si>
  <si>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</si>
  <si>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</si>
  <si>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</si>
  <si>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</si>
  <si>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</si>
  <si>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</si>
  <si>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</si>
  <si>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</si>
  <si>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</si>
  <si>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</si>
  <si>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</si>
  <si>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</si>
  <si>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</si>
  <si>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</si>
  <si>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</si>
  <si>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</si>
  <si>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</si>
  <si>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</si>
  <si>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</si>
  <si>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</si>
  <si>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</si>
  <si>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</si>
  <si>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</si>
  <si>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</si>
  <si>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</si>
  <si>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</si>
  <si>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</si>
  <si>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</si>
  <si>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</si>
  <si>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</si>
  <si>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</si>
  <si>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</si>
  <si>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</si>
  <si>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</si>
  <si>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</si>
  <si>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</si>
  <si>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</si>
  <si>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</si>
  <si>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</si>
  <si>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</si>
  <si>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</si>
  <si>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</si>
  <si>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</si>
  <si>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</si>
  <si>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</si>
  <si>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</si>
  <si>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</si>
  <si>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</si>
  <si>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</si>
  <si>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</si>
  <si>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</si>
  <si>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</si>
  <si>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</si>
  <si>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</si>
  <si>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</si>
  <si>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</si>
  <si>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</si>
  <si>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</si>
  <si>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</si>
  <si>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</si>
  <si>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</si>
  <si>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</si>
  <si>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</si>
  <si>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</si>
  <si>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</si>
  <si>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</si>
  <si>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</si>
  <si>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</si>
  <si>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</si>
  <si>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</si>
  <si>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</si>
  <si>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</si>
  <si>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</si>
  <si>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</si>
  <si>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</si>
  <si>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</si>
  <si>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</si>
  <si>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</si>
  <si>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</si>
  <si>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</si>
  <si>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</si>
  <si>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</si>
  <si>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</si>
  <si>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</si>
  <si>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</si>
  <si>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</si>
  <si>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</si>
  <si>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</si>
  <si>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</si>
  <si>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</si>
  <si>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</si>
  <si>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</si>
  <si>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</si>
  <si>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</si>
  <si>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</si>
  <si>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</si>
  <si>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</si>
  <si>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</si>
  <si>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</si>
  <si>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</si>
  <si>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</si>
  <si>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</si>
  <si>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</si>
  <si>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</si>
  <si>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</si>
  <si>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</si>
  <si>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</si>
  <si>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</si>
  <si>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</si>
  <si>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</si>
  <si>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</si>
  <si>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</si>
  <si>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</si>
  <si>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</si>
  <si>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</si>
  <si>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</si>
  <si>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</si>
  <si>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</si>
  <si>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</si>
  <si>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</si>
  <si>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</si>
  <si>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</si>
  <si>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</si>
  <si>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</si>
  <si>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</si>
  <si>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</si>
  <si>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</si>
  <si>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</si>
  <si>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</si>
  <si>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</si>
  <si>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</si>
  <si>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</si>
  <si>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</si>
  <si>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</si>
  <si>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</si>
  <si>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</si>
  <si>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</si>
  <si>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</si>
  <si>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</si>
  <si>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</si>
  <si>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</si>
  <si>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</si>
  <si>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</si>
  <si>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</si>
  <si>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</si>
  <si>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</si>
  <si>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</si>
  <si>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</si>
  <si>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</si>
  <si>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</si>
  <si>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</si>
  <si>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</si>
  <si>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</si>
  <si>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</si>
  <si>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</si>
  <si>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</si>
  <si>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</si>
  <si>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</si>
  <si>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</si>
  <si>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</si>
  <si>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</si>
  <si>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</si>
  <si>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</si>
  <si>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</si>
  <si>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</si>
  <si>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</si>
  <si>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</si>
  <si>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</si>
  <si>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</si>
  <si>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</si>
  <si>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</si>
  <si>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</si>
  <si>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</si>
  <si>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</si>
  <si>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</si>
  <si>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</si>
  <si>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</si>
  <si>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</si>
  <si>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</si>
  <si>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</si>
  <si>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</si>
  <si>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</si>
  <si>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</si>
  <si>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</si>
  <si>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</si>
  <si>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</si>
  <si>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</si>
  <si>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</si>
  <si>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</si>
  <si>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</si>
  <si>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</si>
  <si>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</si>
  <si>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</si>
  <si>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</si>
  <si>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</si>
  <si>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</si>
  <si>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</si>
  <si>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</si>
  <si>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</si>
  <si>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</si>
  <si>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</si>
  <si>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</si>
  <si>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</si>
  <si>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</si>
  <si>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</si>
  <si>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</si>
  <si>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</si>
  <si>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</si>
  <si>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</si>
  <si>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</si>
  <si>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</si>
  <si>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</si>
  <si>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</si>
  <si>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</si>
  <si>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</si>
  <si>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</si>
  <si>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</si>
  <si>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</si>
  <si>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</si>
  <si>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</si>
  <si>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</si>
  <si>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</si>
  <si>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</si>
  <si>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</si>
  <si>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</si>
  <si>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</si>
  <si>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</si>
  <si>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</si>
  <si>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</si>
  <si>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</si>
  <si>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</si>
  <si>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</si>
  <si>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</si>
  <si>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</si>
  <si>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</si>
  <si>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</si>
  <si>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</si>
  <si>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</si>
  <si>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</si>
  <si>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</si>
  <si>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</si>
  <si>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</si>
  <si>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</si>
  <si>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</si>
  <si>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</si>
  <si>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</si>
  <si>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</si>
  <si>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</si>
  <si>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</si>
  <si>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</si>
  <si>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</si>
  <si>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</si>
  <si>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</si>
  <si>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</si>
  <si>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</si>
  <si>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</si>
  <si>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</si>
  <si>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</si>
  <si>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</si>
  <si>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</si>
  <si>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</si>
  <si>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</si>
  <si>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</si>
  <si>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</si>
  <si>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</si>
  <si>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</si>
  <si>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</si>
  <si>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</si>
  <si>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</si>
  <si>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</si>
  <si>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</si>
  <si>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</si>
  <si>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</si>
  <si>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</si>
  <si>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</si>
  <si>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</si>
  <si>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</si>
  <si>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</si>
  <si>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</si>
  <si>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</si>
  <si>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</si>
  <si>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</si>
  <si>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</si>
  <si>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</si>
  <si>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</si>
  <si>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</si>
  <si>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</si>
  <si>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</si>
  <si>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</si>
  <si>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</si>
  <si>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</si>
  <si>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</si>
  <si>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</si>
  <si>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</si>
  <si>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</si>
  <si>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</si>
  <si>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</si>
  <si>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</si>
  <si>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</si>
  <si>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</si>
  <si>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</si>
  <si>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</si>
  <si>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</si>
  <si>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</si>
  <si>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</si>
  <si>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</si>
  <si>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</si>
  <si>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</si>
  <si>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</si>
  <si>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</si>
  <si>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</si>
  <si>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</si>
  <si>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</si>
  <si>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</si>
  <si>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</si>
  <si>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</si>
  <si>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</si>
  <si>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</si>
  <si>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</si>
  <si>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</si>
  <si>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</si>
  <si>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</si>
  <si>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</si>
  <si>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</si>
  <si>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</si>
  <si>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</si>
  <si>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</si>
  <si>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</si>
  <si>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</si>
  <si>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</si>
  <si>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</si>
  <si>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</si>
  <si>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</si>
  <si>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</si>
  <si>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</si>
  <si>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</si>
  <si>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</si>
  <si>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</si>
  <si>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</si>
  <si>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</si>
  <si>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</si>
  <si>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</si>
  <si>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</si>
  <si>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</si>
  <si>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</si>
  <si>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</si>
  <si>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</si>
  <si>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</si>
  <si>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</si>
  <si>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</si>
  <si>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</si>
  <si>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</si>
  <si>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</si>
  <si>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</si>
  <si>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</si>
  <si>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</si>
  <si>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</si>
  <si>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</si>
  <si>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</si>
  <si>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</si>
  <si>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</si>
  <si>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</si>
  <si>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</si>
  <si>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</si>
  <si>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</si>
  <si>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</si>
  <si>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</si>
  <si>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</si>
  <si>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</si>
  <si>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</si>
  <si>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</si>
  <si>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</si>
  <si>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</si>
  <si>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</si>
  <si>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</si>
  <si>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</si>
  <si>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</si>
  <si>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</si>
  <si>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</si>
  <si>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</si>
  <si>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</si>
  <si>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</si>
  <si>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</si>
  <si>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</si>
  <si>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</si>
  <si>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</si>
  <si>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</si>
  <si>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</si>
  <si>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</si>
  <si>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</si>
  <si>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</si>
  <si>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</si>
  <si>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</si>
  <si>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</si>
  <si>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</si>
  <si>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</si>
  <si>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</si>
  <si>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</si>
  <si>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</si>
  <si>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</si>
  <si>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</si>
  <si>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</si>
  <si>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</si>
  <si>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</si>
  <si>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</si>
  <si>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</si>
  <si>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</si>
  <si>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</si>
  <si>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</si>
  <si>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</si>
  <si>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</si>
  <si>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</si>
  <si>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</si>
  <si>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</si>
  <si>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</si>
  <si>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</si>
  <si>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</si>
  <si>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</si>
  <si>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</si>
  <si>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</si>
  <si>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</si>
  <si>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</si>
  <si>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</si>
  <si>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</si>
  <si>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</si>
  <si>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</si>
  <si>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</si>
  <si>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</si>
  <si>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</si>
  <si>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</si>
  <si>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</si>
  <si>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</si>
  <si>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</si>
  <si>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</si>
  <si>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</si>
  <si>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</si>
  <si>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</si>
  <si>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</si>
  <si>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</si>
  <si>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</si>
  <si>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</si>
  <si>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</si>
  <si>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</si>
  <si>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</si>
  <si>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</si>
  <si>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</si>
  <si>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</si>
  <si>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</si>
  <si>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</si>
  <si>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</si>
  <si>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</si>
  <si>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</si>
  <si>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</si>
  <si>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</si>
  <si>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</si>
  <si>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</si>
  <si>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</si>
  <si>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</si>
  <si>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</si>
  <si>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</si>
  <si>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</si>
  <si>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</si>
  <si>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</si>
  <si>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</si>
  <si>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</si>
  <si>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</si>
  <si>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</si>
  <si>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</si>
  <si>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</si>
  <si>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</si>
  <si>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</si>
  <si>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</si>
  <si>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</si>
  <si>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</si>
  <si>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</si>
  <si>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</si>
  <si>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</si>
  <si>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</si>
  <si>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</si>
  <si>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</si>
  <si>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</si>
  <si>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</si>
  <si>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</si>
  <si>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</si>
  <si>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</si>
  <si>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</si>
  <si>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</si>
  <si>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</si>
  <si>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</si>
  <si>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</si>
  <si>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</si>
  <si>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</si>
  <si>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</si>
  <si>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</si>
  <si>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</si>
  <si>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</si>
  <si>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</si>
  <si>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</si>
  <si>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</si>
  <si>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</si>
  <si>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</si>
  <si>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</si>
  <si>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</si>
  <si>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</si>
  <si>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</si>
  <si>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</si>
  <si>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</si>
  <si>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</si>
  <si>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</si>
  <si>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</si>
  <si>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</si>
  <si>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</si>
  <si>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</si>
  <si>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</si>
  <si>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</si>
  <si>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</si>
  <si>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</si>
  <si>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</si>
  <si>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</si>
  <si>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</si>
  <si>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</si>
  <si>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</si>
  <si>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</si>
  <si>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</si>
  <si>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</si>
  <si>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</si>
  <si>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</si>
  <si>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</si>
  <si>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</si>
  <si>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</si>
  <si>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</si>
  <si>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</si>
  <si>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</si>
  <si>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</si>
  <si>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</si>
  <si>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</si>
  <si>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</si>
  <si>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</si>
  <si>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</si>
  <si>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</si>
  <si>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</si>
  <si>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</si>
  <si>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</si>
  <si>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</si>
  <si>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</si>
  <si>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</si>
  <si>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</si>
  <si>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</si>
  <si>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</si>
  <si>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</si>
  <si>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</si>
  <si>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</si>
  <si>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</si>
  <si>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</si>
  <si>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</si>
  <si>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</si>
  <si>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</si>
  <si>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</si>
  <si>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</si>
  <si>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</si>
  <si>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</si>
  <si>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</si>
  <si>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</si>
  <si>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</si>
  <si>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</si>
  <si>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</si>
  <si>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</si>
  <si>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</si>
  <si>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</si>
  <si>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</si>
  <si>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</si>
  <si>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</si>
  <si>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</si>
  <si>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</si>
  <si>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</si>
  <si>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</si>
  <si>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</si>
  <si>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</si>
  <si>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</si>
  <si>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</si>
  <si>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</si>
  <si>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</si>
  <si>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</si>
  <si>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</si>
  <si>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</si>
  <si>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</si>
  <si>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</si>
  <si>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</si>
  <si>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</si>
  <si>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</si>
  <si>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</si>
  <si>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</si>
  <si>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</si>
  <si>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</si>
  <si>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</si>
  <si>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</si>
  <si>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</si>
  <si>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</si>
  <si>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</si>
  <si>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</si>
  <si>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</si>
  <si>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</si>
  <si>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</si>
  <si>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</si>
  <si>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</si>
  <si>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</si>
  <si>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</si>
  <si>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</si>
  <si>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</si>
  <si>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</si>
  <si>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</si>
  <si>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</si>
  <si>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</si>
  <si>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</si>
  <si>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</si>
  <si>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</si>
  <si>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</si>
  <si>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</si>
  <si>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</si>
  <si>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</si>
  <si>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</si>
  <si>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</si>
  <si>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</si>
  <si>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</si>
  <si>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</si>
  <si>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</si>
  <si>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</si>
  <si>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</si>
  <si>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</si>
  <si>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</si>
  <si>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</si>
  <si>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</si>
  <si>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</si>
  <si>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</si>
  <si>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</si>
  <si>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</si>
  <si>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</si>
  <si>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</si>
  <si>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</si>
  <si>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</si>
  <si>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</si>
  <si>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</si>
  <si>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</si>
  <si>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</si>
  <si>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</si>
  <si>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</si>
  <si>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</si>
  <si>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</si>
  <si>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</si>
  <si>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</si>
  <si>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</si>
  <si>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</si>
  <si>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</si>
  <si>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</si>
  <si>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</si>
  <si>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</si>
  <si>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</si>
  <si>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</si>
  <si>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</si>
  <si>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</si>
  <si>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</si>
  <si>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</si>
  <si>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</si>
  <si>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</si>
  <si>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</si>
  <si>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</si>
  <si>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</si>
  <si>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</si>
  <si>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</si>
  <si>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</si>
  <si>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</si>
  <si>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</si>
  <si>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</si>
  <si>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</si>
  <si>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</si>
  <si>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</si>
  <si>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</si>
  <si>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</si>
  <si>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</si>
  <si>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</si>
  <si>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</si>
  <si>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</si>
  <si>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</si>
  <si>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</si>
  <si>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</si>
  <si>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</si>
  <si>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</si>
  <si>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</si>
  <si>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</si>
  <si>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</si>
  <si>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</si>
  <si>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</si>
  <si>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</si>
  <si>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</si>
  <si>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</si>
  <si>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</si>
  <si>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</si>
  <si>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</si>
  <si>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</si>
  <si>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</si>
  <si>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</si>
  <si>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</si>
  <si>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</si>
  <si>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</si>
  <si>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</si>
  <si>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</si>
  <si>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</si>
  <si>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</si>
  <si>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</si>
  <si>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</si>
  <si>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</si>
  <si>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</si>
  <si>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</si>
  <si>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</si>
  <si>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</si>
  <si>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</si>
  <si>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</si>
  <si>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</si>
  <si>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</si>
  <si>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</si>
  <si>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</si>
  <si>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</si>
  <si>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</si>
  <si>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</si>
  <si>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</si>
  <si>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</si>
  <si>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</si>
  <si>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</si>
  <si>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</si>
  <si>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</si>
  <si>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</si>
  <si>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</si>
  <si>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</si>
  <si>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</si>
  <si>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</si>
  <si>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</si>
  <si>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</si>
  <si>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</si>
  <si>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</si>
  <si>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</si>
  <si>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</si>
  <si>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</si>
  <si>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</si>
  <si>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</si>
  <si>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</si>
  <si>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</si>
  <si>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</si>
  <si>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</si>
  <si>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</si>
  <si>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</si>
  <si>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</si>
  <si>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</si>
  <si>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</si>
  <si>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</si>
  <si>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</si>
  <si>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</si>
  <si>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</si>
  <si>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</si>
  <si>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</si>
  <si>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</si>
  <si>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</si>
  <si>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</si>
  <si>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</si>
  <si>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</si>
  <si>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</si>
  <si>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</si>
  <si>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</si>
  <si>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</si>
  <si>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</si>
  <si>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</si>
  <si>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</si>
  <si>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</si>
  <si>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</si>
  <si>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</si>
  <si>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</si>
  <si>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</si>
  <si>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</si>
  <si>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</si>
  <si>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</si>
  <si>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</si>
  <si>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</si>
  <si>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</si>
  <si>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</si>
  <si>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</si>
  <si>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</si>
  <si>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</si>
  <si>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</si>
  <si>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</si>
  <si>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</si>
  <si>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</si>
  <si>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</si>
  <si>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</si>
  <si>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</si>
  <si>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</si>
  <si>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</si>
  <si>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</si>
  <si>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</si>
  <si>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</si>
  <si>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</si>
  <si>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</si>
  <si>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</si>
  <si>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</si>
  <si>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</si>
  <si>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</si>
  <si>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</si>
  <si>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</si>
  <si>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</si>
  <si>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</si>
  <si>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</si>
  <si>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</si>
  <si>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</si>
  <si>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</si>
  <si>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</si>
  <si>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</si>
  <si>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</si>
  <si>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</si>
  <si>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</si>
  <si>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</si>
  <si>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</si>
  <si>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</si>
  <si>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</si>
  <si>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</si>
  <si>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</si>
  <si>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</si>
  <si>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</si>
  <si>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</si>
  <si>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</si>
  <si>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</si>
  <si>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</si>
  <si>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</si>
  <si>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</si>
  <si>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</si>
  <si>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</si>
  <si>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</si>
  <si>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</si>
  <si>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</si>
  <si>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</si>
  <si>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</si>
  <si>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</si>
  <si>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</si>
  <si>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</si>
  <si>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</si>
  <si>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</si>
  <si>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</si>
  <si>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</si>
  <si>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</si>
  <si>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</si>
  <si>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</si>
  <si>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</si>
  <si>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</si>
  <si>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</si>
  <si>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</si>
  <si>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</si>
  <si>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</si>
  <si>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</si>
  <si>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</si>
  <si>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</si>
  <si>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</si>
  <si>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</si>
  <si>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</si>
  <si>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</si>
  <si>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</si>
  <si>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</si>
  <si>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</si>
  <si>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</si>
  <si>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</si>
  <si>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</si>
  <si>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</si>
  <si>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</si>
  <si>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</si>
  <si>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</si>
  <si>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</si>
  <si>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</si>
  <si>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</si>
  <si>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</si>
  <si>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</si>
  <si>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</si>
  <si>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</si>
  <si>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</si>
  <si>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</si>
  <si>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</si>
  <si>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</si>
  <si>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</si>
  <si>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</si>
  <si>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</si>
  <si>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</si>
  <si>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</si>
  <si>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</si>
  <si>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</si>
  <si>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</si>
  <si>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</si>
  <si>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</si>
  <si>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</si>
  <si>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</si>
  <si>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</si>
  <si>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</si>
  <si>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</si>
  <si>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</si>
  <si>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</si>
  <si>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</si>
  <si>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</si>
  <si>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</si>
  <si>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</si>
  <si>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</si>
  <si>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</si>
  <si>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</si>
  <si>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</si>
  <si>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</si>
  <si>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</si>
  <si>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</si>
  <si>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</si>
  <si>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</si>
  <si>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</si>
  <si>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</si>
  <si>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</si>
  <si>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</si>
  <si>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</si>
  <si>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</si>
  <si>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</si>
  <si>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</si>
  <si>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</si>
  <si>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</si>
  <si>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</si>
  <si>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</si>
  <si>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</si>
  <si>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</si>
  <si>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</si>
  <si>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</si>
  <si>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</si>
  <si>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</si>
  <si>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</si>
  <si>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</si>
  <si>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</si>
  <si>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</si>
  <si>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</si>
  <si>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</si>
  <si>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</si>
  <si>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</si>
  <si>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</si>
  <si>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</si>
  <si>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</si>
  <si>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</si>
  <si>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</si>
  <si>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</si>
  <si>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</si>
  <si>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</si>
  <si>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</si>
  <si>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</si>
  <si>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</si>
  <si>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</si>
  <si>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</si>
  <si>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</si>
  <si>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</si>
  <si>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</si>
  <si>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</si>
  <si>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</si>
  <si>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</si>
  <si>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</si>
  <si>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</si>
  <si>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</si>
  <si>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</si>
  <si>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</si>
  <si>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</si>
  <si>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</si>
  <si>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</si>
  <si>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</si>
  <si>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</si>
  <si>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</si>
  <si>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</si>
  <si>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</si>
  <si>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</si>
  <si>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</si>
  <si>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</si>
  <si>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</si>
  <si>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</si>
  <si>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</si>
  <si>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</si>
  <si>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</si>
  <si>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</si>
  <si>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</si>
  <si>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</si>
  <si>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</si>
  <si>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</si>
  <si>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</si>
  <si>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</si>
  <si>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</si>
  <si>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</si>
  <si>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</si>
  <si>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</si>
  <si>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</si>
  <si>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</si>
  <si>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</si>
  <si>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</si>
  <si>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</si>
  <si>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</si>
  <si>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</si>
  <si>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</si>
  <si>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</si>
  <si>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</si>
  <si>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</si>
  <si>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</si>
  <si>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</si>
  <si>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</si>
  <si>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</si>
  <si>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</si>
  <si>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</si>
  <si>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</si>
  <si>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</si>
  <si>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</si>
  <si>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</si>
  <si>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</si>
  <si>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</si>
  <si>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</si>
  <si>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</si>
  <si>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</si>
  <si>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</si>
  <si>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</si>
  <si>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</si>
  <si>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</si>
  <si>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</si>
  <si>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</si>
  <si>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</si>
  <si>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</si>
  <si>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</si>
  <si>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</si>
  <si>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</si>
  <si>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</si>
  <si>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</si>
  <si>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</si>
  <si>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</si>
  <si>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</si>
  <si>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</si>
  <si>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</si>
  <si>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</si>
  <si>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</si>
  <si>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</si>
  <si>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</si>
  <si>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</si>
  <si>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</si>
  <si>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</si>
  <si>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</si>
  <si>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</si>
  <si>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</si>
  <si>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</si>
  <si>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</si>
  <si>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</si>
  <si>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</si>
  <si>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</si>
  <si>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</si>
  <si>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</si>
  <si>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</si>
  <si>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</si>
  <si>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</si>
  <si>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</si>
  <si>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</si>
  <si>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</si>
  <si>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</si>
  <si>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</si>
  <si>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</si>
  <si>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</si>
  <si>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</si>
  <si>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</si>
  <si>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</si>
  <si>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</si>
  <si>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</si>
  <si>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</si>
  <si>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</si>
  <si>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</si>
  <si>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</si>
  <si>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</si>
  <si>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</si>
  <si>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</si>
  <si>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</si>
  <si>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</si>
  <si>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</si>
  <si>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</si>
  <si>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</si>
  <si>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</si>
  <si>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</si>
  <si>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</si>
  <si>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</si>
  <si>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</si>
  <si>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</si>
  <si>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</si>
  <si>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</si>
  <si>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</si>
  <si>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</si>
  <si>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</si>
  <si>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</si>
  <si>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</si>
  <si>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</si>
  <si>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</si>
  <si>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</si>
  <si>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</si>
  <si>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</si>
  <si>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</si>
  <si>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</si>
  <si>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</si>
  <si>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</si>
  <si>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</si>
  <si>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</si>
  <si>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</si>
  <si>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</si>
  <si>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</si>
  <si>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</si>
  <si>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</si>
  <si>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</si>
  <si>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</si>
  <si>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</si>
  <si>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</si>
  <si>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</si>
  <si>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</si>
  <si>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</si>
  <si>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</si>
  <si>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</si>
  <si>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</si>
  <si>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</si>
  <si>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</si>
  <si>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</si>
  <si>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</si>
  <si>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</si>
  <si>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</si>
  <si>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</si>
  <si>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</si>
  <si>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</si>
  <si>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</si>
  <si>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</si>
  <si>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</si>
  <si>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</si>
  <si>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</si>
  <si>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</si>
  <si>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</si>
  <si>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</si>
  <si>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</si>
  <si>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</si>
  <si>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</si>
  <si>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</si>
  <si>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</si>
  <si>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</si>
  <si>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</si>
  <si>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</si>
  <si>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</si>
  <si>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</si>
  <si>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</si>
  <si>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</si>
  <si>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</si>
  <si>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</si>
  <si>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</si>
  <si>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</si>
  <si>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</si>
  <si>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</si>
  <si>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</si>
  <si>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</si>
  <si>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</si>
  <si>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</si>
  <si>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</si>
  <si>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</si>
  <si>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</si>
  <si>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</si>
  <si>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</si>
  <si>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</si>
  <si>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</si>
  <si>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</si>
  <si>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</si>
  <si>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</si>
  <si>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</si>
  <si>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</si>
  <si>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</si>
  <si>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</si>
  <si>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</si>
  <si>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</si>
  <si>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</si>
  <si>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</si>
  <si>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</si>
  <si>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</si>
  <si>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</si>
  <si>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</si>
  <si>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</si>
  <si>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</si>
  <si>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</si>
  <si>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</si>
  <si>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</si>
  <si>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</si>
  <si>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</si>
  <si>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</si>
  <si>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</si>
  <si>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</si>
  <si>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</si>
  <si>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</si>
  <si>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</si>
  <si>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</si>
  <si>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</si>
  <si>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</si>
  <si>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</si>
  <si>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</si>
  <si>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</si>
  <si>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</si>
  <si>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</si>
  <si>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</si>
  <si>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</si>
  <si>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</si>
  <si>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</si>
  <si>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</si>
  <si>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</si>
  <si>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</si>
  <si>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</si>
  <si>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</si>
  <si>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</si>
  <si>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</si>
  <si>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</si>
  <si>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</si>
  <si>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</si>
  <si>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</si>
  <si>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</si>
  <si>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</si>
  <si>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</si>
  <si>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</si>
  <si>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</si>
  <si>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</si>
  <si>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</si>
  <si>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</si>
  <si>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</si>
  <si>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</si>
  <si>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</si>
  <si>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</si>
  <si>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</si>
  <si>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</si>
  <si>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</si>
  <si>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</si>
  <si>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</si>
  <si>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</si>
  <si>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</si>
  <si>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</si>
  <si>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</si>
  <si>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</si>
  <si>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</si>
  <si>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</si>
  <si>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</si>
  <si>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</si>
  <si>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</si>
  <si>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</si>
  <si>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</si>
  <si>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</si>
  <si>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</si>
  <si>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</si>
  <si>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</si>
  <si>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</si>
  <si>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</si>
  <si>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</si>
  <si>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</si>
  <si>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</si>
  <si>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</si>
  <si>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</si>
  <si>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</si>
  <si>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</si>
  <si>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</si>
  <si>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</si>
  <si>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</si>
  <si>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</si>
  <si>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</si>
  <si>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</si>
  <si>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</si>
  <si>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</si>
  <si>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</si>
  <si>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</si>
  <si>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</si>
  <si>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</si>
  <si>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</si>
  <si>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</si>
  <si>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</si>
  <si>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</si>
  <si>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</si>
  <si>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</si>
  <si>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</si>
  <si>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</si>
  <si>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</si>
  <si>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</si>
  <si>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</si>
  <si>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</si>
  <si>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</si>
  <si>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</si>
  <si>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</si>
  <si>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</si>
  <si>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</si>
  <si>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</si>
  <si>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</si>
  <si>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</si>
  <si>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</si>
  <si>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</si>
  <si>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</si>
  <si>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</si>
  <si>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</si>
  <si>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</si>
  <si>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</si>
  <si>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</si>
  <si>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</si>
  <si>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</si>
  <si>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</si>
  <si>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</si>
  <si>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</si>
  <si>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</si>
  <si>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</si>
  <si>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</si>
  <si>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</si>
  <si>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</si>
  <si>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</si>
  <si>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</si>
  <si>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</si>
  <si>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</si>
  <si>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</si>
  <si>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</si>
  <si>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</si>
  <si>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</si>
  <si>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</si>
  <si>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</si>
  <si>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</si>
  <si>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</si>
  <si>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</si>
  <si>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</si>
  <si>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</si>
  <si>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</si>
  <si>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</si>
  <si>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</si>
  <si>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</si>
  <si>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</si>
  <si>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</si>
  <si>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</si>
  <si>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</si>
  <si>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</si>
  <si>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</si>
  <si>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</si>
  <si>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</si>
  <si>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</si>
  <si>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</si>
  <si>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</si>
  <si>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</si>
  <si>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</si>
  <si>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</si>
  <si>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</si>
  <si>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</si>
  <si>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</si>
  <si>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</si>
  <si>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</si>
  <si>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</si>
  <si>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</si>
  <si>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</si>
  <si>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</si>
  <si>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</si>
  <si>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</si>
  <si>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</si>
  <si>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</si>
  <si>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</si>
  <si>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</si>
  <si>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</si>
  <si>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</si>
  <si>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</si>
  <si>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</si>
  <si>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</si>
  <si>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</si>
  <si>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</si>
  <si>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</si>
  <si>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</si>
  <si>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</si>
  <si>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</si>
  <si>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</si>
  <si>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</si>
  <si>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</si>
  <si>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</si>
  <si>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</si>
  <si>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</si>
  <si>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</si>
  <si>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</si>
  <si>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</si>
  <si>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</si>
  <si>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</si>
  <si>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</si>
  <si>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</si>
  <si>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</si>
  <si>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</si>
  <si>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</si>
  <si>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</si>
  <si>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</si>
  <si>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</si>
  <si>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</si>
  <si>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</si>
  <si>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</si>
  <si>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</si>
  <si>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</si>
  <si>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</si>
  <si>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</si>
  <si>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</si>
  <si>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</si>
  <si>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</si>
  <si>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</si>
  <si>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</si>
  <si>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</si>
  <si>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</si>
  <si>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</si>
  <si>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</si>
  <si>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</si>
  <si>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</si>
  <si>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</si>
  <si>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</si>
  <si>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</si>
  <si>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</si>
  <si>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</si>
  <si>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</si>
  <si>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</si>
  <si>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</si>
  <si>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</si>
  <si>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</si>
  <si>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</si>
  <si>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</si>
  <si>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</si>
  <si>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</si>
  <si>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</si>
  <si>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</si>
  <si>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</si>
  <si>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</si>
  <si>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</si>
  <si>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</si>
  <si>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</si>
  <si>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</si>
  <si>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</si>
  <si>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</si>
  <si>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</si>
  <si>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</si>
  <si>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</si>
  <si>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</si>
  <si>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</si>
  <si>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</si>
  <si>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</si>
  <si>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</si>
  <si>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</si>
  <si>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</si>
  <si>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</si>
  <si>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</si>
  <si>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</si>
  <si>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</si>
  <si>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</si>
  <si>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</si>
  <si>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</si>
  <si>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</si>
  <si>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</si>
  <si>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</si>
  <si>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</si>
  <si>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</si>
  <si>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</si>
  <si>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</si>
  <si>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</si>
  <si>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</si>
  <si>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</si>
  <si>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</si>
  <si>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</si>
  <si>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</si>
  <si>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</si>
  <si>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</si>
  <si>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</si>
  <si>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</si>
  <si>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</si>
  <si>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</si>
  <si>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</si>
  <si>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</si>
  <si>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</si>
  <si>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</si>
  <si>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</si>
  <si>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</si>
  <si>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</si>
  <si>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</si>
  <si>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</si>
  <si>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</si>
  <si>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</si>
  <si>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</si>
  <si>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</si>
  <si>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</si>
  <si>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</si>
  <si>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</si>
  <si>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</si>
  <si>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</si>
  <si>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</si>
  <si>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</si>
  <si>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</si>
  <si>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</si>
  <si>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</si>
  <si>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</si>
  <si>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</si>
  <si>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</si>
  <si>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</si>
  <si>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</si>
  <si>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</si>
  <si>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</si>
  <si>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</si>
  <si>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</si>
  <si>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</si>
  <si>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</si>
  <si>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</si>
  <si>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</si>
  <si>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</si>
  <si>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</si>
  <si>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</si>
  <si>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</si>
  <si>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</si>
  <si>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</si>
  <si>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</si>
  <si>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</si>
  <si>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</si>
  <si>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</si>
  <si>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</si>
  <si>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</si>
  <si>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</si>
  <si>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</si>
  <si>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</si>
  <si>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</si>
  <si>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</si>
  <si>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</si>
  <si>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</si>
  <si>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</si>
  <si>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</si>
  <si>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</si>
  <si>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</si>
  <si>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</si>
  <si>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</si>
  <si>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</si>
  <si>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</si>
  <si>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</si>
  <si>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</si>
  <si>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</si>
  <si>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</si>
  <si>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</si>
  <si>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</si>
  <si>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</si>
  <si>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</si>
  <si>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</si>
  <si>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</si>
  <si>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</si>
  <si>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</si>
  <si>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</si>
  <si>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</si>
  <si>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</si>
  <si>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</si>
  <si>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</si>
  <si>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</si>
  <si>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</si>
  <si>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</si>
  <si>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</si>
  <si>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</si>
  <si>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</si>
  <si>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</si>
  <si>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</si>
  <si>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</si>
  <si>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</si>
  <si>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</si>
  <si>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</si>
  <si>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</si>
  <si>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</si>
  <si>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</si>
  <si>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</si>
  <si>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</si>
  <si>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</si>
  <si>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</si>
  <si>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</si>
  <si>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</si>
  <si>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</si>
  <si>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</si>
  <si>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</si>
  <si>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</si>
  <si>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</si>
  <si>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</si>
  <si>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</si>
  <si>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</si>
  <si>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</si>
  <si>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</si>
  <si>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</si>
  <si>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</si>
  <si>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</si>
  <si>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</si>
  <si>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</si>
  <si>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</si>
  <si>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</si>
  <si>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</si>
  <si>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</si>
  <si>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</si>
  <si>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</si>
  <si>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</si>
  <si>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</si>
  <si>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</si>
  <si>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</si>
  <si>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</si>
  <si>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</si>
  <si>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</si>
  <si>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</si>
  <si>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</si>
  <si>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</si>
  <si>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</si>
  <si>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</si>
  <si>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</si>
  <si>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</si>
  <si>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</si>
  <si>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</si>
  <si>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</si>
  <si>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</si>
  <si>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</si>
  <si>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</si>
  <si>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</si>
  <si>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</si>
  <si>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</si>
  <si>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</si>
  <si>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</si>
  <si>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</si>
  <si>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</si>
  <si>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</si>
  <si>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</si>
  <si>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</si>
  <si>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</si>
  <si>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</si>
  <si>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</si>
  <si>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</si>
  <si>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</si>
  <si>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</si>
  <si>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</si>
  <si>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</si>
  <si>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</si>
  <si>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</si>
  <si>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</si>
  <si>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</si>
  <si>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</si>
  <si>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</si>
  <si>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</si>
  <si>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</si>
  <si>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</si>
  <si>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</si>
  <si>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</si>
  <si>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</si>
  <si>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</si>
  <si>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</si>
  <si>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</si>
  <si>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</si>
  <si>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</si>
  <si>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</si>
  <si>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</si>
  <si>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</si>
  <si>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</si>
  <si>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</si>
  <si>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</si>
  <si>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</si>
  <si>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</si>
  <si>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</si>
  <si>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</si>
  <si>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</si>
  <si>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</si>
  <si>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</si>
  <si>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</si>
  <si>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</si>
  <si>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</si>
  <si>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</si>
  <si>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</si>
  <si>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</si>
  <si>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</si>
  <si>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</si>
  <si>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</si>
  <si>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</si>
  <si>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</si>
  <si>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</si>
  <si>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</si>
  <si>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</si>
  <si>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</si>
  <si>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</si>
  <si>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</si>
  <si>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</si>
  <si>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</si>
  <si>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</si>
  <si>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</si>
  <si>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</si>
  <si>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</si>
  <si>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</si>
  <si>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</si>
  <si>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</si>
  <si>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</si>
  <si>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</si>
  <si>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</si>
  <si>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</si>
  <si>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</si>
  <si>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</si>
  <si>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</si>
  <si>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</si>
  <si>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</si>
  <si>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</si>
  <si>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</si>
  <si>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</si>
  <si>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</si>
  <si>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</si>
  <si>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</si>
  <si>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</si>
  <si>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</si>
  <si>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</si>
  <si>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</si>
  <si>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</si>
  <si>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</si>
  <si>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</si>
  <si>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</si>
  <si>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</si>
  <si>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</si>
  <si>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</si>
  <si>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</si>
  <si>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</si>
  <si>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</si>
  <si>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</si>
  <si>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</si>
  <si>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</si>
  <si>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</si>
  <si>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</si>
  <si>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</si>
  <si>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</si>
  <si>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</si>
  <si>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</si>
  <si>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</si>
  <si>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</si>
  <si>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</si>
  <si>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</si>
  <si>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</si>
  <si>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</si>
  <si>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</si>
  <si>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</si>
  <si>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</si>
  <si>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</si>
  <si>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</si>
  <si>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</si>
  <si>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</si>
  <si>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</si>
  <si>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</si>
  <si>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</si>
  <si>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</si>
  <si>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</si>
  <si>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</si>
  <si>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</si>
  <si>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</si>
  <si>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</si>
  <si>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</si>
  <si>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</si>
  <si>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</si>
  <si>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</si>
  <si>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</si>
  <si>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</si>
  <si>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</si>
  <si>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</si>
  <si>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</si>
  <si>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</si>
  <si>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</si>
  <si>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</si>
  <si>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</si>
  <si>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</si>
  <si>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</si>
  <si>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</si>
  <si>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</si>
  <si>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</si>
  <si>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</si>
  <si>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</si>
  <si>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</si>
  <si>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</si>
  <si>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</si>
  <si>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</si>
  <si>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</si>
  <si>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</si>
  <si>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</si>
  <si>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</si>
  <si>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</si>
  <si>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</si>
  <si>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</si>
  <si>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</si>
  <si>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</si>
  <si>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</si>
  <si>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</si>
  <si>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</si>
  <si>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</si>
  <si>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</si>
  <si>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</si>
  <si>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</si>
  <si>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</si>
  <si>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</si>
  <si>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</si>
  <si>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</si>
  <si>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</si>
  <si>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</si>
  <si>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</si>
  <si>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</si>
  <si>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</si>
  <si>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</si>
  <si>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</si>
  <si>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</si>
  <si>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</si>
  <si>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</si>
  <si>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</si>
  <si>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</si>
  <si>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</si>
  <si>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</si>
  <si>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</si>
  <si>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</si>
  <si>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</si>
  <si>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</si>
  <si>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</si>
  <si>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</si>
  <si>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</si>
  <si>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</si>
  <si>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</si>
  <si>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</si>
  <si>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</si>
  <si>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</si>
  <si>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</si>
  <si>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</si>
  <si>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</si>
  <si>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</si>
  <si>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</si>
  <si>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</si>
  <si>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</si>
  <si>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</si>
  <si>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</si>
  <si>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</si>
  <si>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</si>
  <si>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</si>
  <si>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</si>
  <si>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</si>
  <si>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</si>
  <si>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</si>
  <si>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</si>
  <si>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</si>
  <si>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</si>
  <si>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</si>
  <si>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</si>
  <si>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</si>
  <si>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</si>
  <si>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</si>
  <si>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</si>
  <si>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</si>
  <si>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</si>
  <si>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</si>
  <si>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</si>
  <si>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</si>
  <si>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</si>
  <si>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</si>
  <si>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</si>
  <si>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</si>
  <si>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</si>
  <si>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</si>
  <si>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</si>
  <si>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</si>
  <si>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</si>
  <si>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</si>
  <si>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</si>
  <si>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</si>
  <si>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</si>
  <si>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</si>
  <si>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</si>
  <si>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</si>
  <si>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</si>
  <si>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</si>
  <si>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</si>
  <si>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</si>
  <si>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</si>
  <si>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</si>
  <si>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</si>
  <si>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</si>
  <si>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</si>
  <si>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</si>
  <si>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</si>
  <si>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</si>
  <si>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</si>
  <si>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</si>
  <si>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</si>
  <si>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</si>
  <si>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</si>
  <si>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</si>
  <si>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</si>
  <si>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</si>
  <si>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</si>
  <si>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</si>
  <si>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</si>
  <si>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</si>
  <si>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</si>
  <si>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</si>
  <si>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</si>
  <si>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</si>
  <si>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</si>
  <si>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</si>
  <si>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</si>
  <si>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</si>
  <si>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</si>
  <si>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</si>
  <si>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</si>
  <si>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</si>
  <si>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</si>
  <si>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</si>
  <si>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</si>
  <si>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</si>
  <si>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</si>
  <si>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</si>
  <si>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</si>
  <si>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</si>
  <si>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</si>
  <si>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</si>
  <si>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</si>
  <si>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</si>
  <si>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</si>
  <si>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</si>
  <si>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</si>
  <si>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</si>
  <si>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</si>
  <si>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</si>
  <si>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</si>
  <si>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</si>
  <si>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</si>
  <si>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</si>
  <si>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</si>
  <si>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</si>
  <si>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</si>
  <si>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</si>
  <si>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</si>
  <si>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</si>
  <si>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</si>
  <si>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</si>
  <si>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</si>
  <si>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</si>
  <si>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</si>
  <si>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</si>
  <si>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</si>
  <si>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</si>
  <si>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</si>
  <si>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</si>
  <si>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</si>
  <si>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</si>
  <si>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</si>
  <si>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</si>
  <si>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</si>
  <si>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</si>
  <si>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</si>
  <si>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</si>
  <si>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</si>
  <si>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</si>
  <si>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</si>
  <si>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</si>
  <si>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</si>
  <si>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</si>
  <si>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</si>
  <si>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</si>
  <si>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</si>
  <si>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</si>
  <si>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</si>
  <si>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</si>
  <si>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</si>
  <si>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</si>
  <si>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</si>
  <si>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</si>
  <si>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</si>
  <si>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</si>
  <si>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</si>
  <si>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</si>
  <si>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</si>
  <si>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</si>
  <si>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</si>
  <si>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</si>
  <si>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</si>
  <si>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</si>
  <si>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</si>
  <si>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</si>
  <si>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</si>
  <si>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</si>
  <si>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</si>
  <si>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</si>
  <si>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</si>
  <si>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</si>
  <si>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</si>
  <si>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</si>
  <si>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</si>
  <si>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</si>
  <si>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</si>
  <si>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</si>
  <si>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</si>
  <si>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</si>
  <si>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</si>
  <si>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</si>
  <si>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</si>
  <si>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</si>
  <si>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</si>
  <si>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</si>
  <si>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</si>
  <si>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</si>
  <si>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</si>
  <si>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</si>
  <si>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</si>
  <si>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</si>
  <si>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</si>
  <si>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</si>
  <si>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</si>
  <si>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</si>
  <si>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</si>
  <si>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</si>
  <si>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</si>
  <si>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</si>
  <si>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</si>
  <si>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</si>
  <si>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</si>
  <si>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</si>
  <si>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</si>
  <si>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</si>
  <si>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</si>
  <si>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</si>
  <si>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</si>
  <si>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</si>
  <si>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</si>
  <si>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</si>
  <si>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</si>
  <si>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</si>
  <si>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</si>
  <si>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</si>
  <si>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</si>
  <si>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</si>
  <si>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</si>
  <si>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</si>
  <si>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</si>
  <si>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</si>
  <si>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</si>
  <si>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</si>
  <si>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</si>
  <si>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</si>
  <si>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</si>
  <si>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</si>
  <si>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</si>
  <si>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</si>
  <si>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</si>
  <si>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</si>
  <si>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</si>
  <si>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</si>
  <si>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</si>
  <si>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</si>
  <si>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</si>
  <si>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</si>
  <si>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</si>
  <si>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</si>
  <si>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</si>
  <si>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</si>
  <si>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</si>
  <si>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</si>
  <si>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</si>
  <si>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</si>
  <si>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</si>
  <si>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</si>
  <si>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</si>
  <si>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</si>
  <si>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</si>
  <si>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</si>
  <si>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</si>
  <si>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</si>
  <si>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</si>
  <si>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</si>
  <si>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</si>
  <si>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</si>
  <si>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</si>
  <si>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</si>
  <si>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</si>
  <si>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</si>
  <si>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</si>
  <si>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</si>
  <si>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</si>
  <si>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</si>
  <si>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</si>
  <si>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</si>
  <si>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</si>
  <si>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</si>
  <si>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</si>
  <si>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</si>
  <si>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</si>
  <si>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</si>
  <si>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</si>
  <si>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</si>
  <si>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</si>
  <si>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</si>
  <si>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</si>
  <si>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</si>
  <si>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</si>
  <si>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</si>
  <si>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</si>
  <si>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</si>
  <si>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</si>
  <si>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</si>
  <si>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</si>
  <si>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</si>
  <si>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</si>
  <si>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</si>
  <si>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</si>
  <si>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</si>
  <si>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</si>
  <si>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</si>
  <si>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</si>
  <si>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</si>
  <si>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</si>
  <si>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</si>
  <si>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</si>
  <si>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</si>
  <si>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</si>
  <si>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</si>
  <si>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</si>
  <si>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</si>
  <si>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</si>
  <si>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</si>
  <si>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</si>
  <si>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</si>
  <si>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</si>
  <si>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</si>
  <si>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</si>
  <si>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</si>
  <si>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</si>
  <si>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</si>
  <si>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</si>
  <si>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</si>
  <si>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</si>
  <si>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</si>
  <si>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</si>
  <si>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</si>
  <si>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</si>
  <si>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</si>
  <si>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</si>
  <si>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</si>
  <si>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</si>
  <si>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</si>
  <si>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</si>
  <si>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</si>
  <si>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</si>
  <si>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</si>
  <si>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</si>
  <si>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</si>
  <si>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</si>
  <si>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</si>
  <si>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</si>
  <si>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</si>
  <si>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</si>
  <si>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</si>
  <si>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</si>
  <si>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</si>
  <si>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</si>
  <si>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</si>
  <si>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</si>
  <si>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</si>
  <si>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</si>
  <si>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</si>
  <si>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</si>
  <si>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</si>
  <si>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</si>
  <si>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</si>
  <si>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</si>
  <si>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</si>
  <si>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</si>
  <si>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</si>
  <si>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</si>
  <si>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</si>
  <si>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</si>
  <si>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</si>
  <si>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</si>
  <si>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</si>
  <si>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</si>
  <si>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</si>
  <si>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</si>
  <si>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</si>
  <si>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</si>
  <si>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</si>
  <si>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</si>
  <si>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</si>
  <si>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</si>
  <si>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</si>
  <si>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</si>
  <si>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</si>
  <si>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</si>
  <si>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</si>
  <si>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</si>
  <si>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</si>
  <si>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</si>
  <si>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</si>
  <si>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</si>
  <si>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</si>
  <si>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</si>
  <si>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</si>
  <si>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</si>
  <si>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</si>
  <si>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</si>
  <si>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</si>
  <si>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</si>
  <si>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</si>
  <si>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</si>
  <si>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</si>
  <si>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</si>
  <si>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</si>
  <si>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</si>
  <si>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</si>
  <si>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</si>
  <si>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</si>
  <si>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</si>
  <si>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</si>
  <si>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</si>
  <si>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</si>
  <si>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</si>
  <si>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</si>
  <si>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</si>
  <si>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</si>
  <si>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</si>
  <si>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</si>
  <si>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</si>
  <si>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</si>
  <si>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</si>
  <si>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</si>
  <si>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</si>
  <si>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</si>
  <si>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</si>
  <si>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</si>
  <si>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</si>
  <si>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</si>
  <si>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</si>
  <si>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</si>
  <si>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</si>
  <si>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</si>
  <si>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</si>
  <si>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</si>
  <si>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</si>
  <si>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</si>
  <si>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</si>
  <si>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</si>
  <si>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</si>
  <si>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</si>
  <si>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</si>
  <si>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</si>
  <si>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</si>
  <si>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</si>
  <si>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</si>
  <si>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</si>
  <si>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</si>
  <si>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</si>
  <si>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</si>
  <si>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</si>
  <si>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</si>
  <si>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</si>
  <si>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</si>
  <si>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</si>
  <si>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</si>
  <si>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</si>
  <si>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</si>
  <si>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</si>
  <si>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</si>
  <si>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</si>
  <si>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</si>
  <si>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</si>
  <si>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</si>
  <si>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</si>
  <si>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</si>
  <si>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</si>
  <si>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</si>
  <si>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</si>
  <si>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</si>
  <si>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</si>
  <si>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</si>
  <si>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</si>
  <si>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</si>
  <si>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</si>
  <si>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</si>
  <si>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</si>
  <si>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</si>
  <si>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</si>
  <si>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</si>
  <si>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</si>
  <si>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</si>
  <si>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</si>
  <si>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</si>
  <si>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</si>
  <si>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</si>
  <si>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</si>
  <si>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</si>
  <si>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</si>
  <si>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</si>
  <si>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</si>
  <si>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</si>
  <si>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</si>
  <si>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</si>
  <si>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</si>
  <si>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</si>
  <si>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</si>
  <si>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</si>
  <si>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</si>
  <si>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</si>
  <si>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</si>
  <si>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</si>
  <si>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</si>
  <si>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</si>
  <si>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</si>
  <si>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</si>
  <si>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</si>
  <si>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</si>
  <si>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</si>
  <si>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</si>
  <si>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</si>
  <si>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</si>
  <si>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</si>
  <si>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</si>
  <si>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</si>
  <si>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</si>
  <si>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</si>
  <si>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</si>
  <si>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</si>
  <si>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</si>
  <si>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</si>
  <si>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</si>
  <si>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</si>
  <si>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</si>
  <si>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</si>
  <si>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</si>
  <si>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</si>
  <si>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</si>
  <si>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</si>
  <si>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</si>
  <si>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</si>
  <si>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</si>
  <si>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</si>
  <si>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</si>
  <si>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</si>
  <si>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</si>
  <si>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</si>
  <si>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</si>
  <si>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</si>
  <si>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</si>
  <si>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</si>
  <si>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</si>
  <si>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</si>
  <si>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</si>
  <si>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</si>
  <si>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</si>
  <si>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</si>
  <si>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</si>
  <si>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</si>
  <si>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</si>
  <si>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</si>
  <si>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</si>
  <si>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</si>
  <si>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</si>
  <si>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</si>
  <si>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</si>
  <si>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</si>
  <si>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</si>
  <si>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</si>
  <si>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</si>
  <si>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</si>
  <si>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</si>
  <si>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</si>
  <si>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</si>
  <si>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</si>
  <si>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</si>
  <si>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</si>
  <si>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</si>
  <si>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</si>
  <si>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</si>
  <si>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</si>
  <si>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</si>
  <si>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</si>
  <si>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</si>
  <si>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</si>
  <si>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</si>
  <si>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</si>
  <si>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</si>
  <si>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</si>
  <si>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</si>
  <si>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</si>
  <si>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</si>
  <si>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</si>
  <si>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</si>
  <si>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</si>
  <si>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</si>
  <si>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</si>
  <si>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</si>
  <si>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</si>
  <si>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</si>
  <si>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</si>
  <si>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</si>
  <si>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</si>
  <si>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</si>
  <si>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</si>
  <si>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</si>
  <si>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</si>
  <si>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</si>
  <si>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</si>
  <si>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</si>
  <si>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</si>
  <si>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</si>
  <si>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</si>
  <si>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</si>
  <si>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</si>
  <si>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</si>
  <si>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</si>
  <si>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</si>
  <si>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</si>
  <si>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</si>
  <si>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</si>
  <si>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</si>
  <si>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</si>
  <si>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</si>
  <si>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</si>
  <si>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</si>
  <si>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</si>
  <si>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</si>
  <si>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</si>
  <si>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</si>
  <si>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</si>
  <si>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</si>
  <si>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</si>
  <si>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</si>
  <si>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</si>
  <si>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</si>
  <si>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</si>
  <si>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</si>
  <si>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</si>
  <si>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</si>
  <si>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</si>
  <si>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</si>
  <si>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</si>
  <si>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</si>
  <si>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</si>
  <si>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</si>
  <si>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</si>
  <si>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</si>
  <si>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</si>
  <si>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</si>
  <si>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</si>
  <si>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</si>
  <si>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</si>
  <si>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</si>
  <si>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</si>
  <si>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</si>
  <si>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</si>
  <si>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</si>
  <si>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</si>
  <si>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</si>
  <si>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</si>
  <si>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</si>
  <si>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</si>
  <si>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</si>
  <si>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</si>
  <si>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</si>
  <si>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</si>
  <si>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</si>
  <si>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</si>
  <si>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</si>
  <si>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</si>
  <si>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</si>
  <si>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</si>
  <si>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</si>
  <si>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</si>
  <si>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</si>
  <si>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</si>
  <si>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</si>
  <si>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</si>
  <si>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</si>
  <si>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</si>
  <si>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</si>
  <si>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</si>
  <si>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</si>
  <si>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</si>
  <si>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</si>
  <si>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</si>
  <si>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</si>
  <si>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</si>
  <si>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</si>
  <si>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</si>
  <si>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</si>
  <si>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</si>
  <si>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</si>
  <si>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</si>
  <si>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</si>
  <si>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</si>
  <si>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</si>
  <si>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</si>
  <si>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</si>
  <si>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</si>
  <si>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</si>
  <si>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</si>
  <si>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</si>
  <si>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</si>
  <si>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</si>
  <si>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</si>
  <si>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</si>
  <si>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</si>
  <si>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</si>
  <si>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</si>
  <si>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</si>
  <si>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</si>
  <si>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</si>
  <si>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</si>
  <si>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</si>
  <si>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</si>
  <si>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</si>
  <si>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</si>
  <si>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</si>
  <si>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</si>
  <si>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</si>
  <si>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</si>
  <si>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</si>
  <si>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</si>
  <si>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</si>
  <si>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</si>
  <si>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</si>
  <si>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</si>
  <si>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</si>
  <si>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</si>
  <si>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</si>
  <si>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</si>
  <si>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</si>
  <si>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</si>
  <si>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</si>
  <si>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</si>
  <si>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</si>
  <si>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</si>
  <si>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</si>
  <si>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</si>
  <si>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</si>
  <si>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</si>
  <si>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</si>
  <si>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</si>
  <si>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</si>
  <si>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</si>
  <si>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</si>
  <si>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</si>
  <si>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</si>
  <si>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</si>
  <si>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</si>
  <si>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</si>
  <si>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</si>
  <si>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</si>
  <si>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</si>
  <si>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</si>
  <si>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</si>
  <si>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</si>
  <si>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</si>
  <si>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</si>
  <si>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</si>
  <si>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</si>
  <si>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</si>
  <si>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</si>
  <si>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</si>
  <si>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</si>
  <si>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</si>
  <si>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</si>
  <si>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</si>
  <si>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</si>
  <si>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</si>
  <si>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</si>
  <si>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</si>
  <si>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</si>
  <si>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</si>
  <si>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</si>
  <si>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</si>
  <si>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</si>
  <si>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</si>
  <si>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</si>
  <si>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</si>
  <si>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</si>
  <si>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</si>
  <si>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</si>
  <si>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</si>
  <si>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</si>
  <si>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</si>
  <si>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</si>
  <si>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</si>
  <si>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</si>
  <si>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</si>
  <si>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</si>
  <si>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</si>
  <si>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</si>
  <si>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</si>
  <si>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</si>
  <si>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</si>
  <si>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</si>
  <si>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</si>
  <si>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</si>
  <si>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</si>
  <si>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</si>
  <si>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</si>
  <si>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</si>
  <si>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</si>
  <si>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</si>
  <si>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</si>
  <si>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</si>
  <si>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</si>
  <si>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</si>
  <si>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</si>
  <si>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</si>
  <si>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</si>
  <si>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</si>
  <si>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</si>
  <si>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</si>
  <si>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</si>
  <si>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</si>
  <si>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</si>
  <si>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</si>
  <si>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</si>
  <si>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</si>
  <si>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</si>
  <si>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</si>
  <si>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</si>
  <si>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</si>
  <si>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</si>
  <si>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</si>
  <si>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</si>
  <si>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</si>
  <si>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</si>
  <si>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</si>
  <si>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</si>
  <si>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</si>
  <si>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</si>
  <si>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</si>
  <si>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</si>
  <si>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</si>
  <si>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</si>
  <si>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</si>
  <si>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</si>
  <si>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</si>
  <si>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</si>
  <si>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</si>
  <si>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</si>
  <si>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</si>
  <si>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</si>
  <si>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</si>
  <si>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</si>
  <si>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</si>
  <si>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</si>
  <si>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</si>
  <si>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</si>
  <si>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</si>
  <si>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</si>
  <si>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</si>
  <si>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</si>
  <si>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</si>
  <si>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</si>
  <si>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</si>
  <si>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</si>
  <si>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</si>
  <si>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</si>
  <si>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</si>
  <si>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</si>
  <si>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</si>
  <si>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</si>
  <si>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</si>
  <si>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</si>
  <si>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</si>
  <si>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</si>
  <si>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</si>
  <si>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</si>
  <si>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</si>
  <si>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</si>
  <si>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</si>
  <si>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</si>
  <si>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</si>
  <si>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</si>
  <si>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</si>
  <si>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</si>
  <si>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</si>
  <si>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</si>
  <si>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</si>
  <si>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</si>
  <si>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</si>
  <si>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</si>
  <si>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</si>
  <si>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</si>
  <si>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</si>
  <si>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</si>
  <si>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</si>
  <si>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</si>
  <si>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</si>
  <si>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</si>
  <si>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</si>
  <si>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</si>
  <si>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</si>
  <si>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</si>
  <si>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</si>
  <si>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</si>
  <si>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</si>
  <si>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</si>
  <si>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</si>
  <si>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</si>
  <si>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</si>
  <si>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</si>
  <si>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</si>
  <si>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</si>
  <si>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</si>
  <si>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</si>
  <si>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</si>
  <si>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</si>
  <si>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</si>
  <si>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</si>
  <si>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</si>
  <si>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</si>
  <si>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</si>
  <si>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</si>
  <si>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</si>
  <si>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</si>
  <si>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</si>
  <si>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</si>
  <si>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</si>
  <si>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</si>
  <si>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</si>
  <si>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</si>
  <si>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</si>
  <si>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</si>
  <si>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</si>
  <si>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</si>
  <si>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</si>
  <si>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</si>
  <si>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</si>
  <si>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</si>
  <si>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</si>
  <si>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</si>
  <si>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</si>
  <si>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</si>
  <si>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</si>
  <si>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</si>
  <si>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</si>
  <si>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</si>
  <si>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</si>
  <si>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</si>
  <si>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</si>
  <si>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</si>
  <si>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</si>
  <si>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</si>
  <si>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</si>
  <si>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</si>
  <si>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</si>
  <si>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</si>
  <si>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</si>
  <si>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</si>
  <si>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</si>
  <si>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</si>
  <si>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</si>
  <si>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</si>
  <si>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</si>
  <si>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</si>
  <si>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</si>
  <si>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</si>
  <si>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</si>
  <si>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</si>
  <si>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</si>
  <si>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</si>
  <si>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</si>
  <si>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</si>
  <si>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</si>
  <si>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</si>
  <si>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</si>
  <si>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</si>
  <si>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</si>
  <si>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</si>
  <si>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</si>
  <si>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</si>
  <si>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</si>
  <si>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</si>
  <si>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</si>
  <si>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</si>
  <si>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</si>
  <si>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</si>
  <si>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</si>
  <si>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</si>
  <si>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</si>
  <si>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</si>
  <si>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</si>
  <si>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</si>
  <si>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</si>
  <si>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</si>
  <si>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</si>
  <si>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</si>
  <si>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</si>
  <si>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</si>
  <si>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</si>
  <si>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</si>
  <si>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</si>
  <si>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</si>
  <si>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</si>
  <si>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</si>
  <si>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</si>
  <si>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</si>
  <si>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</si>
  <si>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</si>
  <si>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</si>
  <si>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</si>
  <si>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</si>
  <si>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</si>
  <si>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</si>
  <si>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</si>
  <si>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</si>
  <si>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</si>
  <si>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</si>
  <si>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</si>
  <si>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</si>
  <si>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</si>
  <si>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</si>
  <si>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</si>
  <si>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</si>
  <si>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</si>
  <si>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</si>
  <si>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</si>
  <si>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</si>
  <si>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</si>
  <si>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</si>
  <si>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</si>
  <si>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</si>
  <si>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</si>
  <si>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</si>
  <si>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</si>
  <si>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</si>
  <si>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</si>
  <si>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</si>
  <si>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</si>
  <si>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</si>
  <si>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</si>
  <si>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</si>
  <si>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</si>
  <si>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</si>
  <si>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</si>
  <si>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</si>
  <si>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</si>
  <si>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</si>
  <si>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</si>
  <si>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</si>
  <si>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</si>
  <si>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</si>
  <si>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</si>
  <si>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</si>
  <si>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</si>
  <si>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</si>
  <si>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</si>
  <si>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</si>
  <si>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</si>
  <si>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</si>
  <si>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</si>
  <si>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</si>
  <si>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</si>
  <si>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</si>
  <si>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</si>
  <si>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</si>
  <si>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</si>
  <si>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</si>
  <si>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</si>
  <si>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</si>
  <si>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</si>
  <si>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</si>
  <si>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</si>
  <si>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</si>
  <si>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</si>
  <si>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</si>
  <si>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</si>
  <si>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</si>
  <si>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</si>
  <si>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</si>
  <si>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</si>
  <si>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</si>
  <si>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</si>
  <si>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</si>
  <si>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</si>
  <si>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</si>
  <si>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</si>
  <si>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</si>
  <si>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</si>
  <si>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</si>
  <si>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</si>
  <si>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</si>
  <si>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</si>
  <si>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</si>
  <si>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</si>
  <si>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</si>
  <si>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</si>
  <si>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</si>
  <si>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</si>
  <si>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</si>
  <si>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</si>
  <si>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</si>
  <si>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</si>
  <si>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</si>
  <si>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</si>
  <si>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</si>
  <si>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</si>
  <si>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</si>
  <si>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</si>
  <si>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</si>
  <si>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</si>
  <si>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</si>
  <si>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</si>
  <si>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</si>
  <si>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</si>
  <si>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</si>
  <si>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</si>
  <si>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</si>
  <si>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</si>
  <si>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</si>
  <si>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</si>
  <si>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</si>
  <si>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</si>
  <si>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</si>
  <si>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</si>
  <si>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</si>
  <si>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</si>
  <si>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</si>
  <si>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</si>
  <si>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</si>
  <si>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</si>
  <si>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</si>
  <si>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</si>
  <si>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</si>
  <si>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</si>
  <si>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</si>
  <si>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</si>
  <si>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</si>
  <si>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</si>
  <si>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</si>
  <si>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</si>
  <si>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</si>
  <si>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</si>
  <si>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</si>
  <si>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</si>
  <si>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</si>
  <si>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</si>
  <si>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</si>
  <si>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</si>
  <si>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</si>
  <si>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</si>
  <si>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</si>
  <si>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</si>
  <si>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</si>
  <si>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</si>
  <si>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</si>
  <si>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</si>
  <si>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</si>
  <si>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</si>
  <si>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</si>
  <si>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</si>
  <si>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</si>
  <si>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</si>
  <si>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</si>
  <si>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</si>
  <si>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</si>
  <si>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</si>
  <si>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</si>
  <si>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</si>
  <si>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</si>
  <si>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</si>
  <si>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</si>
  <si>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</si>
  <si>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</si>
  <si>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</si>
  <si>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</si>
  <si>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</si>
  <si>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</si>
  <si>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</si>
  <si>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</si>
  <si>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</si>
  <si>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</si>
  <si>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</si>
  <si>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</si>
  <si>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</si>
  <si>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</si>
  <si>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</si>
  <si>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</si>
  <si>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</si>
  <si>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</si>
  <si>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</si>
  <si>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</si>
  <si>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</si>
  <si>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</si>
  <si>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</si>
  <si>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</si>
  <si>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</si>
  <si>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</si>
  <si>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</si>
  <si>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</si>
  <si>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</si>
  <si>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</si>
  <si>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</si>
  <si>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</si>
  <si>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</si>
  <si>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</si>
  <si>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</si>
  <si>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</si>
  <si>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</si>
  <si>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</si>
  <si>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</si>
  <si>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</si>
  <si>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</si>
  <si>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</si>
  <si>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</si>
  <si>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</si>
  <si>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</si>
  <si>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</si>
  <si>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</si>
  <si>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</si>
  <si>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</si>
  <si>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</si>
  <si>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</si>
  <si>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</si>
  <si>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</si>
  <si>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</si>
  <si>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</si>
  <si>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</si>
  <si>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</si>
  <si>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</si>
  <si>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</si>
  <si>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</si>
  <si>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</si>
  <si>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</si>
  <si>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</si>
  <si>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</si>
  <si>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</si>
  <si>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</si>
  <si>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</si>
  <si>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</si>
  <si>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</si>
  <si>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</si>
  <si>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</si>
  <si>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</si>
  <si>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</si>
  <si>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</si>
  <si>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</si>
  <si>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</si>
  <si>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</si>
  <si>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</si>
  <si>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</si>
  <si>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</si>
  <si>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</si>
  <si>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</si>
  <si>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</si>
  <si>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</si>
  <si>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</si>
  <si>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</si>
  <si>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</si>
  <si>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</si>
  <si>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</si>
  <si>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</si>
  <si>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</si>
  <si>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</si>
  <si>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</si>
  <si>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</si>
  <si>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</si>
  <si>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</si>
  <si>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</si>
  <si>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</si>
  <si>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</si>
  <si>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</si>
  <si>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</si>
  <si>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</si>
  <si>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</si>
  <si>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</si>
  <si>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</si>
  <si>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</si>
  <si>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</si>
  <si>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</si>
  <si>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</si>
  <si>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</si>
  <si>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</si>
  <si>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</si>
  <si>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</si>
  <si>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</si>
  <si>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</si>
  <si>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</si>
  <si>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</si>
  <si>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</si>
  <si>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</si>
  <si>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</si>
  <si>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</si>
  <si>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</si>
  <si>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</si>
  <si>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</si>
  <si>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</si>
  <si>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</si>
  <si>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</si>
  <si>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</si>
  <si>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</si>
  <si>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</si>
  <si>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</si>
  <si>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</si>
  <si>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</si>
  <si>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</si>
  <si>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</si>
  <si>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</si>
  <si>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</si>
  <si>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</si>
  <si>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</si>
  <si>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</si>
  <si>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</si>
  <si>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</si>
  <si>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</si>
  <si>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</si>
  <si>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</si>
  <si>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</si>
  <si>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</si>
  <si>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</si>
  <si>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</si>
  <si>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</si>
  <si>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</si>
  <si>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</si>
  <si>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</si>
  <si>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</si>
  <si>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</si>
  <si>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</si>
  <si>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</si>
  <si>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</si>
  <si>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</si>
  <si>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</si>
  <si>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</si>
  <si>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</si>
  <si>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</si>
  <si>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</si>
  <si>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</si>
  <si>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</si>
  <si>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</si>
  <si>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</si>
  <si>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</si>
  <si>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</si>
  <si>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</si>
  <si>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</si>
  <si>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</si>
  <si>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</si>
  <si>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</si>
  <si>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</si>
  <si>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</si>
  <si>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</si>
  <si>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</si>
  <si>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</si>
  <si>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</si>
  <si>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</si>
  <si>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</si>
  <si>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</si>
  <si>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</si>
  <si>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</si>
  <si>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</si>
  <si>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</si>
  <si>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</si>
  <si>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</si>
  <si>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</si>
  <si>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</si>
  <si>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</si>
  <si>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</si>
  <si>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</si>
  <si>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</si>
  <si>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</si>
  <si>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</si>
  <si>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</si>
  <si>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</si>
  <si>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</si>
  <si>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</si>
  <si>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</si>
  <si>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</si>
  <si>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</si>
  <si>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</si>
  <si>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</si>
  <si>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</si>
  <si>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</si>
  <si>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</si>
  <si>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</si>
  <si>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</si>
  <si>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</si>
  <si>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</si>
  <si>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</si>
  <si>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</si>
  <si>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</si>
  <si>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</si>
  <si>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</si>
  <si>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</si>
  <si>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</si>
  <si>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</si>
  <si>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</si>
  <si>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</si>
  <si>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</si>
  <si>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</si>
  <si>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</si>
  <si>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</si>
  <si>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</si>
  <si>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</si>
  <si>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</si>
  <si>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</si>
  <si>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</si>
  <si>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</si>
  <si>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</si>
  <si>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</si>
  <si>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</si>
  <si>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</si>
  <si>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</si>
  <si>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</si>
  <si>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</si>
  <si>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</si>
  <si>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</si>
  <si>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</si>
  <si>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</si>
  <si>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</si>
  <si>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</si>
  <si>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</si>
  <si>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</si>
  <si>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</si>
  <si>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</si>
  <si>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</si>
  <si>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</si>
  <si>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</si>
  <si>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</si>
  <si>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</si>
  <si>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</si>
  <si>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</si>
  <si>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</si>
  <si>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</si>
  <si>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</si>
  <si>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</si>
  <si>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</si>
  <si>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</si>
  <si>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</si>
  <si>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</si>
  <si>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</si>
  <si>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</si>
  <si>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</si>
  <si>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</si>
  <si>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</si>
  <si>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</si>
  <si>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</si>
  <si>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</si>
  <si>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</si>
  <si>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</si>
  <si>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</si>
  <si>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</si>
  <si>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</si>
  <si>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</si>
  <si>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</si>
  <si>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</si>
  <si>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</si>
  <si>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</si>
  <si>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</si>
  <si>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</si>
  <si>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</si>
  <si>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</si>
  <si>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</si>
  <si>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</si>
  <si>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</si>
  <si>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</si>
  <si>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</si>
  <si>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</si>
  <si>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</si>
  <si>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</si>
  <si>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</si>
  <si>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</si>
  <si>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</si>
  <si>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</si>
  <si>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</si>
  <si>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</si>
  <si>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</si>
  <si>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</si>
  <si>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</si>
  <si>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</si>
  <si>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</si>
  <si>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</si>
  <si>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</si>
  <si>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</si>
  <si>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</si>
  <si>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</si>
  <si>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</si>
  <si>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</si>
  <si>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</si>
  <si>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</si>
  <si>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</si>
  <si>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</si>
  <si>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</si>
  <si>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</si>
  <si>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</si>
  <si>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</si>
  <si>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</si>
  <si>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</si>
  <si>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</si>
  <si>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</si>
  <si>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</si>
  <si>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</si>
  <si>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</si>
  <si>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</si>
  <si>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</si>
  <si>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</si>
  <si>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</si>
  <si>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</si>
  <si>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</si>
  <si>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</si>
  <si>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</si>
  <si>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</si>
  <si>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</si>
  <si>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</si>
  <si>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</si>
  <si>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</si>
  <si>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</si>
  <si>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</si>
  <si>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</si>
  <si>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</si>
  <si>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</si>
  <si>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</si>
  <si>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</si>
  <si>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</si>
  <si>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</si>
  <si>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</si>
  <si>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</si>
  <si>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</si>
  <si>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</si>
  <si>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</si>
  <si>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</si>
  <si>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</si>
  <si>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</si>
  <si>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</si>
  <si>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</si>
  <si>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</si>
  <si>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</si>
  <si>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</si>
  <si>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</si>
  <si>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</si>
  <si>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</si>
  <si>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</si>
  <si>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</si>
  <si>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</si>
  <si>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</si>
  <si>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</si>
  <si>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</si>
  <si>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</si>
  <si>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</si>
  <si>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</si>
  <si>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</si>
  <si>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</si>
  <si>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</si>
  <si>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</si>
  <si>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</si>
  <si>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</si>
  <si>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</si>
  <si>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</si>
  <si>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</si>
  <si>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</si>
  <si>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</si>
  <si>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</si>
  <si>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</si>
  <si>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</si>
  <si>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</si>
  <si>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</si>
  <si>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</si>
  <si>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</si>
  <si>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</si>
  <si>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</si>
  <si>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</si>
  <si>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</si>
  <si>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</si>
  <si>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</si>
  <si>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</si>
  <si>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</si>
  <si>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</si>
  <si>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</si>
  <si>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</si>
  <si>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</si>
  <si>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</si>
  <si>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</si>
  <si>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</si>
  <si>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</si>
  <si>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</si>
  <si>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</si>
  <si>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</si>
  <si>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</si>
  <si>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</si>
  <si>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</si>
  <si>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</si>
  <si>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</si>
  <si>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</si>
  <si>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</si>
  <si>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</si>
  <si>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</si>
  <si>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</si>
  <si>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</si>
  <si>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</si>
  <si>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</si>
  <si>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</si>
  <si>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</si>
  <si>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</si>
  <si>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</si>
  <si>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</si>
  <si>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</si>
  <si>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</si>
  <si>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</si>
  <si>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</si>
  <si>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</si>
  <si>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</si>
  <si>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</si>
  <si>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</si>
  <si>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</si>
  <si>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</si>
  <si>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</si>
  <si>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</si>
  <si>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</si>
  <si>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</si>
  <si>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</si>
  <si>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</si>
  <si>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</si>
  <si>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</si>
  <si>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</si>
  <si>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</si>
  <si>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</si>
  <si>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</si>
  <si>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</si>
  <si>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</si>
  <si>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</si>
  <si>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</si>
  <si>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</si>
  <si>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</si>
  <si>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</si>
  <si>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</si>
  <si>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</si>
  <si>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</si>
  <si>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</si>
  <si>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</si>
  <si>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</si>
  <si>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</si>
  <si>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</si>
  <si>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</si>
  <si>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</si>
  <si>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</si>
  <si>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</si>
  <si>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</si>
  <si>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</si>
  <si>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</si>
  <si>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</si>
  <si>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</si>
  <si>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</si>
  <si>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</si>
  <si>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</si>
  <si>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</si>
  <si>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</si>
  <si>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</si>
  <si>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</si>
  <si>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</si>
  <si>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</si>
  <si>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</si>
  <si>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</si>
  <si>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</si>
  <si>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</si>
  <si>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</si>
  <si>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</si>
  <si>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</si>
  <si>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</si>
  <si>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</si>
  <si>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</si>
  <si>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</si>
  <si>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</si>
  <si>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</si>
  <si>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</si>
  <si>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</si>
  <si>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</si>
  <si>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</si>
  <si>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</si>
  <si>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</si>
  <si>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</si>
  <si>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</si>
  <si>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</si>
  <si>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</si>
  <si>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</si>
  <si>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</si>
  <si>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</si>
  <si>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</si>
  <si>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</si>
  <si>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</si>
  <si>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</si>
  <si>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</si>
  <si>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</si>
  <si>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</si>
  <si>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</si>
  <si>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</si>
  <si>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</si>
  <si>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</si>
  <si>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</si>
  <si>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</si>
  <si>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</si>
  <si>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</si>
  <si>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</si>
  <si>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</si>
  <si>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</si>
  <si>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</si>
  <si>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</si>
  <si>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</si>
  <si>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</si>
  <si>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</si>
  <si>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</si>
  <si>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</si>
  <si>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</si>
  <si>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</si>
  <si>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</si>
  <si>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</si>
  <si>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</si>
  <si>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</si>
  <si>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</si>
  <si>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</si>
  <si>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</si>
  <si>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</si>
  <si>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</si>
  <si>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</si>
  <si>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</si>
  <si>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</si>
  <si>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</si>
  <si>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</si>
  <si>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</si>
  <si>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</si>
  <si>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</si>
  <si>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</si>
  <si>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</si>
  <si>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</si>
  <si>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</si>
  <si>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</si>
  <si>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</si>
  <si>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</si>
  <si>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</si>
  <si>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</si>
  <si>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</si>
  <si>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</si>
  <si>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</si>
  <si>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</si>
  <si>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</si>
  <si>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</si>
  <si>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</si>
  <si>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</si>
  <si>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</si>
  <si>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</si>
  <si>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</si>
  <si>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</si>
  <si>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</si>
  <si>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</si>
  <si>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</si>
  <si>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</si>
  <si>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</si>
  <si>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</si>
  <si>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</si>
  <si>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</si>
  <si>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</si>
  <si>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</si>
  <si>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</si>
  <si>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</si>
  <si>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</si>
  <si>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</si>
  <si>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</si>
  <si>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</si>
  <si>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</si>
  <si>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</si>
  <si>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</si>
  <si>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</si>
  <si>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</si>
  <si>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</si>
  <si>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</si>
  <si>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</si>
  <si>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</si>
  <si>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</si>
  <si>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</si>
  <si>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</si>
  <si>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</si>
  <si>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</si>
  <si>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</si>
  <si>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</si>
  <si>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</si>
  <si>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</si>
  <si>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</si>
  <si>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</si>
  <si>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</si>
  <si>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</si>
  <si>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</si>
  <si>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</si>
  <si>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</si>
  <si>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</si>
  <si>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</si>
  <si>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</si>
  <si>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</si>
  <si>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</si>
  <si>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</si>
  <si>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</si>
  <si>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</si>
  <si>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</si>
  <si>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</si>
  <si>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</si>
  <si>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</si>
  <si>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</si>
  <si>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</si>
  <si>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</si>
  <si>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</si>
  <si>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</si>
  <si>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</si>
  <si>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</si>
  <si>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</si>
  <si>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</si>
  <si>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</si>
  <si>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</si>
  <si>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</si>
  <si>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</si>
  <si>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</si>
  <si>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</si>
  <si>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</si>
  <si>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</si>
  <si>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</si>
  <si>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</si>
  <si>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</si>
  <si>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</si>
  <si>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</si>
  <si>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</si>
  <si>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</si>
  <si>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</si>
  <si>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</si>
  <si>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</si>
  <si>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</si>
  <si>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</si>
  <si>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</si>
  <si>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</si>
  <si>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</si>
  <si>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</si>
  <si>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</si>
  <si>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</si>
  <si>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</si>
  <si>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</si>
  <si>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</si>
  <si>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</si>
  <si>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</si>
  <si>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</si>
  <si>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</si>
  <si>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</si>
  <si>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</si>
  <si>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</si>
  <si>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</si>
  <si>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</si>
  <si>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</si>
  <si>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</si>
  <si>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</si>
  <si>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</si>
  <si>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</si>
  <si>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</si>
  <si>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</si>
  <si>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</si>
  <si>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</si>
  <si>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</si>
  <si>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</si>
  <si>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</si>
  <si>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</si>
  <si>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</si>
  <si>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</si>
  <si>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</si>
  <si>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</si>
  <si>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</si>
  <si>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</si>
  <si>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</si>
  <si>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</si>
  <si>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</si>
  <si>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</si>
  <si>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</si>
  <si>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</si>
  <si>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</si>
  <si>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</si>
  <si>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</si>
  <si>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</si>
  <si>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</si>
  <si>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</si>
  <si>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</si>
  <si>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</si>
  <si>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</si>
  <si>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</si>
  <si>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</si>
  <si>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</si>
  <si>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</si>
  <si>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</si>
  <si>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</si>
  <si>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</si>
  <si>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</si>
  <si>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</si>
  <si>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</si>
  <si>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</si>
  <si>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</si>
  <si>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</si>
  <si>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</si>
  <si>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</si>
  <si>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</si>
  <si>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</si>
  <si>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</si>
  <si>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</si>
  <si>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</si>
  <si>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</si>
  <si>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</si>
  <si>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</si>
  <si>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</si>
  <si>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</si>
  <si>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</si>
  <si>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</si>
  <si>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</si>
  <si>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</si>
  <si>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</si>
  <si>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</si>
  <si>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</si>
  <si>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</si>
  <si>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</si>
  <si>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</si>
  <si>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</si>
  <si>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</si>
  <si>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</si>
  <si>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</si>
  <si>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</si>
  <si>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</si>
  <si>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</si>
  <si>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</si>
  <si>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</si>
  <si>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</si>
  <si>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</si>
  <si>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</si>
  <si>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</si>
  <si>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</si>
  <si>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</si>
  <si>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</si>
  <si>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</si>
  <si>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</si>
  <si>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</si>
  <si>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</si>
  <si>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</si>
  <si>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</si>
  <si>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</si>
  <si>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</si>
  <si>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</si>
  <si>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</si>
  <si>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</si>
  <si>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</si>
  <si>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</si>
  <si>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</si>
  <si>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</si>
  <si>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</si>
  <si>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</si>
  <si>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</si>
  <si>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</si>
  <si>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</si>
  <si>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</si>
  <si>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</si>
  <si>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</si>
  <si>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</si>
  <si>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</si>
  <si>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</si>
  <si>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</si>
  <si>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</si>
  <si>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</si>
  <si>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</si>
  <si>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</si>
  <si>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</si>
  <si>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</si>
  <si>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</si>
  <si>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</si>
  <si>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</si>
  <si>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</si>
  <si>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</si>
  <si>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</si>
  <si>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</si>
  <si>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</si>
  <si>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</si>
  <si>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</si>
  <si>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</si>
  <si>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</si>
  <si>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</si>
  <si>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</si>
  <si>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</si>
  <si>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</si>
  <si>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</si>
  <si>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</si>
  <si>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</si>
  <si>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</si>
  <si>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</si>
  <si>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</si>
  <si>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</si>
  <si>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</si>
  <si>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</si>
  <si>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</si>
  <si>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</si>
  <si>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</si>
  <si>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</si>
  <si>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</si>
  <si>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</si>
  <si>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</si>
  <si>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</si>
  <si>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</si>
  <si>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</si>
  <si>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</si>
  <si>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</si>
  <si>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</si>
  <si>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</si>
  <si>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</si>
  <si>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</si>
  <si>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</si>
  <si>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</si>
  <si>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</si>
  <si>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</si>
  <si>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</si>
  <si>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</si>
  <si>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</si>
  <si>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</si>
  <si>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</si>
  <si>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</si>
  <si>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</si>
  <si>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</si>
  <si>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</si>
  <si>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</si>
  <si>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</si>
  <si>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</si>
  <si>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</si>
  <si>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</si>
  <si>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</si>
  <si>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</si>
  <si>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</si>
  <si>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</si>
  <si>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</si>
  <si>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</si>
  <si>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</si>
  <si>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</si>
  <si>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</si>
  <si>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</si>
  <si>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</si>
  <si>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</si>
  <si>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</si>
  <si>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</si>
  <si>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</si>
  <si>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</si>
  <si>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</si>
  <si>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</si>
  <si>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</si>
  <si>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</si>
  <si>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</si>
  <si>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</si>
  <si>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</si>
  <si>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</si>
  <si>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</si>
  <si>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</si>
  <si>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</si>
  <si>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</si>
  <si>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</si>
  <si>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</si>
  <si>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</si>
  <si>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</si>
  <si>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</si>
  <si>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</si>
  <si>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</si>
  <si>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</si>
  <si>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</si>
  <si>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</si>
  <si>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</si>
  <si>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</si>
  <si>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</si>
  <si>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</si>
  <si>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</si>
  <si>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</si>
  <si>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</si>
  <si>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</si>
  <si>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</si>
  <si>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</si>
  <si>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</si>
  <si>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</si>
  <si>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</si>
  <si>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</si>
  <si>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</si>
  <si>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</si>
  <si>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</si>
  <si>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</si>
  <si>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</si>
  <si>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</si>
  <si>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</si>
  <si>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</si>
  <si>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</si>
  <si>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</si>
  <si>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</si>
  <si>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</si>
  <si>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</si>
  <si>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</si>
  <si>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</si>
  <si>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</si>
  <si>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</si>
  <si>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</si>
  <si>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</si>
  <si>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</si>
  <si>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</si>
  <si>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</si>
  <si>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</si>
  <si>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</si>
  <si>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</si>
  <si>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</si>
  <si>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</si>
  <si>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</si>
  <si>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</si>
  <si>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</si>
  <si>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</si>
  <si>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</si>
  <si>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</si>
  <si>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</si>
  <si>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</si>
  <si>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</si>
  <si>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</si>
  <si>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</si>
  <si>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</si>
  <si>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</si>
  <si>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</si>
  <si>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</si>
  <si>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</si>
  <si>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</si>
  <si>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</si>
  <si>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</si>
  <si>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</si>
  <si>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</si>
  <si>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</si>
  <si>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</si>
  <si>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</si>
  <si>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</si>
  <si>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</si>
  <si>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</si>
  <si>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</si>
  <si>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</si>
  <si>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</si>
  <si>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</si>
  <si>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</si>
  <si>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</si>
  <si>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</si>
  <si>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</si>
  <si>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</si>
  <si>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</si>
  <si>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</si>
  <si>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</si>
  <si>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</si>
  <si>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</si>
  <si>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</si>
  <si>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</si>
  <si>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</si>
  <si>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</si>
  <si>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</si>
  <si>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</si>
  <si>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</si>
  <si>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</si>
  <si>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</si>
  <si>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</si>
  <si>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</si>
  <si>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</si>
  <si>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</si>
  <si>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</si>
  <si>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</si>
  <si>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</si>
  <si>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</si>
  <si>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</si>
  <si>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</si>
  <si>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</si>
  <si>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</si>
  <si>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</si>
  <si>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</si>
  <si>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</si>
  <si>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</si>
  <si>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</si>
  <si>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</si>
  <si>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</si>
  <si>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</si>
  <si>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</si>
  <si>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</si>
  <si>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</si>
  <si>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</si>
  <si>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</si>
  <si>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</si>
  <si>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</si>
  <si>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</si>
  <si>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</si>
  <si>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</si>
  <si>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</si>
  <si>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</si>
  <si>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</si>
  <si>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</si>
  <si>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</si>
  <si>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</si>
  <si>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</si>
  <si>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</si>
  <si>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</si>
  <si>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</si>
  <si>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</si>
  <si>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</si>
  <si>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</si>
  <si>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</si>
  <si>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</si>
  <si>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</si>
  <si>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</si>
  <si>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</si>
  <si>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</si>
  <si>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</si>
  <si>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</si>
  <si>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</si>
  <si>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</si>
  <si>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</si>
  <si>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</si>
  <si>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</si>
  <si>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</si>
  <si>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</si>
  <si>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</si>
  <si>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</si>
  <si>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</si>
  <si>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</si>
  <si>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</si>
  <si>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</si>
  <si>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</si>
  <si>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</si>
  <si>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</si>
  <si>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</si>
  <si>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</si>
  <si>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</si>
  <si>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</si>
  <si>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</si>
  <si>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</si>
  <si>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</si>
  <si>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</si>
  <si>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</si>
  <si>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</si>
  <si>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</si>
  <si>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</si>
  <si>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</si>
  <si>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</si>
  <si>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</si>
  <si>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</si>
  <si>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</si>
  <si>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</si>
  <si>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</si>
  <si>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</si>
  <si>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</si>
  <si>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</si>
  <si>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</si>
  <si>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</si>
  <si>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</si>
  <si>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</si>
  <si>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</si>
  <si>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</si>
  <si>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</si>
  <si>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</si>
  <si>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</si>
  <si>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</si>
  <si>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</si>
  <si>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</si>
  <si>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</si>
  <si>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</si>
  <si>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</si>
  <si>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</si>
  <si>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</si>
  <si>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</si>
  <si>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</si>
  <si>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</si>
  <si>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</si>
  <si>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</si>
  <si>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</si>
  <si>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</si>
  <si>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</si>
  <si>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</si>
  <si>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</si>
  <si>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</si>
  <si>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</si>
  <si>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</si>
  <si>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</si>
  <si>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</si>
  <si>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</si>
  <si>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</si>
  <si>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</si>
  <si>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</si>
  <si>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</si>
  <si>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</si>
  <si>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</si>
  <si>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</si>
  <si>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</si>
  <si>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</si>
  <si>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</si>
  <si>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</si>
  <si>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</si>
  <si>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</si>
  <si>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</si>
  <si>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</si>
  <si>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</si>
  <si>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</si>
  <si>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</si>
  <si>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</si>
  <si>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</si>
  <si>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</si>
  <si>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</si>
  <si>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</si>
  <si>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</si>
  <si>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</si>
  <si>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</si>
  <si>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</si>
  <si>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</si>
  <si>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</si>
  <si>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</si>
  <si>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</si>
  <si>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</si>
  <si>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</si>
  <si>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</si>
  <si>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</si>
  <si>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</si>
  <si>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</si>
  <si>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</si>
  <si>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</si>
  <si>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</si>
  <si>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</si>
  <si>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</si>
  <si>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</si>
  <si>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</si>
  <si>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</si>
  <si>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</si>
  <si>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</si>
  <si>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</si>
  <si>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</si>
  <si>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</si>
  <si>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</si>
  <si>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</si>
  <si>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</si>
  <si>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</si>
  <si>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</si>
  <si>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</si>
  <si>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</si>
  <si>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</si>
  <si>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</si>
  <si>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</si>
  <si>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</si>
  <si>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</si>
  <si>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</si>
  <si>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</si>
  <si>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</si>
  <si>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</si>
  <si>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</si>
  <si>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</si>
  <si>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</si>
  <si>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</si>
  <si>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</si>
  <si>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</si>
  <si>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</si>
  <si>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</si>
  <si>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</si>
  <si>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</si>
  <si>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</si>
  <si>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</si>
  <si>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</si>
  <si>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</si>
  <si>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</si>
  <si>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</si>
  <si>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</si>
  <si>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</si>
  <si>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</si>
  <si>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</si>
  <si>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</si>
  <si>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</si>
  <si>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</si>
  <si>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</si>
  <si>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</si>
  <si>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</si>
  <si>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</si>
  <si>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</si>
  <si>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</si>
  <si>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</si>
  <si>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</si>
  <si>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</si>
  <si>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</si>
  <si>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</si>
  <si>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</si>
  <si>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</si>
  <si>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</si>
  <si>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</si>
  <si>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</si>
  <si>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</si>
  <si>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</si>
  <si>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</si>
  <si>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</si>
  <si>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</si>
  <si>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</si>
  <si>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</si>
  <si>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</si>
  <si>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</si>
  <si>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</si>
  <si>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</si>
  <si>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</si>
  <si>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</si>
  <si>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</si>
  <si>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</si>
  <si>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</si>
  <si>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</si>
  <si>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</si>
  <si>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</si>
  <si>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</si>
  <si>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</si>
  <si>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</si>
  <si>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</si>
  <si>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</si>
  <si>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</si>
  <si>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</si>
  <si>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</si>
  <si>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</si>
  <si>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</si>
  <si>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</si>
  <si>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</si>
  <si>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</si>
  <si>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</si>
  <si>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</si>
  <si>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</si>
  <si>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</si>
  <si>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</si>
  <si>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</si>
  <si>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</si>
  <si>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</si>
  <si>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</si>
  <si>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</si>
  <si>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</si>
  <si>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</si>
  <si>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</si>
  <si>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</si>
  <si>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</si>
  <si>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</si>
  <si>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</si>
  <si>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</si>
  <si>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</si>
  <si>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</si>
  <si>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</si>
  <si>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</si>
  <si>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</si>
  <si>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</si>
  <si>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</si>
  <si>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</si>
  <si>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</si>
  <si>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</si>
  <si>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</si>
  <si>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</si>
  <si>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</si>
  <si>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</si>
  <si>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</si>
  <si>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</si>
  <si>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</si>
  <si>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</si>
  <si>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</si>
  <si>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</si>
  <si>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</si>
  <si>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</si>
  <si>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</si>
  <si>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</si>
  <si>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</si>
  <si>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</si>
  <si>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</si>
  <si>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</si>
  <si>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</si>
  <si>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</si>
  <si>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</si>
  <si>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</si>
  <si>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</si>
  <si>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</si>
  <si>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</si>
  <si>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</si>
  <si>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</si>
  <si>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</si>
  <si>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</si>
  <si>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</si>
  <si>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</si>
  <si>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</si>
  <si>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</si>
  <si>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</si>
  <si>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</si>
  <si>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</si>
  <si>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</si>
  <si>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</si>
  <si>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</si>
  <si>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</si>
  <si>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</si>
  <si>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</si>
  <si>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</si>
  <si>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</si>
  <si>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</si>
  <si>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</si>
  <si>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</si>
  <si>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</si>
  <si>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</si>
  <si>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</si>
  <si>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</si>
  <si>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</si>
  <si>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</si>
  <si>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</si>
  <si>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</si>
  <si>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</si>
  <si>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</si>
  <si>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</si>
  <si>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</si>
  <si>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</si>
  <si>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</si>
  <si>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</si>
  <si>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</si>
  <si>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</si>
  <si>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</si>
  <si>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</si>
  <si>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</si>
  <si>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</si>
  <si>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</si>
  <si>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</si>
  <si>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</si>
  <si>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</si>
  <si>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</si>
  <si>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</si>
  <si>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</si>
  <si>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</si>
  <si>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</si>
  <si>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</si>
  <si>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</si>
  <si>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</si>
  <si>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</si>
  <si>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</si>
  <si>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</si>
  <si>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</si>
  <si>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</si>
  <si>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</si>
  <si>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</si>
  <si>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</si>
  <si>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</si>
  <si>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</si>
  <si>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</si>
  <si>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</si>
  <si>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</si>
  <si>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</si>
  <si>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</si>
  <si>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</si>
  <si>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</si>
  <si>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</si>
  <si>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</si>
  <si>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</si>
  <si>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</si>
  <si>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</si>
  <si>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</si>
  <si>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</si>
  <si>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</si>
  <si>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</si>
  <si>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</si>
  <si>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</si>
  <si>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</si>
  <si>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</si>
  <si>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</si>
  <si>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</si>
  <si>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</si>
  <si>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</si>
  <si>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</si>
  <si>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</si>
  <si>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</si>
  <si>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</si>
  <si>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</si>
  <si>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</si>
  <si>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</si>
  <si>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</si>
  <si>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</si>
  <si>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</si>
  <si>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</si>
  <si>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</si>
  <si>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</si>
  <si>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</si>
  <si>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</si>
  <si>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</si>
  <si>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</si>
  <si>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</si>
  <si>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</si>
  <si>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</si>
  <si>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</si>
  <si>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</si>
  <si>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</si>
  <si>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</si>
  <si>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</si>
  <si>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</si>
  <si>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</si>
  <si>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</si>
  <si>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</si>
  <si>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</si>
  <si>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</si>
  <si>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</si>
  <si>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</si>
  <si>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</si>
  <si>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</si>
  <si>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</si>
  <si>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</si>
  <si>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</si>
  <si>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</si>
  <si>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</si>
  <si>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</si>
  <si>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</si>
  <si>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</si>
  <si>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</si>
  <si>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</si>
  <si>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</si>
  <si>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</si>
  <si>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</si>
  <si>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</si>
  <si>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</si>
  <si>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</si>
  <si>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</si>
  <si>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</si>
  <si>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</si>
  <si>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</si>
  <si>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</si>
  <si>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</si>
  <si>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</si>
  <si>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</si>
  <si>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</si>
  <si>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</si>
  <si>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</si>
  <si>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</si>
  <si>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</si>
  <si>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</si>
  <si>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</si>
  <si>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</si>
  <si>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</si>
  <si>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</si>
  <si>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</si>
  <si>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</si>
  <si>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</si>
  <si>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</si>
  <si>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</si>
  <si>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</si>
  <si>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</si>
  <si>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</si>
  <si>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</si>
  <si>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</si>
  <si>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</si>
  <si>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</si>
  <si>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</si>
  <si>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</si>
  <si>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</si>
  <si>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</si>
  <si>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</si>
  <si>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</si>
  <si>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</si>
  <si>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</si>
  <si>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</si>
  <si>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</si>
  <si>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</si>
  <si>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</si>
  <si>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</si>
  <si>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</si>
  <si>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</si>
  <si>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</si>
  <si>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</si>
  <si>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</si>
  <si>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</si>
  <si>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</si>
  <si>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</si>
  <si>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</si>
  <si>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</si>
  <si>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</si>
  <si>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</si>
  <si>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</si>
  <si>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</si>
  <si>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</si>
  <si>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</si>
  <si>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</si>
  <si>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</si>
  <si>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</si>
  <si>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</si>
  <si>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</si>
  <si>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</si>
  <si>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</si>
  <si>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</si>
  <si>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</si>
  <si>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</si>
  <si>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</si>
  <si>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</si>
  <si>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</si>
  <si>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</si>
  <si>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</si>
  <si>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</si>
  <si>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</si>
  <si>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</si>
  <si>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</si>
  <si>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</si>
  <si>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</si>
  <si>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</si>
  <si>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</si>
  <si>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</si>
  <si>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</si>
  <si>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</si>
  <si>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</si>
  <si>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</si>
  <si>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</si>
  <si>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</si>
  <si>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</si>
  <si>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</si>
  <si>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</si>
  <si>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</si>
  <si>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</si>
  <si>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</si>
  <si>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</si>
  <si>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</si>
  <si>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</si>
  <si>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</si>
  <si>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</si>
  <si>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</si>
  <si>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</si>
  <si>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</si>
  <si>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</si>
  <si>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</si>
  <si>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</si>
  <si>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</si>
  <si>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</si>
  <si>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</si>
  <si>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</si>
  <si>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</si>
  <si>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</si>
  <si>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</si>
  <si>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</si>
  <si>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</si>
  <si>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</si>
  <si>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</si>
  <si>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</si>
  <si>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</si>
  <si>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</si>
  <si>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</si>
  <si>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</si>
  <si>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</si>
  <si>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</si>
  <si>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</si>
  <si>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</si>
  <si>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</si>
  <si>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</si>
  <si>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</si>
  <si>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</si>
  <si>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</si>
  <si>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</si>
  <si>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</si>
  <si>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</si>
  <si>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</si>
  <si>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</si>
  <si>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</si>
  <si>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</si>
  <si>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</si>
  <si>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</si>
  <si>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</si>
  <si>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</si>
  <si>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</si>
  <si>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</si>
  <si>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</si>
  <si>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</si>
  <si>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</si>
  <si>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</si>
  <si>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</si>
  <si>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</si>
  <si>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</si>
  <si>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</si>
  <si>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</si>
  <si>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</si>
  <si>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</si>
  <si>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</si>
  <si>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</si>
  <si>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</si>
  <si>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</si>
  <si>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</si>
  <si>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</si>
  <si>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</si>
  <si>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</si>
  <si>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</si>
  <si>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</si>
  <si>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</si>
  <si>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</si>
  <si>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</si>
  <si>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</si>
  <si>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</si>
  <si>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</si>
  <si>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</si>
  <si>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</si>
  <si>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</si>
  <si>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</si>
  <si>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</si>
  <si>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</si>
  <si>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</si>
  <si>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</si>
  <si>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</si>
  <si>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</si>
  <si>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</si>
  <si>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</si>
  <si>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</si>
  <si>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</si>
  <si>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</si>
  <si>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</si>
  <si>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</si>
  <si>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</si>
  <si>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</si>
  <si>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</si>
  <si>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</si>
  <si>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</si>
  <si>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</si>
  <si>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</si>
  <si>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</si>
  <si>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</si>
  <si>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</si>
  <si>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</si>
  <si>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</si>
  <si>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</si>
  <si>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</si>
  <si>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</si>
  <si>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</si>
  <si>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</si>
  <si>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</si>
  <si>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</si>
  <si>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</si>
  <si>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</si>
  <si>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</si>
  <si>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</si>
  <si>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</si>
  <si>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</si>
  <si>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</si>
  <si>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</si>
  <si>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</si>
  <si>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</si>
  <si>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</si>
  <si>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</si>
  <si>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</si>
  <si>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</si>
  <si>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</si>
  <si>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</si>
  <si>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</si>
  <si>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</si>
  <si>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</si>
  <si>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</si>
  <si>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</si>
  <si>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</si>
  <si>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</si>
  <si>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</si>
  <si>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</si>
  <si>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</si>
  <si>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</si>
  <si>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</si>
  <si>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</si>
  <si>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</si>
  <si>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</si>
  <si>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</si>
  <si>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</si>
  <si>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</si>
  <si>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</si>
  <si>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</si>
  <si>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</si>
  <si>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</si>
  <si>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</si>
  <si>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</si>
  <si>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</si>
  <si>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</si>
  <si>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</si>
  <si>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</si>
  <si>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</si>
  <si>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</si>
  <si>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</si>
  <si>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</si>
  <si>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</si>
  <si>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</si>
  <si>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</si>
  <si>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</si>
  <si>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</si>
  <si>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</si>
  <si>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</si>
  <si>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</si>
  <si>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</si>
  <si>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</si>
  <si>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</si>
  <si>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</si>
  <si>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</si>
  <si>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</si>
  <si>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</si>
  <si>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</si>
  <si>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</si>
  <si>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</si>
  <si>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</si>
  <si>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</si>
  <si>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</si>
  <si>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</si>
  <si>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</si>
  <si>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</si>
  <si>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</si>
  <si>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</si>
  <si>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</si>
  <si>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</si>
  <si>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</si>
  <si>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</si>
  <si>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</si>
  <si>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</si>
  <si>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</si>
  <si>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</si>
  <si>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</si>
  <si>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</si>
  <si>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</si>
  <si>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</si>
  <si>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</si>
  <si>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</si>
  <si>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</si>
  <si>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</si>
  <si>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</si>
  <si>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</si>
  <si>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</si>
  <si>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</si>
  <si>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</si>
  <si>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</si>
  <si>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</si>
  <si>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</si>
  <si>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</si>
  <si>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</si>
  <si>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</si>
  <si>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</si>
  <si>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</si>
  <si>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</si>
  <si>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</si>
  <si>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</si>
  <si>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</si>
  <si>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</si>
  <si>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</si>
  <si>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</si>
  <si>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</si>
  <si>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</si>
  <si>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</si>
  <si>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</si>
  <si>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</si>
  <si>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</si>
  <si>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</si>
  <si>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</si>
  <si>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</si>
  <si>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</si>
  <si>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</si>
  <si>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</si>
  <si>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</si>
  <si>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</si>
  <si>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</si>
  <si>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</si>
  <si>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</si>
  <si>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</si>
  <si>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</si>
  <si>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</si>
  <si>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</si>
  <si>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</si>
  <si>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</si>
  <si>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</si>
  <si>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</si>
  <si>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</si>
  <si>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</si>
  <si>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</si>
  <si>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</si>
  <si>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</si>
  <si>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</si>
  <si>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</si>
  <si>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</si>
  <si>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</si>
  <si>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</si>
  <si>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</si>
  <si>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</si>
  <si>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</si>
  <si>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</si>
  <si>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</si>
  <si>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</si>
  <si>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</si>
  <si>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</si>
  <si>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</si>
  <si>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</si>
  <si>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</si>
  <si>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</si>
  <si>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</si>
  <si>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</si>
  <si>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</si>
  <si>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</si>
  <si>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</si>
  <si>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</si>
  <si>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</si>
  <si>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</si>
  <si>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</si>
  <si>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</si>
  <si>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</si>
  <si>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</si>
  <si>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</si>
  <si>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</si>
  <si>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</si>
  <si>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</si>
  <si>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</si>
  <si>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</si>
  <si>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</si>
  <si>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</si>
  <si>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</si>
  <si>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</si>
  <si>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</si>
  <si>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</si>
  <si>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</si>
  <si>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</si>
  <si>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</si>
  <si>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</si>
  <si>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</si>
  <si>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</si>
  <si>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</si>
  <si>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</si>
  <si>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</si>
  <si>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</si>
  <si>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</si>
  <si>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</si>
  <si>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</si>
  <si>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</si>
  <si>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</si>
  <si>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</si>
  <si>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</si>
  <si>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</si>
  <si>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</si>
  <si>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</si>
  <si>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</si>
  <si>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</si>
  <si>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</si>
  <si>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</si>
  <si>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</si>
  <si>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</si>
  <si>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</si>
  <si>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</si>
  <si>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</si>
  <si>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</si>
  <si>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</si>
  <si>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</si>
  <si>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</si>
  <si>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</si>
  <si>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</si>
  <si>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</si>
  <si>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</si>
  <si>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</si>
  <si>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</si>
  <si>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</si>
  <si>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</si>
  <si>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</si>
  <si>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</si>
  <si>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</si>
  <si>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</si>
  <si>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</si>
  <si>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</si>
  <si>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</si>
  <si>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</si>
  <si>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</si>
  <si>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</si>
  <si>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</si>
  <si>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</si>
  <si>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</si>
  <si>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</si>
  <si>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</si>
  <si>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</si>
  <si>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</si>
  <si>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</si>
  <si>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</si>
  <si>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</si>
  <si>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</si>
  <si>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</si>
  <si>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</si>
  <si>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</si>
  <si>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</si>
  <si>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</si>
  <si>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</si>
  <si>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</si>
  <si>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</si>
  <si>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</si>
  <si>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</si>
  <si>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</si>
  <si>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</si>
  <si>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</si>
  <si>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</si>
  <si>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</si>
  <si>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</si>
  <si>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</si>
  <si>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</si>
  <si>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</si>
  <si>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</si>
  <si>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</si>
  <si>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</si>
  <si>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</si>
  <si>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</si>
  <si>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</si>
  <si>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</si>
  <si>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</si>
  <si>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</si>
  <si>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</si>
  <si>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</si>
  <si>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</si>
  <si>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</si>
  <si>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</si>
  <si>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</si>
  <si>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</si>
  <si>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</si>
  <si>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</si>
  <si>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</si>
  <si>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</si>
  <si>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</si>
  <si>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</si>
  <si>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</si>
  <si>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</si>
  <si>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</si>
  <si>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</si>
  <si>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</si>
  <si>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</si>
  <si>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</si>
  <si>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</si>
  <si>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</si>
  <si>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</si>
  <si>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</si>
  <si>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</si>
  <si>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</si>
  <si>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</si>
  <si>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</si>
  <si>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</si>
  <si>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</si>
  <si>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</si>
  <si>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</si>
  <si>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</si>
  <si>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</si>
  <si>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</si>
  <si>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</si>
  <si>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</si>
  <si>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</si>
  <si>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</si>
  <si>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</si>
  <si>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</si>
  <si>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</si>
  <si>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</si>
  <si>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</si>
  <si>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</si>
  <si>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</si>
  <si>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</si>
  <si>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</si>
  <si>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</si>
  <si>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</si>
  <si>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</si>
  <si>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</si>
  <si>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</si>
  <si>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</si>
  <si>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</si>
  <si>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</si>
  <si>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</si>
  <si>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</si>
  <si>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</si>
  <si>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</si>
  <si>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</si>
  <si>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</si>
  <si>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</si>
  <si>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</si>
  <si>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</si>
  <si>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</si>
  <si>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</si>
  <si>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</si>
  <si>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</si>
  <si>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</si>
  <si>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</si>
  <si>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</si>
  <si>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</si>
  <si>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</si>
  <si>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</si>
  <si>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</si>
  <si>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</si>
  <si>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</si>
  <si>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</si>
  <si>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</si>
  <si>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</si>
  <si>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</si>
  <si>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</si>
  <si>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</si>
  <si>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</si>
  <si>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</si>
  <si>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</si>
  <si>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</si>
  <si>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</si>
  <si>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</si>
  <si>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</si>
  <si>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</si>
  <si>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</si>
  <si>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</si>
  <si>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</si>
  <si>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</si>
  <si>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</si>
  <si>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</si>
  <si>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</si>
  <si>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</si>
  <si>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</si>
  <si>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</si>
  <si>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</si>
  <si>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</si>
  <si>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</si>
  <si>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</si>
  <si>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</si>
  <si>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</si>
  <si>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</si>
  <si>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</si>
  <si>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</si>
  <si>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</si>
  <si>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</si>
  <si>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</si>
  <si>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</si>
  <si>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</si>
  <si>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</si>
  <si>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</si>
  <si>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</si>
  <si>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</si>
  <si>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</si>
  <si>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</si>
  <si>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</si>
  <si>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</si>
  <si>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</si>
  <si>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</si>
  <si>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</si>
  <si>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</si>
  <si>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</si>
  <si>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</si>
  <si>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</si>
  <si>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</si>
  <si>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</si>
  <si>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</si>
  <si>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</si>
  <si>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</si>
  <si>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</si>
  <si>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</si>
  <si>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</si>
  <si>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</si>
  <si>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</si>
  <si>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</si>
  <si>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</si>
  <si>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</si>
  <si>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</si>
  <si>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</si>
  <si>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</si>
  <si>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</si>
  <si>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</si>
  <si>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</si>
  <si>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</si>
  <si>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</si>
  <si>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</si>
  <si>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</si>
  <si>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</si>
  <si>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</si>
  <si>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</si>
  <si>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</si>
  <si>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</si>
  <si>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</si>
  <si>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</si>
  <si>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</si>
  <si>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</si>
  <si>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</si>
  <si>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</si>
  <si>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</si>
  <si>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</si>
  <si>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</si>
  <si>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</si>
  <si>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</si>
  <si>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</si>
  <si>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</si>
  <si>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</si>
  <si>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</si>
  <si>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</si>
  <si>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</si>
  <si>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</si>
  <si>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</si>
  <si>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</si>
  <si>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</si>
  <si>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</si>
  <si>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</si>
  <si>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</si>
  <si>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</si>
  <si>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</si>
  <si>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</si>
  <si>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</si>
  <si>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</si>
  <si>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</si>
  <si>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</si>
  <si>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</si>
  <si>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</si>
  <si>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</si>
  <si>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</si>
  <si>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</si>
  <si>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</si>
  <si>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</si>
  <si>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</si>
  <si>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</si>
  <si>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</si>
  <si>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</si>
  <si>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</si>
  <si>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</si>
  <si>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</si>
  <si>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</si>
  <si>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</si>
  <si>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</si>
  <si>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</si>
  <si>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</si>
  <si>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</si>
  <si>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</si>
  <si>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</si>
  <si>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</si>
  <si>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</si>
  <si>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</si>
  <si>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</si>
  <si>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</si>
  <si>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</si>
  <si>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</si>
  <si>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</si>
  <si>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</si>
  <si>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</si>
  <si>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</si>
  <si>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</si>
  <si>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</si>
  <si>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</si>
  <si>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</si>
  <si>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</si>
  <si>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</si>
  <si>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</si>
  <si>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</si>
  <si>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</si>
  <si>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</si>
  <si>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</si>
  <si>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</si>
  <si>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</si>
  <si>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</si>
  <si>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</si>
  <si>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</si>
  <si>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</si>
  <si>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</si>
  <si>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</si>
  <si>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</si>
  <si>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</si>
  <si>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</si>
  <si>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</si>
  <si>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</si>
  <si>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</si>
  <si>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</si>
  <si>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</si>
  <si>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</si>
  <si>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</si>
  <si>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</si>
  <si>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</si>
  <si>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</si>
  <si>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</si>
  <si>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</si>
  <si>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</si>
  <si>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</si>
  <si>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</si>
  <si>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</si>
  <si>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</si>
  <si>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</si>
  <si>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</si>
  <si>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</si>
  <si>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</si>
  <si>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</si>
  <si>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</si>
  <si>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</si>
  <si>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</si>
  <si>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</si>
  <si>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</si>
  <si>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</si>
  <si>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</si>
  <si>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</si>
  <si>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</si>
  <si>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</si>
  <si>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</si>
  <si>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</si>
  <si>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</si>
  <si>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</si>
  <si>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</si>
  <si>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</si>
  <si>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</si>
  <si>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</si>
  <si>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</si>
  <si>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</si>
  <si>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</si>
  <si>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</si>
  <si>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</si>
  <si>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</si>
  <si>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</si>
  <si>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</si>
  <si>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</si>
  <si>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</si>
  <si>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</si>
  <si>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</si>
  <si>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</si>
  <si>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</si>
  <si>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</si>
  <si>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</si>
  <si>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</si>
  <si>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</si>
  <si>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</si>
  <si>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</si>
  <si>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</si>
  <si>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</si>
  <si>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</si>
  <si>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</si>
  <si>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</si>
  <si>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</si>
  <si>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</si>
  <si>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</si>
  <si>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</si>
  <si>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</si>
  <si>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</si>
  <si>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</si>
  <si>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</si>
  <si>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</si>
  <si>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</si>
  <si>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</si>
  <si>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</si>
  <si>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</si>
  <si>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</si>
  <si>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</si>
  <si>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</si>
  <si>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</si>
  <si>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</si>
  <si>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</si>
  <si>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</si>
  <si>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</si>
  <si>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</si>
  <si>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</si>
  <si>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</si>
  <si>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</si>
  <si>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</si>
  <si>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</si>
  <si>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</si>
  <si>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</si>
  <si>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</si>
  <si>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</si>
  <si>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</si>
  <si>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</si>
  <si>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</si>
  <si>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</si>
  <si>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</si>
  <si>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</si>
  <si>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</si>
  <si>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</si>
  <si>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</si>
  <si>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</si>
  <si>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</si>
  <si>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</si>
  <si>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</si>
  <si>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</si>
  <si>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</si>
  <si>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</si>
  <si>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</si>
  <si>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</si>
  <si>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</si>
  <si>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</si>
  <si>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</si>
  <si>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</si>
  <si>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</si>
  <si>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</si>
  <si>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</si>
  <si>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</si>
  <si>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</si>
  <si>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</si>
  <si>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</si>
  <si>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</si>
  <si>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</si>
  <si>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</si>
  <si>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</si>
  <si>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</si>
  <si>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</si>
  <si>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</si>
  <si>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</si>
  <si>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</si>
  <si>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</si>
  <si>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</si>
  <si>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</si>
  <si>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</si>
  <si>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</si>
  <si>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</si>
  <si>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</si>
  <si>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</si>
  <si>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</si>
  <si>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</si>
  <si>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</si>
  <si>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</si>
  <si>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</si>
  <si>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</si>
  <si>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</si>
  <si>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</si>
  <si>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</si>
  <si>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</si>
  <si>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</si>
  <si>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</si>
  <si>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</si>
  <si>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</si>
  <si>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</si>
  <si>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</si>
  <si>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</si>
  <si>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</si>
  <si>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</si>
  <si>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</si>
  <si>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</si>
  <si>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</si>
  <si>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</si>
  <si>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</si>
  <si>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</si>
  <si>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</si>
  <si>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</si>
  <si>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</si>
  <si>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</si>
  <si>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</si>
  <si>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</si>
  <si>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</si>
  <si>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</si>
  <si>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</si>
  <si>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</si>
  <si>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</si>
  <si>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</si>
  <si>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</si>
  <si>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</si>
  <si>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</si>
  <si>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</si>
  <si>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</si>
  <si>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</si>
  <si>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</si>
  <si>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</si>
  <si>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</si>
  <si>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</si>
  <si>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</si>
  <si>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</si>
  <si>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</si>
  <si>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</si>
  <si>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</si>
  <si>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</si>
  <si>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</si>
  <si>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</si>
  <si>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</si>
  <si>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</si>
  <si>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</si>
  <si>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</si>
  <si>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</si>
  <si>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</si>
  <si>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</si>
  <si>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</si>
  <si>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</si>
  <si>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</si>
  <si>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</si>
  <si>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</si>
  <si>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</si>
  <si>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</si>
  <si>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</si>
  <si>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</si>
  <si>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</si>
  <si>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</si>
  <si>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</si>
  <si>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</si>
  <si>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</si>
  <si>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</si>
  <si>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</si>
  <si>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</si>
  <si>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</si>
  <si>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</si>
  <si>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</si>
  <si>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</si>
  <si>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</si>
  <si>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</si>
  <si>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</si>
  <si>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</si>
  <si>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</si>
  <si>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</si>
  <si>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</si>
  <si>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</si>
  <si>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</si>
  <si>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</si>
  <si>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</si>
  <si>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</si>
  <si>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</si>
  <si>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</si>
  <si>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</si>
  <si>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</si>
  <si>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</si>
  <si>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</si>
  <si>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</si>
  <si>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</si>
  <si>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</si>
  <si>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</si>
  <si>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</si>
  <si>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</si>
  <si>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</si>
  <si>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</si>
  <si>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</si>
  <si>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</si>
  <si>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</si>
  <si>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</si>
  <si>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</si>
  <si>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</si>
  <si>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</si>
  <si>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</si>
  <si>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</si>
  <si>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</si>
  <si>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</si>
  <si>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</si>
  <si>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</si>
  <si>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</si>
  <si>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</si>
  <si>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</si>
  <si>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</si>
  <si>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</si>
  <si>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</si>
  <si>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</si>
  <si>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</si>
  <si>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</si>
  <si>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</si>
  <si>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</si>
  <si>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</si>
  <si>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</si>
  <si>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</si>
  <si>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</si>
  <si>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</si>
  <si>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</si>
  <si>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</si>
  <si>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</si>
  <si>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</si>
  <si>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</si>
  <si>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</si>
  <si>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</si>
  <si>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</si>
  <si>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</si>
  <si>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</si>
  <si>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</si>
  <si>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</si>
  <si>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</si>
  <si>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</si>
  <si>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</si>
  <si>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</si>
  <si>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</si>
  <si>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</si>
  <si>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</si>
  <si>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</si>
  <si>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</si>
  <si>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</si>
  <si>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</si>
  <si>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</si>
  <si>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</si>
  <si>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</si>
  <si>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</si>
  <si>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</si>
  <si>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</si>
  <si>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</si>
  <si>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</si>
  <si>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</si>
  <si>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</si>
  <si>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</si>
  <si>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</si>
  <si>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</si>
  <si>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</si>
  <si>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</si>
  <si>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</si>
  <si>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</si>
  <si>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</si>
  <si>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</si>
  <si>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</si>
  <si>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</si>
  <si>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</si>
  <si>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</si>
  <si>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</si>
  <si>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</si>
  <si>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</si>
  <si>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</si>
  <si>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</si>
  <si>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</si>
  <si>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</si>
  <si>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</si>
  <si>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</si>
  <si>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</si>
  <si>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</si>
  <si>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</si>
  <si>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</si>
  <si>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</si>
  <si>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</si>
  <si>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</si>
  <si>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</si>
  <si>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</si>
  <si>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</si>
  <si>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</si>
  <si>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</si>
  <si>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</si>
  <si>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</si>
  <si>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</si>
  <si>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</si>
  <si>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</si>
  <si>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</si>
  <si>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</si>
  <si>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</si>
  <si>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</si>
  <si>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</si>
  <si>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</si>
  <si>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</si>
  <si>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</si>
  <si>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</si>
  <si>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</si>
  <si>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</si>
  <si>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</si>
  <si>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</si>
  <si>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</si>
  <si>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</si>
  <si>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</si>
  <si>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</si>
  <si>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</si>
  <si>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</si>
  <si>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</si>
  <si>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</si>
  <si>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</si>
  <si>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</si>
  <si>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</si>
  <si>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</si>
  <si>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</si>
  <si>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</si>
  <si>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</si>
  <si>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</si>
  <si>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</si>
  <si>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</si>
  <si>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</si>
  <si>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</si>
  <si>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</si>
  <si>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</si>
  <si>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</si>
  <si>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</si>
  <si>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</si>
  <si>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</si>
  <si>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</si>
  <si>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</si>
  <si>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</si>
  <si>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</si>
  <si>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</si>
  <si>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</si>
  <si>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</si>
  <si>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</si>
  <si>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</si>
  <si>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</si>
  <si>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</si>
  <si>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</si>
  <si>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</si>
  <si>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</si>
  <si>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</si>
  <si>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</si>
  <si>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</si>
  <si>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</si>
  <si>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</si>
  <si>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</si>
  <si>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</si>
  <si>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</si>
  <si>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</si>
  <si>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</si>
  <si>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</si>
  <si>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</si>
  <si>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</si>
  <si>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</si>
  <si>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</si>
  <si>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</si>
  <si>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</si>
  <si>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</si>
  <si>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</si>
  <si>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</si>
  <si>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</si>
  <si>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</si>
  <si>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</si>
  <si>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</si>
  <si>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</si>
  <si>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</si>
  <si>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</si>
  <si>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</si>
  <si>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</si>
  <si>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</si>
  <si>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</si>
  <si>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</si>
  <si>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</si>
  <si>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</si>
  <si>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</si>
  <si>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</si>
  <si>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</si>
  <si>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</si>
  <si>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</si>
  <si>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</si>
  <si>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</si>
  <si>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</si>
  <si>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</si>
  <si>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</si>
  <si>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</si>
  <si>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</si>
  <si>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</si>
  <si>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</si>
  <si>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</si>
  <si>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</si>
  <si>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</si>
  <si>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</si>
  <si>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</si>
  <si>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</si>
  <si>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</si>
  <si>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</si>
  <si>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</si>
  <si>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</si>
  <si>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</si>
  <si>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</si>
  <si>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</si>
  <si>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</si>
  <si>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</si>
  <si>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</si>
  <si>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</si>
  <si>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</si>
  <si>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</si>
  <si>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</si>
  <si>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</si>
  <si>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</si>
  <si>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</si>
  <si>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</si>
  <si>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</si>
  <si>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</si>
  <si>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</si>
  <si>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</si>
  <si>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</si>
  <si>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</si>
  <si>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</si>
  <si>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</si>
  <si>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</si>
  <si>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</si>
  <si>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</si>
  <si>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</si>
  <si>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</si>
  <si>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</si>
  <si>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</si>
  <si>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</si>
  <si>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</si>
  <si>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</si>
  <si>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</si>
  <si>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</si>
  <si>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</si>
  <si>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</si>
  <si>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</si>
  <si>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</si>
  <si>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</si>
  <si>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</si>
  <si>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</si>
  <si>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</si>
  <si>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</si>
  <si>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</si>
  <si>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</si>
  <si>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</si>
  <si>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</si>
  <si>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</si>
  <si>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</si>
  <si>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</si>
  <si>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</si>
  <si>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</si>
  <si>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</si>
  <si>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</si>
  <si>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</si>
  <si>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</si>
  <si>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</si>
  <si>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</si>
  <si>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</si>
  <si>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</si>
  <si>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</si>
  <si>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</si>
  <si>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</si>
  <si>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</si>
  <si>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</si>
  <si>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</si>
  <si>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</si>
  <si>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</si>
  <si>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</si>
  <si>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</si>
  <si>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</si>
  <si>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</si>
  <si>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</si>
  <si>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</si>
  <si>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</si>
  <si>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</si>
  <si>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</si>
  <si>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</si>
  <si>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</si>
  <si>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</si>
  <si>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</si>
  <si>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</si>
  <si>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</si>
  <si>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</si>
  <si>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</si>
  <si>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</si>
  <si>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</si>
  <si>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</si>
  <si>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</si>
  <si>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</si>
  <si>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</si>
  <si>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</si>
  <si>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</si>
  <si>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</si>
  <si>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</si>
  <si>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</si>
  <si>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</si>
  <si>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</si>
  <si>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</si>
  <si>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</si>
  <si>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</si>
  <si>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</si>
  <si>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</si>
  <si>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</si>
  <si>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</si>
  <si>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</si>
  <si>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</si>
  <si>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</si>
  <si>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</si>
  <si>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</si>
  <si>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</si>
  <si>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</si>
  <si>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</si>
  <si>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</si>
  <si>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</si>
  <si>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</si>
  <si>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</si>
  <si>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</si>
  <si>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</si>
  <si>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</si>
  <si>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</si>
  <si>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</si>
  <si>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</si>
  <si>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</si>
  <si>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</si>
  <si>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</si>
  <si>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</si>
  <si>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</si>
  <si>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</si>
  <si>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</si>
  <si>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</si>
  <si>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</si>
  <si>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</si>
  <si>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</si>
  <si>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</si>
  <si>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</si>
  <si>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</si>
  <si>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</si>
  <si>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</si>
  <si>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</si>
  <si>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</si>
  <si>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</si>
  <si>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</si>
  <si>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</si>
  <si>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</si>
  <si>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</si>
  <si>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</si>
  <si>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</si>
  <si>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</si>
  <si>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</si>
  <si>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</si>
  <si>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</si>
  <si>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</si>
  <si>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</si>
  <si>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</si>
  <si>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</si>
  <si>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</si>
  <si>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</si>
  <si>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</si>
  <si>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</si>
  <si>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</si>
  <si>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</si>
  <si>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</si>
  <si>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</si>
  <si>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</si>
  <si>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</si>
  <si>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</si>
  <si>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</si>
  <si>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</si>
  <si>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</si>
  <si>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</si>
  <si>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</si>
  <si>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</si>
  <si>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</si>
  <si>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</si>
  <si>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</si>
  <si>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</si>
  <si>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</si>
  <si>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</si>
  <si>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</si>
  <si>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</si>
  <si>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</si>
  <si>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</si>
  <si>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</si>
  <si>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</si>
  <si>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</si>
  <si>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</si>
  <si>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</si>
  <si>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</si>
  <si>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</si>
  <si>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</si>
  <si>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</si>
  <si>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</si>
  <si>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</si>
  <si>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</si>
  <si>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</si>
  <si>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</si>
  <si>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</si>
  <si>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</si>
  <si>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</si>
  <si>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</si>
  <si>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</si>
  <si>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</si>
  <si>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</si>
  <si>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</si>
  <si>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</si>
  <si>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</si>
  <si>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</si>
  <si>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</si>
  <si>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</si>
  <si>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</si>
  <si>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</si>
  <si>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</si>
  <si>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</si>
  <si>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</si>
  <si>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</si>
  <si>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</si>
  <si>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</si>
  <si>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</si>
  <si>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</si>
  <si>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</si>
  <si>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</si>
  <si>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</si>
  <si>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</si>
  <si>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</si>
  <si>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</si>
  <si>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</si>
  <si>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</si>
  <si>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</si>
  <si>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</si>
  <si>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</si>
  <si>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</si>
  <si>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</si>
  <si>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</si>
  <si>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</si>
  <si>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</si>
  <si>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</si>
  <si>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</si>
  <si>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</si>
  <si>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</si>
  <si>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</si>
  <si>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</si>
  <si>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</si>
  <si>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</si>
  <si>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</si>
  <si>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</si>
  <si>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</si>
  <si>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</si>
  <si>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</si>
  <si>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</si>
  <si>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</si>
  <si>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</si>
  <si>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</si>
  <si>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</si>
  <si>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</si>
  <si>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</si>
  <si>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</si>
  <si>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</si>
  <si>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</si>
  <si>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</si>
  <si>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</si>
  <si>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</si>
  <si>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</si>
  <si>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</si>
  <si>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</si>
  <si>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</si>
  <si>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</si>
  <si>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</si>
  <si>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</si>
  <si>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</si>
  <si>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</si>
  <si>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</si>
  <si>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</si>
  <si>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</si>
  <si>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</si>
  <si>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</si>
  <si>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</si>
  <si>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</si>
  <si>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</si>
  <si>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</si>
  <si>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</si>
  <si>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</si>
  <si>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</si>
  <si>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</si>
  <si>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</si>
  <si>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</si>
  <si>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</si>
  <si>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</si>
  <si>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</si>
  <si>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</si>
  <si>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</si>
  <si>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</si>
  <si>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</si>
  <si>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</si>
  <si>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</si>
  <si>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</si>
  <si>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</si>
  <si>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</si>
  <si>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</si>
  <si>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</si>
  <si>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</si>
  <si>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</si>
  <si>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</si>
  <si>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</si>
  <si>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</si>
  <si>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</si>
  <si>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</si>
  <si>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</si>
  <si>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</si>
  <si>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</si>
  <si>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</si>
  <si>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</si>
  <si>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</si>
  <si>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</si>
  <si>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</si>
  <si>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</si>
  <si>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</si>
  <si>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</si>
  <si>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</si>
  <si>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</si>
  <si>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</si>
  <si>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</si>
  <si>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</si>
  <si>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</si>
  <si>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</si>
  <si>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</si>
  <si>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</si>
  <si>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</si>
  <si>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</si>
  <si>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</si>
  <si>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</si>
  <si>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</si>
  <si>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</si>
  <si>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</si>
  <si>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</si>
  <si>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</si>
  <si>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</si>
  <si>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</si>
  <si>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</si>
  <si>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</si>
  <si>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</si>
  <si>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</si>
  <si>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</si>
  <si>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</si>
  <si>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</si>
  <si>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</si>
  <si>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</si>
  <si>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</si>
  <si>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</si>
  <si>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</si>
  <si>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</si>
  <si>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</si>
  <si>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</si>
  <si>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</si>
  <si>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</si>
  <si>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</si>
  <si>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</si>
  <si>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</si>
  <si>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</si>
  <si>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</si>
  <si>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</si>
  <si>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</si>
  <si>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</si>
  <si>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</si>
  <si>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</si>
  <si>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</si>
  <si>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</si>
  <si>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</si>
  <si>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</si>
  <si>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</si>
  <si>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</si>
  <si>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</si>
  <si>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</si>
  <si>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</si>
  <si>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</si>
  <si>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</si>
  <si>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</si>
  <si>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</si>
  <si>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</si>
  <si>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</si>
  <si>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</si>
  <si>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</si>
  <si>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</si>
  <si>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</si>
  <si>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</si>
  <si>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</si>
  <si>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</si>
  <si>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</si>
  <si>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</si>
  <si>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</si>
  <si>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</si>
  <si>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</si>
  <si>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</si>
  <si>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</si>
  <si>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</si>
  <si>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</si>
  <si>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</si>
  <si>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</si>
  <si>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</si>
  <si>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</si>
  <si>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</si>
  <si>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</si>
  <si>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</si>
  <si>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</si>
  <si>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</si>
  <si>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</si>
  <si>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</si>
  <si>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</si>
  <si>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</si>
  <si>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</si>
  <si>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</si>
  <si>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</si>
  <si>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</si>
  <si>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</si>
  <si>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</si>
  <si>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</si>
  <si>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</si>
  <si>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</si>
  <si>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</si>
  <si>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</si>
  <si>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</si>
  <si>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</si>
  <si>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</si>
  <si>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</si>
  <si>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</si>
  <si>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</si>
  <si>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</si>
  <si>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</si>
  <si>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</si>
  <si>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</si>
  <si>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</si>
  <si>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</si>
  <si>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</si>
  <si>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</si>
  <si>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</si>
  <si>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</si>
  <si>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</si>
  <si>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</si>
  <si>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</si>
  <si>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</si>
  <si>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</si>
  <si>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</si>
  <si>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</si>
  <si>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</si>
  <si>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</si>
  <si>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</si>
  <si>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</si>
  <si>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</si>
  <si>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</si>
  <si>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</si>
  <si>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</si>
  <si>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</si>
  <si>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</si>
  <si>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</si>
  <si>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</si>
  <si>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</si>
  <si>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</si>
  <si>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</si>
  <si>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</si>
  <si>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</si>
  <si>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</si>
  <si>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</si>
  <si>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</si>
  <si>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</si>
  <si>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</si>
  <si>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</si>
  <si>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</si>
  <si>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</si>
  <si>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</si>
  <si>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</si>
  <si>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</si>
  <si>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</si>
  <si>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</si>
  <si>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</si>
  <si>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</si>
  <si>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</si>
  <si>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</si>
  <si>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</si>
  <si>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</si>
  <si>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</si>
  <si>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</si>
  <si>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</si>
  <si>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</si>
  <si>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</si>
  <si>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</si>
  <si>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</si>
  <si>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</si>
  <si>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</si>
  <si>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</si>
  <si>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</si>
  <si>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</si>
  <si>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</si>
  <si>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</si>
  <si>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</si>
  <si>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</si>
  <si>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</si>
  <si>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</si>
  <si>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</si>
  <si>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</si>
  <si>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</si>
  <si>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</si>
  <si>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</si>
  <si>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</si>
  <si>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</si>
  <si>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</si>
  <si>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</si>
  <si>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</si>
  <si>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</si>
  <si>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</si>
  <si>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</si>
  <si>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</si>
  <si>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</si>
  <si>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</si>
  <si>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</si>
  <si>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</si>
  <si>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</si>
  <si>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</si>
  <si>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</si>
  <si>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</si>
  <si>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</si>
  <si>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</si>
  <si>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</si>
  <si>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</si>
  <si>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</si>
  <si>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</si>
  <si>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</si>
  <si>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</si>
  <si>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</si>
  <si>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</si>
  <si>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</si>
  <si>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</si>
  <si>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</si>
  <si>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</si>
  <si>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</si>
  <si>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</si>
  <si>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</si>
  <si>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</si>
  <si>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</si>
  <si>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</si>
  <si>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</si>
  <si>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</si>
  <si>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</si>
  <si>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</si>
  <si>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</si>
  <si>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</si>
  <si>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</si>
  <si>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</si>
  <si>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</si>
  <si>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</si>
  <si>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</si>
  <si>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</si>
  <si>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</si>
  <si>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</si>
  <si>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</si>
  <si>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</si>
  <si>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</si>
  <si>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</si>
  <si>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</si>
  <si>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</si>
  <si>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</si>
  <si>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</si>
  <si>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</si>
  <si>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</si>
  <si>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</si>
  <si>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</si>
  <si>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</si>
  <si>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</si>
  <si>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</si>
  <si>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</si>
  <si>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</si>
  <si>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</si>
  <si>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</si>
  <si>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</si>
  <si>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</si>
  <si>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</si>
  <si>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</si>
  <si>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</si>
  <si>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</si>
  <si>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</si>
  <si>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</si>
  <si>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</si>
  <si>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</si>
  <si>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</si>
  <si>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</si>
  <si>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</si>
  <si>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</si>
  <si>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</si>
  <si>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</si>
  <si>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</si>
  <si>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</si>
  <si>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</si>
  <si>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</si>
  <si>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</si>
  <si>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</si>
  <si>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</si>
  <si>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</si>
  <si>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</si>
  <si>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</si>
  <si>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</si>
  <si>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</si>
  <si>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</si>
  <si>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</si>
  <si>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</si>
  <si>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</si>
  <si>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</si>
  <si>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</si>
  <si>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</si>
  <si>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</si>
  <si>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</si>
  <si>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</si>
  <si>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</si>
  <si>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</si>
  <si>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</si>
  <si>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</si>
  <si>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</si>
  <si>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</si>
  <si>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</si>
  <si>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</si>
  <si>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</si>
  <si>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</si>
  <si>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</si>
  <si>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</si>
  <si>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</si>
  <si>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</si>
  <si>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</si>
  <si>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</si>
  <si>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</si>
  <si>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</si>
  <si>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</si>
  <si>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</si>
  <si>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</si>
  <si>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</si>
  <si>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</si>
  <si>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</si>
  <si>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</si>
  <si>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</si>
  <si>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</si>
  <si>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</si>
  <si>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</si>
  <si>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</si>
  <si>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</si>
  <si>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</si>
  <si>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</si>
  <si>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</si>
  <si>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</si>
  <si>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</si>
  <si>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</si>
  <si>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</si>
  <si>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</si>
  <si>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</si>
  <si>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</si>
  <si>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</si>
  <si>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</si>
  <si>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</si>
  <si>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</si>
  <si>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</si>
  <si>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</si>
  <si>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</si>
  <si>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</si>
  <si>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</si>
  <si>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</si>
  <si>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</si>
  <si>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</si>
  <si>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</si>
  <si>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</si>
  <si>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</si>
  <si>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</si>
  <si>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</si>
  <si>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</si>
  <si>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</si>
  <si>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</si>
  <si>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</si>
  <si>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</si>
  <si>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</si>
  <si>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</si>
  <si>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</si>
  <si>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</si>
  <si>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</si>
  <si>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</si>
  <si>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</si>
  <si>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</si>
  <si>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</si>
  <si>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</si>
  <si>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</si>
  <si>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</si>
  <si>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</si>
  <si>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</si>
  <si>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</si>
  <si>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</si>
  <si>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</si>
  <si>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</si>
  <si>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</si>
  <si>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</si>
  <si>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</si>
  <si>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</si>
  <si>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</si>
  <si>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</si>
  <si>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</si>
  <si>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</si>
  <si>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</si>
  <si>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</si>
  <si>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</si>
  <si>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</si>
  <si>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</si>
  <si>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</si>
  <si>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</si>
  <si>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</si>
  <si>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</si>
  <si>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</si>
  <si>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</si>
  <si>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</si>
  <si>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</si>
  <si>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</si>
  <si>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</si>
  <si>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</si>
  <si>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</si>
  <si>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</si>
  <si>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</si>
  <si>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</si>
  <si>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</si>
  <si>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</si>
  <si>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</si>
  <si>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</si>
  <si>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</si>
  <si>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</si>
  <si>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</si>
  <si>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</si>
  <si>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</si>
  <si>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</si>
  <si>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</si>
  <si>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</si>
  <si>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</si>
  <si>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</si>
  <si>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</si>
  <si>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</si>
  <si>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</si>
  <si>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</si>
  <si>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</si>
  <si>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</si>
  <si>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</si>
  <si>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</si>
  <si>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</si>
  <si>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</si>
  <si>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</si>
  <si>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</si>
  <si>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</si>
  <si>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</si>
  <si>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</si>
  <si>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</si>
  <si>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</si>
  <si>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</si>
  <si>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</si>
  <si>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</si>
  <si>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</si>
  <si>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</si>
  <si>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</si>
  <si>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</si>
  <si>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</si>
  <si>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</si>
  <si>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</si>
  <si>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</si>
  <si>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</si>
  <si>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</si>
  <si>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</si>
  <si>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</si>
  <si>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</si>
  <si>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</si>
  <si>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</si>
  <si>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</si>
  <si>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</si>
  <si>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</si>
  <si>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</si>
  <si>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</si>
  <si>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</si>
  <si>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</si>
  <si>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</si>
  <si>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</si>
  <si>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</si>
  <si>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</si>
  <si>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</si>
  <si>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</si>
  <si>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</si>
  <si>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</si>
  <si>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</si>
  <si>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</si>
  <si>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</si>
  <si>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</si>
  <si>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</si>
  <si>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</si>
  <si>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</si>
  <si>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</si>
  <si>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</si>
  <si>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</si>
  <si>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</si>
  <si>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</si>
  <si>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</si>
  <si>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</si>
  <si>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</si>
  <si>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</si>
  <si>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</si>
  <si>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</si>
  <si>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</si>
  <si>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</si>
  <si>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</si>
  <si>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</si>
  <si>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</si>
  <si>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</si>
  <si>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</si>
  <si>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</si>
  <si>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</si>
  <si>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</si>
  <si>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</si>
  <si>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</si>
  <si>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</si>
  <si>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</si>
  <si>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</si>
  <si>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</si>
  <si>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</si>
  <si>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</si>
  <si>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</si>
  <si>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</si>
  <si>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</si>
  <si>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</si>
  <si>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</si>
  <si>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</si>
  <si>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</si>
  <si>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</si>
  <si>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</si>
  <si>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</si>
  <si>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</si>
  <si>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</si>
  <si>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</si>
  <si>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</si>
  <si>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</si>
  <si>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</si>
  <si>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</si>
  <si>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</si>
  <si>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</si>
  <si>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</si>
  <si>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</si>
  <si>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</si>
  <si>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</si>
  <si>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</si>
  <si>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</si>
  <si>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</si>
  <si>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</si>
  <si>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</si>
  <si>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</si>
  <si>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</si>
  <si>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</si>
  <si>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</si>
  <si>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</si>
  <si>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</si>
  <si>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</si>
  <si>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</si>
  <si>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</si>
  <si>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</si>
  <si>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</si>
  <si>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</si>
  <si>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</si>
  <si>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</si>
  <si>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</si>
  <si>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</si>
  <si>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</si>
  <si>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</si>
  <si>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</si>
  <si>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</si>
  <si>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</si>
  <si>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</si>
  <si>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</si>
  <si>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</si>
  <si>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</si>
  <si>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</si>
  <si>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</si>
  <si>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</si>
  <si>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</si>
  <si>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</si>
  <si>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</si>
  <si>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</si>
  <si>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</si>
  <si>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</si>
  <si>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</si>
  <si>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</si>
  <si>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</si>
  <si>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</si>
  <si>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</si>
  <si>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</si>
  <si>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</si>
  <si>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</si>
  <si>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</si>
  <si>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</si>
  <si>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</si>
  <si>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</si>
  <si>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</si>
  <si>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</si>
  <si>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</si>
  <si>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</si>
  <si>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</si>
  <si>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</si>
  <si>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</si>
  <si>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</si>
  <si>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</si>
  <si>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</si>
  <si>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</si>
  <si>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</si>
  <si>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</si>
  <si>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</si>
  <si>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</si>
  <si>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</si>
  <si>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</si>
  <si>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</si>
  <si>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</si>
  <si>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</si>
  <si>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</si>
  <si>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</si>
  <si>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</si>
  <si>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</si>
  <si>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</si>
  <si>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</si>
  <si>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</si>
  <si>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</si>
  <si>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</si>
  <si>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</si>
  <si>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</si>
  <si>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</si>
  <si>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</si>
  <si>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</si>
  <si>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</si>
  <si>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</si>
  <si>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</si>
  <si>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</si>
  <si>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</si>
  <si>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</si>
  <si>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</si>
  <si>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</si>
  <si>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</si>
  <si>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</si>
  <si>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</si>
  <si>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</si>
  <si>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</si>
  <si>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</si>
  <si>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</si>
  <si>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</si>
  <si>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</si>
  <si>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</si>
  <si>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</si>
  <si>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</si>
  <si>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</si>
  <si>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</si>
  <si>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</si>
  <si>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</si>
  <si>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</si>
  <si>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</si>
  <si>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</si>
  <si>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</si>
  <si>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</si>
  <si>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</si>
  <si>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</si>
  <si>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</si>
  <si>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</si>
  <si>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</si>
  <si>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</si>
  <si>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</si>
  <si>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</si>
  <si>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</si>
  <si>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</si>
  <si>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</si>
  <si>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</si>
  <si>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</si>
  <si>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</si>
  <si>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</si>
  <si>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</si>
  <si>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</si>
  <si>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</si>
  <si>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</si>
  <si>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</si>
  <si>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</si>
  <si>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</si>
  <si>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</si>
  <si>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</si>
  <si>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</si>
  <si>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</si>
  <si>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</si>
  <si>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</si>
  <si>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</si>
  <si>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</si>
  <si>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</si>
  <si>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</si>
  <si>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</si>
  <si>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</si>
  <si>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</si>
  <si>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</si>
  <si>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</si>
  <si>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</si>
  <si>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</si>
  <si>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</si>
  <si>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</si>
  <si>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</si>
  <si>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</si>
  <si>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</si>
  <si>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</si>
  <si>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</si>
  <si>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</si>
  <si>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</si>
  <si>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</si>
  <si>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</si>
  <si>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</si>
  <si>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</si>
  <si>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</si>
  <si>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</si>
  <si>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</si>
  <si>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</si>
  <si>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</si>
  <si>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</si>
  <si>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</si>
  <si>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</si>
  <si>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</si>
  <si>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</si>
  <si>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</si>
  <si>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</si>
  <si>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</si>
  <si>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</si>
  <si>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</si>
  <si>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</si>
  <si>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</si>
  <si>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</si>
  <si>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</si>
  <si>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</si>
  <si>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</si>
  <si>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</si>
  <si>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</si>
  <si>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</si>
  <si>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</si>
  <si>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</si>
  <si>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</si>
  <si>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</si>
  <si>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</si>
  <si>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</si>
  <si>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</si>
  <si>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</si>
  <si>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</si>
  <si>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</si>
  <si>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</si>
  <si>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</si>
  <si>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</si>
  <si>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</si>
  <si>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</si>
  <si>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</si>
  <si>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</si>
  <si>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</si>
  <si>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</si>
  <si>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</si>
  <si>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</si>
  <si>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</si>
  <si>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</si>
  <si>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</si>
  <si>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</si>
  <si>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</si>
  <si>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</si>
  <si>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</si>
  <si>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</si>
  <si>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</si>
  <si>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</si>
  <si>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</si>
  <si>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</si>
  <si>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</si>
  <si>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</si>
  <si>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</si>
  <si>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</si>
  <si>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</si>
  <si>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</si>
  <si>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</si>
  <si>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</si>
  <si>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</si>
  <si>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</si>
  <si>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</si>
  <si>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</si>
  <si>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</si>
  <si>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</si>
  <si>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</si>
  <si>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</si>
  <si>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</si>
  <si>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</si>
  <si>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</si>
  <si>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</si>
  <si>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</si>
  <si>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</si>
  <si>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</si>
  <si>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</si>
  <si>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</si>
  <si>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</si>
  <si>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</si>
  <si>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</si>
  <si>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</si>
  <si>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</si>
  <si>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</si>
  <si>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</si>
  <si>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</si>
  <si>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</si>
  <si>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</si>
  <si>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</si>
  <si>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</si>
  <si>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</si>
  <si>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</si>
  <si>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</si>
  <si>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</si>
  <si>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</si>
  <si>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</si>
  <si>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</si>
  <si>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</si>
  <si>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</si>
  <si>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</si>
  <si>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</si>
  <si>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</si>
  <si>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</si>
  <si>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</si>
  <si>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</si>
  <si>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</si>
  <si>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</si>
  <si>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</si>
  <si>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</si>
  <si>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</si>
  <si>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</si>
  <si>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</si>
  <si>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</si>
  <si>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</si>
  <si>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</si>
  <si>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</si>
  <si>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</si>
  <si>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</si>
  <si>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</si>
  <si>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</si>
  <si>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</si>
  <si>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</si>
  <si>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</si>
  <si>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</si>
  <si>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</si>
  <si>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</si>
  <si>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</si>
  <si>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</si>
  <si>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</si>
  <si>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</si>
  <si>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</si>
  <si>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</si>
  <si>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</si>
  <si>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</si>
  <si>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</si>
  <si>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</si>
  <si>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</si>
  <si>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</si>
  <si>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</si>
  <si>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</si>
  <si>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</si>
  <si>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</si>
  <si>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</si>
  <si>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</si>
  <si>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</si>
  <si>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</si>
  <si>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</si>
  <si>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</si>
  <si>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</si>
  <si>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</si>
  <si>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</si>
  <si>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</si>
  <si>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</si>
  <si>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</si>
  <si>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</si>
  <si>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</si>
  <si>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</si>
  <si>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</si>
  <si>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</si>
  <si>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</si>
  <si>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</si>
  <si>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</si>
  <si>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</si>
  <si>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</si>
  <si>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</si>
  <si>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</si>
  <si>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</si>
  <si>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</si>
  <si>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</si>
  <si>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</si>
  <si>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</si>
  <si>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</si>
  <si>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</si>
  <si>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</si>
  <si>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</si>
  <si>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</si>
  <si>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</si>
  <si>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</si>
  <si>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</si>
  <si>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</si>
  <si>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</si>
  <si>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</si>
  <si>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</si>
  <si>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</si>
  <si>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</si>
  <si>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</si>
  <si>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</si>
  <si>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</si>
  <si>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</si>
  <si>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</si>
  <si>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</si>
  <si>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</si>
  <si>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</si>
  <si>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</si>
  <si>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</si>
  <si>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</si>
  <si>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</si>
  <si>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</si>
  <si>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</si>
  <si>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</si>
  <si>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</si>
  <si>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</si>
  <si>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</si>
  <si>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</si>
  <si>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</si>
  <si>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</si>
  <si>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</si>
  <si>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</si>
  <si>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</si>
  <si>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</si>
  <si>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</si>
  <si>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</si>
  <si>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</si>
  <si>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</si>
  <si>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</si>
  <si>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</si>
  <si>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</si>
  <si>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</si>
  <si>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</si>
  <si>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</si>
  <si>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</si>
  <si>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</si>
  <si>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</si>
  <si>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</si>
  <si>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</si>
  <si>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</si>
  <si>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</si>
  <si>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</si>
  <si>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</si>
  <si>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</si>
  <si>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</si>
  <si>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</si>
  <si>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</si>
  <si>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</si>
  <si>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</si>
  <si>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</si>
  <si>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</si>
  <si>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</si>
  <si>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</si>
  <si>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</si>
  <si>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</si>
  <si>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</si>
  <si>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</si>
  <si>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</si>
  <si>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</si>
  <si>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</si>
  <si>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</si>
  <si>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</si>
  <si>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</si>
  <si>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</si>
  <si>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</si>
  <si>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</si>
  <si>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</si>
  <si>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</si>
  <si>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</si>
  <si>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</si>
  <si>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</si>
  <si>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</si>
  <si>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</si>
  <si>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</si>
  <si>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</si>
  <si>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</si>
  <si>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</si>
  <si>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</si>
  <si>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</si>
  <si>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</si>
  <si>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</si>
  <si>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</si>
  <si>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</si>
  <si>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</si>
  <si>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</si>
  <si>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</si>
  <si>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</si>
  <si>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</si>
  <si>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</si>
  <si>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</si>
  <si>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</si>
  <si>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</si>
  <si>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</si>
  <si>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</si>
  <si>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</si>
  <si>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</si>
  <si>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</si>
  <si>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</si>
  <si>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</si>
  <si>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</si>
  <si>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</si>
  <si>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</si>
  <si>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</si>
  <si>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</si>
  <si>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</si>
  <si>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</si>
  <si>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</si>
  <si>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</si>
  <si>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</si>
  <si>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</si>
  <si>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</si>
  <si>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</si>
  <si>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</si>
  <si>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</si>
  <si>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</si>
  <si>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</si>
  <si>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</si>
  <si>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</si>
  <si>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</si>
  <si>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</si>
  <si>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</si>
  <si>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</si>
  <si>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</si>
  <si>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</si>
  <si>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</si>
  <si>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</si>
  <si>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</si>
  <si>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</si>
  <si>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</si>
  <si>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</si>
  <si>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</si>
  <si>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</si>
  <si>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</si>
  <si>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</si>
  <si>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</si>
  <si>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</si>
  <si>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</si>
  <si>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</si>
  <si>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</si>
  <si>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</si>
  <si>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</si>
  <si>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</si>
  <si>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</si>
  <si>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</si>
  <si>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</si>
  <si>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</si>
  <si>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</si>
  <si>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</si>
  <si>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</si>
  <si>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</si>
  <si>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</si>
  <si>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</si>
  <si>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</si>
  <si>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</si>
  <si>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</si>
  <si>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</si>
  <si>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</si>
  <si>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</si>
  <si>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</si>
  <si>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</si>
  <si>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</si>
  <si>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</si>
  <si>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</si>
  <si>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</si>
  <si>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</si>
  <si>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</si>
  <si>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</si>
  <si>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</si>
  <si>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</si>
  <si>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</si>
  <si>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</si>
  <si>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</si>
  <si>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</si>
  <si>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</si>
  <si>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</si>
  <si>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</si>
  <si>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</si>
  <si>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</si>
  <si>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</si>
  <si>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</si>
  <si>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</si>
  <si>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</si>
  <si>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</si>
  <si>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</si>
  <si>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</si>
  <si>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</si>
  <si>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</si>
  <si>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</si>
  <si>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</si>
  <si>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</si>
  <si>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</si>
  <si>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</si>
  <si>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</si>
  <si>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</si>
  <si>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</si>
  <si>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</si>
  <si>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</si>
  <si>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</si>
  <si>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</si>
  <si>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</si>
  <si>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</si>
  <si>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</si>
  <si>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</si>
  <si>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</si>
  <si>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</si>
  <si>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</si>
  <si>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</si>
  <si>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</si>
  <si>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</si>
  <si>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</si>
  <si>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</si>
  <si>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</si>
  <si>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</si>
  <si>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</si>
  <si>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</si>
  <si>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</si>
  <si>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</si>
  <si>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</si>
  <si>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</si>
  <si>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</si>
  <si>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</si>
  <si>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</si>
  <si>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</si>
  <si>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</si>
  <si>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</si>
  <si>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</si>
  <si>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</si>
  <si>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</si>
  <si>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</si>
  <si>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</si>
  <si>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</si>
  <si>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</si>
  <si>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</si>
  <si>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</si>
  <si>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</si>
  <si>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</si>
  <si>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</si>
  <si>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</si>
  <si>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</si>
  <si>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</si>
  <si>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</si>
  <si>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</si>
  <si>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</si>
  <si>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</si>
  <si>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</si>
  <si>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</si>
  <si>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</si>
  <si>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</si>
  <si>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</si>
  <si>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</si>
  <si>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</si>
  <si>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</si>
  <si>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</si>
  <si>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</si>
  <si>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</si>
  <si>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</si>
  <si>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</si>
  <si>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</si>
  <si>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</si>
  <si>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</si>
  <si>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</si>
  <si>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</si>
  <si>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</si>
  <si>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</si>
  <si>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</si>
  <si>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</si>
  <si>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</si>
  <si>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</si>
  <si>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</si>
  <si>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</si>
  <si>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</si>
  <si>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</si>
  <si>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</si>
  <si>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</si>
  <si>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</si>
  <si>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</si>
  <si>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</si>
  <si>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</si>
  <si>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</si>
  <si>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</si>
  <si>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</si>
  <si>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</si>
  <si>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</si>
  <si>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</si>
  <si>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</si>
  <si>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</si>
  <si>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</si>
  <si>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</si>
  <si>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</si>
  <si>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</si>
  <si>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</si>
  <si>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</si>
  <si>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</si>
  <si>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</si>
  <si>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</si>
  <si>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</si>
  <si>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</si>
  <si>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</si>
  <si>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</si>
  <si>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</si>
  <si>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</si>
  <si>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</si>
  <si>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</si>
  <si>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</si>
  <si>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</si>
  <si>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</si>
  <si>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</si>
  <si>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</si>
  <si>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</si>
  <si>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</si>
  <si>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</si>
  <si>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</si>
  <si>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</si>
  <si>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</si>
  <si>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</si>
  <si>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</si>
  <si>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</si>
  <si>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</si>
  <si>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</si>
  <si>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</si>
  <si>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</si>
  <si>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</si>
  <si>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</si>
  <si>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</si>
  <si>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</si>
  <si>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</si>
  <si>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</si>
  <si>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</si>
  <si>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</si>
  <si>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</si>
  <si>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</si>
  <si>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</si>
  <si>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</si>
  <si>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</si>
  <si>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</si>
  <si>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</si>
  <si>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</si>
  <si>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</si>
  <si>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</si>
  <si>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</si>
  <si>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</si>
  <si>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</si>
  <si>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</si>
  <si>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</si>
  <si>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</si>
  <si>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</si>
  <si>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</si>
  <si>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</si>
  <si>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</si>
  <si>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</si>
  <si>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</si>
  <si>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</si>
  <si>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</si>
  <si>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</si>
  <si>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</si>
  <si>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</si>
  <si>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</si>
  <si>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</si>
  <si>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</si>
  <si>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</si>
  <si>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</si>
  <si>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</si>
  <si>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</si>
  <si>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</si>
  <si>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</si>
  <si>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</si>
  <si>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</si>
  <si>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</si>
  <si>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</si>
  <si>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</si>
  <si>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</si>
  <si>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</si>
  <si>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</si>
  <si>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</si>
  <si>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</si>
  <si>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</si>
  <si>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</si>
  <si>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</si>
  <si>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</si>
  <si>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</si>
  <si>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</si>
  <si>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</si>
  <si>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</si>
  <si>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</si>
  <si>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</si>
  <si>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</si>
  <si>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</si>
  <si>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</si>
  <si>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</si>
  <si>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</si>
  <si>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</si>
  <si>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</si>
  <si>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</si>
  <si>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</si>
  <si>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</si>
  <si>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</si>
  <si>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</si>
  <si>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</si>
  <si>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</si>
  <si>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</si>
  <si>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</si>
  <si>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</si>
  <si>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</si>
  <si>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</si>
  <si>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</si>
  <si>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</si>
  <si>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</si>
  <si>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</si>
  <si>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</si>
  <si>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</si>
  <si>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</si>
  <si>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</si>
  <si>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</si>
  <si>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</si>
  <si>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</si>
  <si>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</si>
  <si>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</si>
  <si>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</si>
  <si>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</si>
  <si>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</si>
  <si>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</si>
  <si>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</si>
  <si>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</si>
  <si>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</si>
  <si>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</si>
  <si>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</si>
  <si>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</si>
  <si>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</si>
  <si>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</si>
  <si>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</si>
  <si>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</si>
  <si>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</si>
  <si>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</si>
  <si>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</si>
  <si>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</si>
  <si>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</si>
  <si>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</si>
  <si>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</si>
  <si>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</si>
  <si>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</si>
  <si>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</si>
  <si>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</si>
  <si>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</si>
  <si>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</si>
  <si>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</si>
  <si>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</si>
  <si>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</si>
  <si>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</si>
  <si>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</si>
  <si>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</si>
  <si>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</si>
  <si>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</si>
  <si>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</si>
  <si>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</si>
  <si>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</si>
  <si>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</si>
  <si>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</si>
  <si>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</si>
  <si>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</si>
  <si>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</si>
  <si>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</si>
  <si>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</si>
  <si>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</si>
  <si>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</si>
  <si>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</si>
  <si>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</si>
  <si>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</si>
  <si>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</si>
  <si>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</si>
  <si>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</si>
  <si>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</si>
  <si>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</si>
  <si>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</si>
  <si>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</si>
  <si>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</si>
  <si>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</si>
  <si>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</si>
  <si>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</si>
  <si>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</si>
  <si>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</si>
  <si>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</si>
  <si>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</si>
  <si>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</si>
  <si>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</si>
  <si>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</si>
  <si>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</si>
  <si>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</si>
  <si>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</si>
  <si>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</si>
  <si>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</si>
  <si>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</si>
  <si>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</si>
  <si>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</si>
  <si>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</si>
  <si>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</si>
  <si>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</si>
  <si>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</si>
  <si>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</si>
  <si>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</si>
  <si>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</si>
  <si>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</si>
  <si>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</si>
  <si>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</si>
  <si>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</si>
  <si>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</si>
  <si>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</si>
  <si>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</si>
  <si>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</si>
  <si>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</si>
  <si>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</si>
  <si>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</si>
  <si>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</si>
  <si>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</si>
  <si>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</si>
  <si>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</si>
  <si>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</si>
  <si>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</si>
  <si>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</si>
  <si>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</si>
  <si>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</si>
  <si>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</si>
  <si>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</si>
  <si>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</si>
  <si>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</si>
  <si>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</si>
  <si>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</si>
  <si>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</si>
  <si>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</si>
  <si>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</si>
  <si>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</si>
  <si>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</si>
  <si>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</si>
  <si>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</si>
  <si>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</si>
  <si>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</si>
  <si>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</si>
  <si>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</si>
  <si>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</si>
  <si>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</si>
  <si>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</si>
  <si>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</si>
  <si>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</si>
  <si>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</si>
  <si>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</si>
  <si>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</si>
  <si>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</si>
  <si>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</si>
  <si>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</si>
  <si>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</si>
  <si>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</si>
  <si>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</si>
  <si>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</si>
  <si>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</si>
  <si>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</si>
  <si>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</si>
  <si>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</si>
  <si>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</si>
  <si>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</si>
  <si>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</si>
  <si>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</si>
  <si>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</si>
  <si>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</si>
  <si>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</si>
  <si>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</si>
  <si>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</si>
  <si>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</si>
  <si>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</si>
  <si>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</si>
  <si>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</si>
  <si>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</si>
  <si>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</si>
  <si>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</si>
  <si>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</si>
  <si>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</si>
  <si>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</si>
  <si>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</si>
  <si>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</si>
  <si>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</si>
  <si>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</si>
  <si>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</si>
  <si>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</si>
  <si>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</si>
  <si>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</si>
  <si>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</si>
  <si>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</si>
  <si>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</si>
  <si>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</si>
  <si>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</si>
  <si>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</si>
  <si>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</si>
  <si>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</si>
  <si>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</si>
  <si>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</si>
  <si>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</si>
  <si>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</si>
  <si>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</si>
  <si>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</si>
  <si>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</si>
  <si>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</si>
  <si>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</si>
  <si>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</si>
  <si>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</si>
  <si>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</si>
  <si>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</si>
  <si>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</si>
  <si>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</si>
  <si>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</si>
  <si>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</si>
  <si>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</si>
  <si>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</si>
  <si>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</si>
  <si>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</si>
  <si>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</si>
  <si>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</si>
  <si>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</si>
  <si>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</si>
  <si>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</si>
  <si>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</si>
  <si>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</si>
  <si>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</si>
  <si>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</si>
  <si>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</si>
  <si>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</si>
  <si>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</si>
  <si>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</si>
  <si>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</si>
  <si>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</si>
  <si>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</si>
  <si>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</si>
  <si>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</si>
  <si>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</si>
  <si>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</si>
  <si>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</si>
  <si>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</si>
  <si>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</si>
  <si>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</si>
  <si>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</si>
  <si>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</si>
  <si>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</si>
  <si>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</si>
  <si>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</si>
  <si>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</si>
  <si>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</si>
  <si>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</si>
  <si>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</si>
  <si>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</si>
  <si>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</si>
  <si>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</si>
  <si>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</si>
  <si>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</si>
  <si>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</si>
  <si>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</si>
  <si>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</si>
  <si>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</si>
  <si>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</si>
  <si>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</si>
  <si>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</si>
  <si>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</si>
  <si>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</si>
  <si>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</si>
  <si>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</si>
  <si>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</si>
  <si>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</si>
  <si>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</si>
  <si>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</si>
  <si>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</si>
  <si>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</si>
  <si>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</si>
  <si>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</si>
  <si>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</si>
  <si>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</si>
  <si>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</si>
  <si>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</si>
  <si>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</si>
  <si>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</si>
  <si>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</si>
  <si>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</si>
  <si>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</si>
  <si>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</si>
  <si>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</si>
  <si>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</si>
  <si>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</si>
  <si>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</si>
  <si>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</si>
  <si>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</si>
  <si>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</si>
  <si>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</si>
  <si>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</si>
  <si>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</si>
  <si>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</si>
  <si>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</si>
  <si>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</si>
  <si>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</si>
  <si>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</si>
  <si>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</si>
  <si>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</si>
  <si>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</si>
  <si>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</si>
  <si>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</si>
  <si>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</si>
  <si>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</si>
  <si>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</si>
  <si>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</si>
  <si>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</si>
  <si>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</si>
  <si>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</si>
  <si>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</si>
  <si>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</si>
  <si>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</si>
  <si>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</si>
  <si>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</si>
  <si>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</si>
  <si>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</si>
  <si>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</si>
  <si>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</si>
  <si>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</si>
  <si>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</si>
  <si>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</si>
  <si>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</si>
  <si>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</si>
  <si>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</si>
  <si>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</si>
  <si>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</si>
  <si>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</si>
  <si>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</si>
  <si>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</si>
  <si>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</si>
  <si>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</si>
  <si>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</si>
  <si>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</si>
  <si>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</si>
  <si>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</si>
  <si>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</si>
  <si>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</si>
  <si>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</si>
  <si>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</si>
  <si>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</si>
  <si>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</si>
  <si>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</si>
  <si>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</si>
  <si>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</si>
  <si>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</si>
  <si>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</si>
  <si>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</si>
  <si>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</si>
  <si>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</si>
  <si>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</si>
  <si>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</si>
  <si>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</si>
  <si>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</si>
  <si>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</si>
  <si>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</si>
  <si>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</si>
  <si>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</si>
  <si>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</si>
  <si>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</si>
  <si>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</si>
  <si>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</si>
  <si>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</si>
  <si>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</si>
  <si>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</si>
  <si>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</si>
  <si>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</si>
  <si>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</si>
  <si>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</si>
  <si>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</si>
  <si>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</si>
  <si>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</si>
  <si>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</si>
  <si>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</si>
  <si>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</si>
  <si>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</si>
  <si>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</si>
  <si>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</si>
  <si>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</si>
  <si>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</si>
  <si>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</si>
  <si>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</si>
  <si>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</si>
  <si>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</si>
  <si>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</si>
  <si>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</si>
  <si>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</si>
  <si>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</si>
  <si>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</si>
  <si>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</si>
  <si>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</si>
  <si>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</si>
  <si>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</si>
  <si>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</si>
  <si>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</si>
  <si>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</si>
  <si>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</si>
  <si>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</si>
  <si>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</si>
  <si>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</si>
  <si>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</si>
  <si>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</si>
  <si>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</si>
  <si>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</si>
  <si>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</si>
  <si>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</si>
  <si>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</si>
  <si>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</si>
  <si>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</si>
  <si>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</si>
  <si>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</si>
  <si>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</si>
  <si>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</si>
  <si>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</si>
  <si>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</si>
  <si>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</si>
  <si>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</si>
  <si>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</si>
  <si>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</si>
  <si>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</si>
  <si>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</si>
  <si>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</si>
  <si>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</si>
  <si>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</si>
  <si>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</si>
  <si>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</si>
  <si>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</si>
  <si>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</si>
  <si>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</si>
  <si>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</si>
  <si>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</si>
  <si>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</si>
  <si>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</si>
  <si>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</si>
  <si>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</si>
  <si>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</si>
  <si>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</si>
  <si>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</si>
  <si>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</si>
  <si>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</si>
  <si>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</si>
  <si>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</si>
  <si>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</si>
  <si>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</si>
  <si>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</si>
  <si>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</si>
  <si>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</si>
  <si>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</si>
  <si>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</si>
  <si>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</si>
  <si>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</si>
  <si>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</si>
  <si>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</si>
  <si>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</si>
  <si>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</si>
  <si>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</si>
  <si>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</si>
  <si>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</si>
  <si>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</si>
  <si>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</si>
  <si>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</si>
  <si>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</si>
  <si>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</si>
  <si>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</si>
  <si>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</si>
  <si>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</si>
  <si>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</si>
  <si>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</si>
  <si>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</si>
  <si>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</si>
  <si>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</si>
  <si>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</si>
  <si>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</si>
  <si>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</si>
  <si>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</si>
  <si>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</si>
  <si>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</si>
  <si>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</si>
  <si>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</si>
  <si>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</si>
  <si>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</si>
  <si>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</si>
  <si>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</si>
  <si>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</si>
  <si>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</si>
  <si>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</si>
  <si>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</si>
  <si>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</si>
  <si>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</si>
  <si>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</si>
  <si>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</si>
  <si>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</si>
  <si>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</si>
  <si>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</si>
  <si>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</si>
  <si>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</si>
  <si>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</si>
  <si>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</si>
  <si>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</si>
  <si>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</si>
  <si>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</si>
  <si>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</si>
  <si>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</si>
  <si>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</si>
  <si>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</si>
  <si>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</si>
  <si>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</si>
  <si>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</si>
  <si>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</si>
  <si>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</si>
  <si>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</si>
  <si>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</si>
  <si>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</si>
  <si>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</si>
  <si>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</si>
  <si>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</si>
  <si>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</si>
  <si>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</si>
  <si>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</si>
  <si>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</si>
  <si>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</si>
  <si>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</si>
  <si>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</si>
  <si>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</si>
  <si>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</si>
  <si>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</si>
  <si>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</si>
  <si>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</si>
  <si>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</si>
  <si>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</si>
  <si>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</si>
  <si>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</si>
  <si>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</si>
  <si>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</si>
  <si>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</si>
  <si>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</si>
  <si>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</si>
  <si>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</si>
  <si>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</si>
  <si>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</si>
  <si>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</si>
  <si>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</si>
  <si>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</si>
  <si>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</si>
  <si>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</si>
  <si>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</si>
  <si>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</si>
  <si>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</si>
  <si>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</si>
  <si>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</si>
  <si>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</si>
  <si>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</si>
  <si>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</si>
  <si>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</si>
  <si>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</si>
  <si>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</si>
  <si>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</si>
  <si>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</si>
  <si>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</si>
  <si>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</si>
  <si>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</si>
  <si>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</si>
  <si>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</si>
  <si>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</si>
  <si>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</si>
  <si>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</si>
  <si>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</si>
  <si>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</si>
  <si>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</si>
  <si>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</si>
  <si>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</si>
  <si>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</si>
  <si>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</si>
  <si>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</si>
  <si>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</si>
  <si>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</si>
  <si>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</si>
  <si>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</si>
  <si>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</si>
  <si>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</si>
  <si>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</si>
  <si>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</si>
  <si>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</si>
  <si>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</si>
  <si>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</si>
  <si>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</si>
  <si>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</si>
  <si>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</si>
  <si>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</si>
  <si>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</si>
  <si>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</si>
  <si>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</si>
  <si>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</si>
  <si>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</si>
  <si>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</si>
  <si>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</si>
  <si>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</si>
  <si>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</si>
  <si>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</si>
  <si>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</si>
  <si>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</si>
  <si>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</si>
  <si>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</si>
  <si>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</si>
  <si>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</si>
  <si>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</si>
  <si>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</si>
  <si>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</si>
  <si>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</si>
  <si>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</si>
  <si>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</si>
  <si>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</si>
  <si>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</si>
  <si>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</si>
  <si>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</si>
  <si>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</si>
  <si>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</si>
  <si>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</si>
  <si>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</si>
  <si>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</si>
  <si>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</si>
  <si>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</si>
  <si>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</si>
  <si>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</si>
  <si>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</si>
  <si>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</si>
  <si>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</si>
  <si>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</si>
  <si>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</si>
  <si>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</si>
  <si>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</si>
  <si>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</si>
  <si>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</si>
  <si>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</si>
  <si>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</si>
  <si>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</si>
  <si>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</si>
  <si>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</si>
  <si>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</si>
  <si>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</si>
  <si>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</si>
  <si>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</si>
  <si>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</si>
  <si>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</si>
  <si>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</si>
  <si>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</si>
  <si>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</si>
  <si>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</si>
  <si>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</si>
  <si>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</si>
  <si>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</si>
  <si>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</si>
  <si>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</si>
  <si>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</si>
  <si>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</si>
  <si>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</si>
  <si>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</si>
  <si>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</si>
  <si>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</si>
  <si>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</si>
  <si>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</si>
  <si>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</si>
  <si>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</si>
  <si>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</si>
  <si>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</si>
  <si>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</si>
  <si>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</si>
  <si>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</si>
  <si>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</si>
  <si>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</si>
  <si>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</si>
  <si>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</si>
  <si>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</si>
  <si>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</si>
  <si>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</si>
  <si>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</si>
  <si>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</si>
  <si>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</si>
  <si>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</si>
  <si>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</si>
  <si>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</si>
  <si>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</si>
  <si>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</si>
  <si>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</si>
  <si>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</si>
  <si>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</si>
  <si>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</si>
  <si>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</si>
  <si>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</si>
  <si>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</si>
  <si>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</si>
  <si>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</si>
  <si>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</si>
  <si>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</si>
  <si>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</si>
  <si>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</si>
  <si>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</si>
  <si>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</si>
  <si>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</si>
  <si>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</si>
  <si>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</si>
  <si>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</si>
  <si>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</si>
  <si>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</si>
  <si>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</si>
  <si>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</si>
  <si>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</si>
  <si>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</si>
  <si>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</si>
  <si>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</si>
  <si>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</si>
  <si>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</si>
  <si>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</si>
  <si>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</si>
  <si>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</si>
  <si>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</si>
  <si>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</si>
  <si>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</si>
  <si>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</si>
  <si>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</si>
  <si>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</si>
  <si>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</si>
  <si>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</si>
  <si>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</si>
  <si>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</si>
  <si>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</si>
  <si>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</si>
  <si>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</si>
  <si>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</si>
  <si>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</si>
  <si>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</si>
  <si>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</si>
  <si>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</si>
  <si>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</si>
  <si>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</si>
  <si>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</si>
  <si>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</si>
  <si>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</si>
  <si>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</si>
  <si>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</si>
  <si>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</si>
  <si>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</si>
  <si>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</si>
  <si>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</si>
  <si>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</si>
  <si>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</si>
  <si>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</si>
  <si>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</si>
  <si>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</si>
  <si>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</si>
  <si>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</si>
  <si>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</si>
  <si>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</si>
  <si>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</si>
  <si>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</si>
  <si>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</si>
  <si>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</si>
  <si>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</si>
  <si>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</si>
  <si>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</si>
  <si>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</si>
  <si>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</si>
  <si>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</si>
  <si>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</si>
  <si>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</si>
  <si>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</si>
  <si>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</si>
  <si>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</si>
  <si>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</si>
  <si>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</si>
  <si>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</si>
  <si>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</si>
  <si>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</si>
  <si>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</si>
  <si>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</si>
  <si>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</si>
  <si>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</si>
  <si>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</si>
  <si>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</si>
  <si>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</si>
  <si>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</si>
  <si>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</si>
  <si>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</si>
  <si>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</si>
  <si>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</si>
  <si>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</si>
  <si>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</si>
  <si>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</si>
  <si>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</si>
  <si>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</si>
  <si>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</si>
  <si>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</si>
  <si>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</si>
  <si>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</si>
  <si>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</si>
  <si>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</si>
  <si>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</si>
  <si>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</si>
  <si>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</si>
  <si>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</si>
  <si>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</si>
  <si>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</si>
  <si>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</si>
  <si>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</si>
  <si>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</si>
  <si>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</si>
  <si>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</si>
  <si>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</si>
  <si>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</si>
  <si>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</si>
  <si>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</si>
  <si>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</si>
  <si>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</si>
  <si>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</si>
  <si>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</si>
  <si>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</si>
  <si>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</si>
  <si>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</si>
  <si>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</si>
  <si>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</si>
  <si>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</si>
  <si>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</si>
  <si>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</si>
  <si>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</si>
  <si>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</si>
  <si>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</si>
  <si>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</si>
  <si>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</si>
  <si>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</si>
  <si>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</si>
  <si>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</si>
  <si>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</si>
  <si>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</si>
  <si>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</si>
  <si>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</si>
  <si>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</si>
  <si>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</si>
  <si>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</si>
  <si>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</si>
  <si>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</si>
  <si>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</si>
  <si>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</si>
  <si>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</si>
  <si>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</si>
  <si>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</si>
  <si>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</si>
  <si>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</si>
  <si>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</si>
  <si>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</si>
  <si>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</si>
  <si>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</si>
  <si>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</si>
  <si>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</si>
  <si>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</si>
  <si>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</si>
  <si>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</si>
  <si>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</si>
  <si>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</si>
  <si>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</si>
  <si>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</si>
  <si>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</si>
  <si>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</si>
  <si>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</si>
  <si>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</si>
  <si>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</si>
  <si>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</si>
  <si>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</si>
  <si>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</si>
  <si>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</si>
  <si>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</si>
  <si>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</si>
  <si>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</si>
  <si>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</si>
  <si>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</si>
  <si>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</si>
  <si>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</si>
  <si>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</si>
  <si>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</si>
  <si>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</si>
  <si>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</si>
  <si>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</si>
  <si>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</si>
  <si>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</si>
  <si>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</si>
  <si>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</si>
  <si>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</si>
  <si>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</si>
  <si>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</si>
  <si>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</si>
  <si>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</si>
  <si>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</si>
  <si>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</si>
  <si>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</si>
  <si>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</si>
  <si>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</si>
  <si>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</si>
  <si>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</si>
  <si>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</si>
  <si>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</si>
  <si>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</si>
  <si>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</si>
  <si>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</si>
  <si>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</si>
  <si>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</si>
  <si>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</si>
  <si>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</si>
  <si>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</si>
  <si>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</si>
  <si>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</si>
  <si>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</si>
  <si>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</si>
  <si>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</si>
  <si>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</si>
  <si>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</si>
  <si>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</si>
  <si>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</si>
  <si>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</si>
  <si>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</si>
  <si>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</si>
  <si>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</si>
  <si>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</si>
  <si>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</si>
  <si>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</si>
  <si>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</si>
  <si>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</si>
  <si>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</si>
  <si>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</si>
  <si>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</si>
  <si>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</si>
  <si>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</si>
  <si>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</si>
  <si>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</si>
  <si>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</si>
  <si>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</si>
  <si>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</si>
  <si>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</si>
  <si>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</si>
  <si>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</si>
  <si>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</si>
  <si>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</si>
  <si>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</si>
  <si>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</si>
  <si>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</si>
  <si>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</si>
  <si>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</si>
  <si>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</si>
  <si>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</si>
  <si>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</si>
  <si>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</si>
  <si>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</si>
  <si>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</si>
  <si>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</si>
  <si>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</si>
  <si>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</si>
  <si>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</si>
  <si>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</si>
  <si>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</si>
  <si>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</si>
  <si>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</si>
  <si>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</si>
  <si>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</si>
  <si>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</si>
  <si>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</si>
  <si>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</si>
  <si>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</si>
  <si>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</si>
  <si>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</si>
  <si>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</si>
  <si>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</si>
  <si>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</si>
  <si>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</si>
  <si>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</si>
  <si>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</si>
  <si>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</si>
  <si>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</si>
  <si>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</si>
  <si>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</si>
  <si>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</si>
  <si>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</si>
  <si>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</si>
  <si>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</si>
  <si>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</si>
  <si>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</si>
  <si>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</si>
  <si>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</si>
  <si>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</si>
  <si>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</si>
  <si>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</si>
  <si>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</si>
  <si>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</si>
  <si>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</si>
  <si>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</si>
  <si>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</si>
  <si>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</si>
  <si>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</si>
  <si>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</si>
  <si>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</si>
  <si>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</si>
  <si>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</si>
  <si>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</si>
  <si>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</si>
  <si>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</si>
  <si>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</si>
  <si>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</si>
  <si>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</si>
  <si>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</si>
  <si>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</si>
  <si>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</si>
  <si>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</si>
  <si>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</si>
  <si>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</si>
  <si>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</si>
  <si>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</si>
  <si>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</si>
  <si>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</si>
  <si>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</si>
  <si>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</si>
  <si>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</si>
  <si>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</si>
  <si>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</si>
  <si>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</si>
  <si>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</si>
  <si>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</si>
  <si>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</si>
  <si>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</si>
  <si>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</si>
  <si>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</si>
  <si>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</si>
  <si>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</si>
  <si>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</si>
  <si>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</si>
  <si>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</si>
  <si>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</si>
  <si>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</si>
  <si>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</si>
  <si>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</si>
  <si>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</si>
  <si>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</si>
  <si>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</si>
  <si>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</si>
  <si>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</si>
  <si>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</si>
  <si>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</si>
  <si>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</si>
  <si>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</si>
  <si>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</si>
  <si>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</si>
  <si>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</si>
  <si>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</si>
  <si>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</si>
  <si>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</si>
  <si>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</si>
  <si>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</si>
  <si>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</si>
  <si>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</si>
  <si>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</si>
  <si>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</si>
  <si>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</si>
  <si>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</si>
  <si>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</si>
  <si>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</si>
  <si>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</si>
  <si>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</si>
  <si>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</si>
  <si>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</si>
  <si>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</si>
  <si>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</si>
  <si>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</si>
  <si>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</si>
  <si>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</si>
  <si>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</si>
  <si>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</si>
  <si>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</si>
  <si>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</si>
  <si>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</si>
  <si>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</si>
  <si>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</si>
  <si>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</si>
  <si>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</si>
  <si>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</si>
  <si>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</si>
  <si>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</si>
  <si>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</si>
  <si>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</si>
  <si>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</si>
  <si>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</si>
  <si>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</si>
  <si>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</si>
  <si>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</si>
  <si>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</si>
  <si>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</si>
  <si>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</si>
  <si>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</si>
  <si>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</si>
  <si>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</si>
  <si>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</si>
  <si>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</si>
  <si>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</si>
  <si>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</si>
  <si>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</si>
  <si>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</si>
  <si>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</si>
  <si>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</si>
  <si>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</si>
  <si>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</si>
  <si>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</si>
  <si>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</si>
  <si>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</si>
  <si>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</si>
  <si>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</si>
  <si>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</si>
  <si>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</si>
  <si>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</si>
  <si>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</si>
  <si>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</si>
  <si>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</si>
  <si>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</si>
  <si>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</si>
  <si>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</si>
  <si>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</si>
  <si>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</si>
  <si>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</si>
  <si>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</si>
  <si>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</si>
  <si>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</si>
  <si>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</si>
  <si>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</si>
  <si>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</si>
  <si>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</si>
  <si>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</si>
  <si>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</si>
  <si>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</si>
  <si>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</si>
  <si>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</si>
  <si>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</si>
  <si>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</si>
  <si>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</si>
  <si>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</si>
  <si>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</si>
  <si>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</si>
  <si>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</si>
  <si>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</si>
  <si>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</si>
  <si>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</si>
  <si>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</si>
  <si>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</si>
  <si>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</si>
  <si>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</si>
  <si>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</si>
  <si>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</si>
  <si>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</si>
  <si>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</si>
  <si>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</si>
  <si>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</si>
  <si>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</si>
  <si>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</si>
  <si>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</si>
  <si>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</si>
  <si>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</si>
  <si>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</si>
  <si>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</si>
  <si>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</si>
  <si>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</si>
  <si>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</si>
  <si>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</si>
  <si>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</si>
  <si>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</si>
  <si>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</si>
  <si>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</si>
  <si>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</si>
  <si>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</si>
  <si>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</si>
  <si>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</si>
  <si>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</si>
  <si>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</si>
  <si>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</si>
  <si>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</si>
  <si>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</si>
  <si>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</si>
  <si>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</si>
  <si>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</si>
  <si>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</si>
  <si>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</si>
  <si>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</si>
  <si>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</si>
  <si>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</si>
  <si>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</si>
  <si>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</si>
  <si>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</si>
  <si>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</si>
  <si>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</si>
  <si>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</si>
  <si>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</si>
  <si>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</si>
  <si>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</si>
  <si>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</si>
  <si>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</si>
  <si>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</si>
  <si>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</si>
  <si>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</si>
  <si>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</si>
  <si>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</si>
  <si>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</si>
  <si>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</si>
  <si>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</si>
  <si>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</si>
  <si>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</si>
  <si>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</si>
  <si>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</si>
  <si>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</si>
  <si>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</si>
  <si>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</si>
  <si>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</si>
  <si>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</si>
  <si>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</si>
  <si>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</si>
  <si>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</si>
  <si>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</si>
  <si>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</si>
  <si>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</si>
  <si>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</si>
  <si>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</si>
  <si>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</si>
  <si>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</si>
  <si>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</si>
  <si>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</si>
  <si>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</si>
  <si>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</si>
  <si>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</si>
  <si>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</si>
  <si>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</si>
  <si>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</si>
  <si>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</si>
  <si>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</si>
  <si>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</si>
  <si>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</si>
  <si>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</si>
  <si>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</si>
  <si>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</si>
  <si>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</si>
  <si>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</si>
  <si>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</si>
  <si>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</si>
  <si>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</si>
  <si>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</si>
  <si>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</si>
  <si>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</si>
  <si>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</si>
  <si>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</si>
  <si>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</si>
  <si>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</si>
  <si>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</si>
  <si>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</si>
  <si>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</si>
  <si>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</si>
  <si>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</si>
  <si>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</si>
  <si>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</si>
  <si>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</si>
  <si>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</si>
  <si>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</si>
  <si>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</si>
  <si>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</si>
  <si>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</si>
  <si>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</si>
  <si>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</si>
  <si>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</si>
  <si>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</si>
  <si>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</si>
  <si>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</si>
  <si>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</si>
  <si>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</si>
  <si>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</si>
  <si>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</si>
  <si>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</si>
  <si>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</si>
  <si>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</si>
  <si>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</si>
  <si>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</si>
  <si>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</si>
  <si>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</si>
  <si>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</si>
  <si>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</si>
  <si>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</si>
  <si>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</si>
  <si>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</si>
  <si>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</si>
  <si>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</si>
  <si>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</si>
  <si>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</si>
  <si>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</si>
  <si>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</si>
  <si>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</si>
  <si>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</si>
  <si>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</si>
  <si>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</si>
  <si>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</si>
  <si>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</si>
  <si>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</si>
  <si>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</si>
  <si>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</si>
  <si>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</si>
  <si>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</si>
  <si>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</si>
  <si>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</si>
  <si>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</si>
  <si>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</si>
  <si>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</si>
  <si>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</si>
  <si>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</si>
  <si>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</si>
  <si>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</si>
  <si>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</si>
  <si>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</si>
  <si>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</si>
  <si>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</si>
  <si>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</si>
  <si>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</si>
  <si>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</si>
  <si>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</si>
  <si>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</si>
  <si>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</si>
  <si>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</si>
  <si>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</si>
  <si>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</si>
  <si>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</si>
  <si>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</si>
  <si>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</si>
  <si>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</si>
  <si>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</si>
  <si>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</si>
  <si>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</si>
  <si>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</si>
  <si>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</si>
  <si>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</si>
  <si>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</si>
  <si>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</si>
  <si>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</si>
  <si>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</si>
  <si>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</si>
  <si>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</si>
  <si>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</si>
  <si>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</si>
  <si>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</si>
  <si>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</si>
  <si>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</si>
  <si>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</si>
  <si>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</si>
  <si>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</si>
  <si>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</si>
  <si>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</si>
  <si>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</si>
  <si>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</si>
  <si>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</si>
  <si>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</si>
  <si>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</si>
  <si>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</si>
  <si>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</si>
  <si>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</si>
  <si>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</si>
  <si>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</si>
  <si>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</si>
  <si>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</si>
  <si>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</si>
  <si>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</si>
  <si>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</si>
  <si>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</si>
  <si>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</si>
  <si>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</si>
  <si>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</si>
  <si>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</si>
  <si>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</si>
  <si>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</si>
  <si>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</si>
  <si>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</si>
  <si>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</si>
  <si>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</si>
  <si>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</si>
  <si>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</si>
  <si>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</si>
  <si>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</si>
  <si>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</si>
  <si>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</si>
  <si>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</si>
  <si>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</si>
  <si>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</si>
  <si>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</si>
  <si>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</si>
  <si>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</si>
  <si>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</si>
  <si>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</si>
  <si>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</si>
  <si>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</si>
  <si>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</si>
  <si>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</si>
  <si>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</si>
  <si>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</si>
  <si>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</si>
  <si>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</si>
  <si>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</si>
  <si>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</si>
  <si>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</si>
  <si>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</si>
  <si>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</si>
  <si>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</si>
  <si>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</si>
  <si>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</si>
  <si>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</si>
  <si>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</si>
  <si>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</si>
  <si>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</si>
  <si>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</si>
  <si>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</si>
  <si>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</si>
  <si>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</si>
  <si>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</si>
  <si>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</si>
  <si>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</si>
  <si>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</si>
  <si>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</si>
  <si>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</si>
  <si>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</si>
  <si>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</si>
  <si>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</si>
  <si>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</si>
  <si>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</si>
  <si>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</si>
  <si>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</si>
  <si>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</si>
  <si>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</si>
  <si>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</si>
  <si>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</si>
  <si>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</si>
  <si>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</si>
  <si>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</si>
  <si>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</si>
  <si>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</si>
  <si>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</si>
  <si>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</si>
  <si>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</si>
  <si>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</si>
  <si>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</si>
  <si>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</si>
  <si>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</si>
  <si>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</si>
  <si>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</si>
  <si>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</si>
  <si>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</si>
  <si>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</si>
  <si>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</si>
  <si>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</si>
  <si>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</si>
  <si>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</si>
  <si>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</si>
  <si>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</si>
  <si>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</si>
  <si>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</si>
  <si>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</si>
  <si>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</si>
  <si>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</si>
  <si>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</si>
  <si>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</si>
  <si>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</si>
  <si>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</si>
  <si>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</si>
  <si>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</si>
  <si>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</si>
  <si>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</si>
  <si>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</si>
  <si>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</si>
  <si>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</si>
  <si>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</si>
  <si>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</si>
  <si>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</si>
  <si>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</si>
  <si>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</si>
  <si>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</si>
  <si>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</si>
  <si>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</si>
  <si>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</si>
  <si>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</si>
  <si>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</si>
  <si>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</si>
  <si>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</si>
  <si>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</si>
  <si>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</si>
  <si>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</si>
  <si>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</si>
  <si>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</si>
  <si>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</si>
  <si>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</si>
  <si>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</si>
  <si>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</si>
  <si>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</si>
  <si>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</si>
  <si>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</si>
  <si>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</si>
  <si>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</si>
  <si>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</si>
  <si>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</si>
  <si>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</si>
  <si>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</si>
  <si>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</si>
  <si>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</si>
  <si>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</si>
  <si>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</si>
  <si>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</si>
  <si>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</si>
  <si>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</si>
  <si>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</si>
  <si>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</si>
  <si>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</si>
  <si>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</si>
  <si>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</si>
  <si>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</si>
  <si>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</si>
  <si>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</si>
  <si>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</si>
  <si>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</si>
  <si>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</si>
  <si>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</si>
  <si>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</si>
  <si>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</si>
  <si>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</si>
  <si>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</si>
  <si>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</si>
  <si>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</si>
  <si>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</si>
  <si>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</si>
  <si>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</si>
  <si>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</si>
  <si>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</si>
  <si>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</si>
  <si>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</si>
  <si>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</si>
  <si>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</si>
  <si>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</si>
  <si>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</si>
  <si>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</si>
  <si>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</si>
  <si>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</si>
  <si>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</si>
  <si>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</si>
  <si>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</si>
  <si>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</si>
  <si>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</si>
  <si>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</si>
  <si>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</si>
  <si>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</si>
  <si>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</si>
  <si>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</si>
  <si>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</si>
  <si>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</si>
  <si>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</si>
  <si>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</si>
  <si>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</si>
  <si>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</si>
  <si>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</si>
  <si>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</si>
  <si>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</si>
  <si>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</si>
  <si>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</si>
  <si>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</si>
  <si>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</si>
  <si>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</si>
  <si>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</si>
  <si>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</si>
  <si>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</si>
  <si>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</si>
  <si>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</si>
  <si>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</si>
  <si>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</si>
  <si>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</si>
  <si>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</si>
  <si>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</si>
  <si>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</si>
  <si>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</si>
  <si>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</si>
  <si>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</si>
  <si>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</si>
  <si>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</si>
  <si>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</si>
  <si>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</si>
  <si>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</si>
  <si>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</si>
  <si>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</si>
  <si>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</si>
  <si>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</si>
  <si>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</si>
  <si>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</si>
  <si>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</si>
  <si>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</si>
  <si>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</si>
  <si>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</si>
  <si>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</si>
  <si>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</si>
  <si>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</si>
  <si>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</si>
  <si>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</si>
  <si>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</si>
  <si>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</si>
  <si>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</si>
  <si>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</si>
  <si>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</si>
  <si>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</si>
  <si>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</si>
  <si>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</si>
  <si>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</si>
  <si>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</si>
  <si>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</si>
  <si>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</si>
  <si>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</si>
  <si>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</si>
  <si>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</si>
  <si>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</si>
  <si>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</si>
  <si>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</si>
  <si>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</si>
  <si>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</si>
  <si>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</si>
  <si>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</si>
  <si>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</si>
  <si>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</si>
  <si>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</si>
  <si>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</si>
  <si>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</si>
  <si>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</si>
  <si>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</si>
  <si>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</si>
  <si>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</si>
  <si>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</si>
  <si>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</si>
  <si>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</si>
  <si>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</si>
  <si>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</si>
  <si>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</si>
  <si>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</si>
  <si>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</si>
  <si>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</si>
  <si>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</si>
  <si>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</si>
  <si>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</si>
  <si>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</si>
  <si>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</si>
  <si>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</si>
  <si>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</si>
  <si>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</si>
  <si>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</si>
  <si>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</si>
  <si>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</si>
  <si>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</si>
  <si>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</si>
  <si>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</si>
  <si>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</si>
  <si>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</si>
  <si>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</si>
  <si>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</si>
  <si>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</si>
  <si>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</si>
  <si>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</si>
  <si>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</si>
  <si>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</si>
  <si>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</si>
  <si>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</si>
  <si>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</si>
  <si>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</si>
  <si>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</si>
  <si>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</si>
  <si>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</si>
  <si>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</si>
  <si>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</si>
  <si>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</si>
  <si>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</si>
  <si>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</si>
  <si>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</si>
  <si>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</si>
  <si>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</si>
  <si>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</si>
  <si>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</si>
  <si>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</si>
  <si>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</si>
  <si>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</si>
  <si>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</si>
  <si>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</si>
  <si>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</si>
  <si>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</si>
  <si>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</si>
  <si>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</si>
  <si>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</si>
  <si>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</si>
  <si>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</si>
  <si>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</si>
  <si>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</si>
  <si>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</si>
  <si>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</si>
  <si>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</si>
  <si>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</si>
  <si>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</si>
  <si>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</si>
  <si>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</si>
  <si>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</si>
  <si>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</si>
  <si>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</si>
  <si>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</si>
  <si>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</si>
  <si>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</si>
  <si>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</si>
  <si>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</si>
  <si>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</si>
  <si>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</si>
  <si>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</si>
  <si>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</si>
  <si>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</si>
  <si>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</si>
  <si>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</si>
  <si>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</si>
  <si>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</si>
  <si>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</si>
  <si>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</si>
  <si>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</si>
  <si>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</si>
  <si>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</si>
  <si>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</si>
  <si>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</si>
  <si>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</si>
  <si>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</si>
  <si>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</si>
  <si>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</si>
  <si>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</si>
  <si>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</si>
  <si>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</si>
  <si>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</si>
  <si>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</si>
  <si>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</si>
  <si>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</si>
  <si>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</si>
  <si>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</si>
  <si>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</si>
  <si>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</si>
  <si>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</si>
  <si>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</si>
  <si>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</si>
  <si>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</si>
  <si>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</si>
  <si>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</si>
  <si>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</si>
  <si>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</si>
  <si>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</si>
  <si>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</si>
  <si>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</si>
  <si>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</si>
  <si>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</si>
  <si>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</si>
  <si>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</si>
  <si>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</si>
  <si>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</si>
  <si>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</si>
  <si>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</si>
  <si>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</si>
  <si>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</si>
  <si>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</si>
  <si>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</si>
  <si>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</si>
  <si>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</si>
  <si>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</si>
  <si>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</si>
  <si>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</si>
  <si>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</si>
  <si>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</si>
  <si>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</si>
  <si>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</si>
  <si>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</si>
  <si>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</si>
  <si>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</si>
  <si>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</si>
  <si>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</si>
  <si>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</si>
  <si>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</si>
  <si>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</si>
  <si>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</si>
  <si>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</si>
  <si>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</si>
  <si>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</si>
  <si>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</si>
  <si>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</si>
  <si>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</si>
  <si>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</si>
  <si>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</si>
  <si>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</si>
  <si>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</si>
  <si>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</si>
  <si>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</si>
  <si>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</si>
  <si>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</si>
  <si>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</si>
  <si>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</si>
  <si>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</si>
  <si>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</si>
  <si>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</si>
  <si>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</si>
  <si>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</si>
  <si>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</si>
  <si>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</si>
  <si>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</si>
  <si>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</si>
  <si>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</si>
  <si>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</si>
  <si>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</si>
  <si>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</si>
  <si>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</si>
  <si>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</si>
  <si>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</si>
  <si>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</si>
  <si>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</si>
  <si>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</si>
  <si>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</si>
  <si>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</si>
  <si>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</si>
  <si>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</si>
  <si>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</si>
  <si>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</si>
  <si>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</si>
  <si>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</si>
  <si>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</si>
  <si>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</si>
  <si>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</si>
  <si>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</si>
  <si>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</si>
  <si>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</si>
  <si>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</si>
  <si>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</si>
  <si>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</si>
  <si>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</si>
  <si>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</si>
  <si>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</si>
  <si>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</si>
  <si>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</si>
  <si>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</si>
  <si>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</si>
  <si>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</si>
  <si>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</si>
  <si>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</si>
  <si>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</si>
  <si>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</si>
  <si>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</si>
  <si>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</si>
  <si>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</si>
  <si>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</si>
  <si>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</si>
  <si>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</si>
  <si>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</si>
  <si>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</si>
  <si>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</si>
  <si>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</si>
  <si>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</si>
  <si>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</si>
  <si>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</si>
  <si>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</si>
  <si>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</si>
  <si>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</si>
  <si>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</si>
  <si>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</si>
  <si>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</si>
  <si>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</si>
  <si>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</si>
  <si>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</si>
  <si>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</si>
  <si>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</si>
  <si>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</si>
  <si>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</si>
  <si>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</si>
  <si>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</si>
  <si>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</si>
  <si>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</si>
  <si>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</si>
  <si>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</si>
  <si>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</si>
  <si>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</si>
  <si>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</si>
  <si>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</si>
  <si>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</si>
  <si>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</si>
  <si>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</si>
  <si>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</si>
  <si>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</si>
  <si>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</si>
  <si>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</si>
  <si>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</si>
  <si>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</si>
  <si>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</si>
  <si>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</si>
  <si>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</si>
  <si>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</si>
  <si>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</si>
  <si>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</si>
  <si>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</si>
  <si>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</si>
  <si>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</si>
  <si>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</si>
  <si>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</si>
  <si>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</si>
  <si>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</si>
  <si>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</si>
  <si>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</si>
  <si>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</si>
  <si>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</si>
  <si>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</si>
  <si>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</si>
  <si>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</si>
  <si>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</si>
  <si>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</si>
  <si>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</si>
  <si>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</si>
  <si>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</si>
  <si>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</si>
  <si>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</si>
  <si>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</si>
  <si>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</si>
  <si>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</si>
  <si>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</si>
  <si>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</si>
  <si>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</si>
  <si>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</si>
  <si>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</si>
  <si>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</si>
  <si>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</si>
  <si>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</si>
  <si>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</si>
  <si>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</si>
  <si>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</si>
  <si>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</si>
  <si>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</si>
  <si>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</si>
  <si>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</si>
  <si>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</si>
  <si>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</si>
  <si>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</si>
  <si>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</si>
  <si>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</si>
  <si>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</si>
  <si>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</si>
  <si>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</si>
  <si>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</si>
  <si>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</si>
  <si>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</si>
  <si>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</si>
  <si>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</si>
  <si>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</si>
  <si>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</si>
  <si>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</si>
  <si>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</si>
  <si>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</si>
  <si>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</si>
  <si>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</si>
  <si>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</si>
  <si>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</si>
  <si>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</si>
  <si>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</si>
  <si>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</si>
  <si>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</si>
  <si>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</si>
  <si>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</si>
  <si>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</si>
  <si>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</si>
  <si>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</si>
  <si>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</si>
  <si>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</si>
  <si>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</si>
  <si>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</si>
  <si>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</si>
  <si>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</si>
  <si>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</si>
  <si>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</si>
  <si>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</si>
  <si>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</si>
  <si>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</si>
  <si>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</si>
  <si>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</si>
  <si>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</si>
  <si>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</si>
  <si>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</si>
  <si>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</si>
  <si>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</si>
  <si>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</si>
  <si>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</si>
  <si>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</si>
  <si>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</si>
  <si>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</si>
  <si>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</si>
  <si>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</si>
  <si>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</si>
  <si>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</si>
  <si>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</si>
  <si>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</si>
  <si>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</si>
  <si>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</si>
  <si>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</si>
  <si>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</si>
  <si>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</si>
  <si>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</si>
  <si>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</si>
  <si>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</si>
  <si>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</si>
  <si>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</si>
  <si>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</si>
  <si>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</si>
  <si>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</si>
  <si>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</si>
  <si>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</si>
  <si>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</si>
  <si>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</si>
  <si>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</si>
  <si>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</si>
  <si>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</si>
  <si>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</si>
  <si>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</si>
  <si>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</si>
  <si>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</si>
  <si>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</si>
  <si>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</si>
  <si>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</si>
  <si>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</si>
  <si>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</si>
  <si>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</si>
  <si>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</si>
  <si>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</si>
  <si>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</si>
  <si>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</si>
  <si>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</si>
  <si>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</si>
  <si>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</si>
  <si>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</si>
  <si>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</si>
  <si>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</si>
  <si>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</si>
  <si>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</si>
  <si>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</si>
  <si>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</si>
  <si>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</si>
  <si>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</si>
  <si>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</si>
  <si>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</si>
  <si>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</si>
  <si>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</si>
  <si>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</si>
  <si>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</si>
  <si>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</si>
  <si>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</si>
  <si>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</si>
  <si>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</si>
  <si>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</si>
  <si>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</si>
  <si>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</si>
  <si>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</si>
  <si>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</si>
  <si>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</si>
  <si>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</si>
  <si>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</si>
  <si>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</si>
  <si>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</si>
  <si>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</si>
  <si>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</si>
  <si>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</si>
  <si>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</si>
  <si>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</si>
  <si>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</si>
  <si>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</si>
  <si>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</si>
  <si>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</si>
  <si>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</si>
  <si>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</si>
  <si>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</si>
  <si>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</si>
  <si>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</si>
  <si>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</si>
  <si>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</si>
  <si>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</si>
  <si>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</si>
  <si>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</si>
  <si>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</si>
  <si>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</si>
  <si>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</si>
  <si>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</si>
  <si>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</si>
  <si>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</si>
  <si>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</si>
  <si>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</si>
  <si>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</si>
  <si>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</si>
  <si>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</si>
  <si>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</si>
  <si>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</si>
  <si>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</si>
  <si>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</si>
  <si>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</si>
  <si>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</si>
  <si>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</si>
  <si>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</si>
  <si>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</si>
  <si>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</si>
  <si>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</si>
  <si>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</si>
  <si>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</si>
  <si>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</si>
  <si>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</si>
  <si>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</si>
  <si>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</si>
  <si>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</si>
  <si>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</si>
  <si>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</si>
  <si>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</si>
  <si>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</si>
  <si>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</si>
  <si>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</si>
  <si>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</si>
  <si>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</si>
  <si>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</si>
  <si>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</si>
  <si>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</si>
  <si>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</si>
  <si>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</si>
  <si>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</si>
  <si>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</si>
  <si>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</si>
  <si>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</si>
  <si>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</si>
  <si>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</si>
  <si>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</si>
  <si>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</si>
  <si>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</si>
  <si>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</si>
  <si>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</si>
  <si>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</si>
  <si>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</si>
  <si>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</si>
  <si>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</si>
  <si>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</si>
  <si>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</si>
  <si>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</si>
  <si>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</si>
  <si>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</si>
  <si>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</si>
  <si>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</si>
  <si>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</si>
  <si>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</si>
  <si>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</si>
  <si>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</si>
  <si>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</si>
  <si>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</si>
  <si>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</si>
  <si>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</si>
  <si>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</si>
  <si>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</si>
  <si>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</si>
  <si>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</si>
  <si>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</si>
  <si>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</si>
  <si>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</si>
  <si>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</si>
  <si>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</si>
  <si>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</si>
  <si>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</si>
  <si>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</si>
  <si>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</si>
  <si>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</si>
  <si>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</si>
  <si>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</si>
  <si>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</si>
  <si>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</si>
  <si>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</si>
  <si>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</si>
  <si>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</si>
  <si>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</si>
  <si>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</si>
  <si>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</si>
  <si>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</si>
  <si>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</si>
  <si>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</si>
  <si>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</si>
  <si>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</si>
  <si>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</si>
  <si>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</si>
  <si>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</si>
  <si>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</si>
  <si>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</si>
  <si>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</si>
  <si>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</si>
  <si>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</si>
  <si>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</si>
  <si>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</si>
  <si>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</si>
  <si>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</si>
  <si>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</si>
  <si>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</si>
  <si>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</si>
  <si>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</si>
  <si>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</si>
  <si>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</si>
  <si>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</si>
  <si>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</si>
  <si>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</si>
  <si>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</si>
  <si>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</si>
  <si>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</si>
  <si>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</si>
  <si>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</si>
  <si>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</si>
  <si>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</si>
  <si>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</si>
  <si>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</si>
  <si>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</si>
  <si>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</si>
  <si>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</si>
  <si>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</si>
  <si>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</si>
  <si>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</si>
  <si>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</si>
  <si>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</si>
  <si>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</si>
  <si>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</si>
  <si>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</si>
  <si>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</si>
  <si>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</si>
  <si>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</si>
  <si>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</si>
  <si>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</si>
  <si>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</si>
  <si>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</si>
  <si>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</si>
  <si>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</si>
  <si>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</si>
  <si>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</si>
  <si>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</si>
  <si>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</si>
  <si>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</si>
  <si>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</si>
  <si>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</si>
  <si>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</si>
  <si>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</si>
  <si>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</si>
  <si>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</si>
  <si>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</si>
  <si>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</si>
  <si>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</si>
  <si>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</si>
  <si>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</si>
  <si>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</si>
  <si>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</si>
  <si>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</si>
  <si>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</si>
  <si>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</si>
  <si>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</si>
  <si>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</si>
  <si>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</si>
  <si>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</si>
  <si>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</si>
  <si>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</si>
  <si>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</si>
  <si>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</si>
  <si>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</si>
  <si>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</si>
  <si>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</si>
  <si>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</si>
  <si>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</si>
  <si>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</si>
  <si>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</si>
  <si>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</si>
  <si>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</si>
  <si>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</si>
  <si>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</si>
  <si>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</si>
  <si>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</si>
  <si>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</si>
  <si>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</si>
  <si>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</si>
  <si>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</si>
  <si>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</si>
  <si>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</si>
  <si>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</si>
  <si>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</si>
  <si>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</si>
  <si>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</si>
  <si>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</si>
  <si>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</si>
  <si>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</si>
  <si>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</si>
  <si>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</si>
  <si>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</si>
  <si>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</si>
  <si>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</si>
  <si>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</si>
  <si>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</si>
  <si>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</si>
  <si>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</si>
  <si>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</si>
  <si>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</si>
  <si>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</si>
  <si>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</si>
  <si>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</si>
  <si>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</si>
  <si>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</si>
  <si>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</si>
  <si>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</si>
  <si>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</si>
  <si>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</si>
  <si>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</si>
  <si>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</si>
  <si>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</si>
  <si>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</si>
  <si>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</si>
  <si>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</si>
  <si>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</si>
  <si>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</si>
  <si>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</si>
  <si>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</si>
  <si>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</si>
  <si>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</si>
  <si>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</si>
  <si>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</si>
  <si>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</si>
  <si>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</si>
  <si>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</si>
  <si>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</si>
  <si>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</si>
  <si>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</si>
  <si>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</si>
  <si>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</si>
  <si>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</si>
  <si>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</si>
  <si>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</si>
  <si>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</si>
  <si>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</si>
  <si>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</si>
  <si>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</si>
  <si>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</si>
  <si>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</si>
  <si>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</si>
  <si>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</si>
  <si>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</si>
  <si>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</si>
  <si>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</si>
  <si>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</si>
  <si>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</si>
  <si>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</si>
  <si>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</si>
  <si>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</si>
  <si>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</si>
  <si>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</si>
  <si>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</si>
  <si>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</si>
  <si>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</si>
  <si>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</si>
  <si>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</si>
  <si>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</si>
  <si>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</si>
  <si>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</si>
  <si>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</si>
  <si>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</si>
  <si>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</si>
  <si>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</si>
  <si>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</si>
  <si>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</si>
  <si>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</si>
  <si>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</si>
  <si>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</si>
  <si>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</si>
  <si>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</si>
  <si>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</si>
  <si>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</si>
  <si>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</si>
  <si>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</si>
  <si>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</si>
  <si>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</si>
  <si>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</si>
  <si>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</si>
  <si>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</si>
  <si>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</si>
  <si>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</si>
  <si>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</si>
  <si>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</si>
  <si>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</si>
  <si>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</si>
  <si>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</si>
  <si>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</si>
  <si>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</si>
  <si>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</si>
  <si>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</si>
  <si>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</si>
  <si>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</si>
  <si>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</si>
  <si>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</si>
  <si>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</si>
  <si>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</si>
  <si>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</si>
  <si>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</si>
  <si>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</si>
  <si>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</si>
  <si>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</si>
  <si>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</si>
  <si>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</si>
  <si>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</si>
  <si>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</si>
  <si>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</si>
  <si>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</si>
  <si>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</si>
  <si>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</si>
  <si>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</si>
  <si>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</si>
  <si>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</si>
  <si>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</si>
  <si>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</si>
  <si>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</si>
  <si>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</si>
  <si>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</si>
  <si>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</si>
  <si>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</si>
  <si>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</si>
  <si>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</si>
  <si>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</si>
  <si>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</si>
  <si>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</si>
  <si>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</si>
  <si>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</si>
  <si>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</si>
  <si>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</si>
  <si>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</si>
  <si>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</si>
  <si>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</si>
  <si>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</si>
  <si>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</si>
  <si>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</si>
  <si>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</si>
  <si>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</si>
  <si>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</si>
  <si>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</si>
  <si>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</si>
  <si>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</si>
  <si>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</si>
  <si>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</si>
  <si>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</si>
  <si>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</si>
  <si>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</si>
  <si>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</si>
  <si>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</si>
  <si>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</si>
  <si>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</si>
  <si>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</si>
  <si>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</si>
  <si>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</si>
  <si>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</si>
  <si>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</si>
  <si>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</si>
  <si>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</si>
  <si>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</si>
  <si>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</si>
  <si>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</si>
  <si>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</si>
  <si>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</si>
  <si>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</si>
  <si>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</si>
  <si>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</si>
  <si>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</si>
  <si>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</si>
  <si>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</si>
  <si>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</si>
  <si>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</si>
  <si>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</si>
  <si>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</si>
  <si>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</si>
  <si>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</si>
  <si>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</si>
  <si>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</si>
  <si>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</si>
  <si>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</si>
  <si>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</si>
  <si>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</si>
  <si>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</si>
  <si>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</si>
  <si>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</si>
  <si>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</si>
  <si>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</si>
  <si>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</si>
  <si>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</si>
  <si>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</si>
  <si>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</si>
  <si>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</si>
  <si>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</si>
  <si>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</si>
  <si>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</si>
  <si>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</si>
  <si>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</si>
  <si>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</si>
  <si>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</si>
  <si>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</si>
  <si>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</si>
  <si>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</si>
  <si>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</si>
  <si>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</si>
  <si>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</si>
  <si>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</si>
  <si>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</si>
  <si>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</si>
  <si>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</si>
  <si>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</si>
  <si>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</si>
  <si>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</si>
  <si>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</si>
  <si>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</si>
  <si>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</si>
  <si>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</si>
  <si>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</si>
  <si>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</si>
  <si>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</si>
  <si>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</si>
  <si>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</si>
  <si>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</si>
  <si>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</si>
  <si>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</si>
  <si>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</si>
  <si>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</si>
  <si>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</si>
  <si>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</si>
  <si>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</si>
  <si>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</si>
  <si>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</si>
  <si>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</si>
  <si>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</si>
  <si>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</si>
  <si>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</si>
  <si>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</si>
  <si>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</si>
  <si>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</si>
  <si>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</si>
  <si>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</si>
  <si>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</si>
  <si>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</si>
  <si>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</si>
  <si>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</si>
  <si>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</si>
  <si>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</si>
  <si>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</si>
  <si>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</si>
  <si>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</si>
  <si>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</si>
  <si>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</si>
  <si>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</si>
  <si>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</si>
  <si>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</si>
  <si>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</si>
  <si>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</si>
  <si>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</si>
  <si>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</si>
  <si>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</si>
  <si>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</si>
  <si>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</si>
  <si>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</si>
  <si>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</si>
  <si>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</si>
  <si>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</si>
  <si>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</si>
  <si>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</si>
  <si>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</si>
  <si>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</si>
  <si>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</si>
  <si>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</si>
  <si>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</si>
  <si>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</si>
  <si>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</si>
  <si>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</si>
  <si>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</si>
  <si>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</si>
  <si>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</si>
  <si>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</si>
  <si>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</si>
  <si>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</si>
  <si>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</si>
  <si>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</si>
  <si>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</si>
  <si>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</si>
  <si>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</si>
  <si>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</si>
  <si>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</si>
  <si>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</si>
  <si>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</si>
  <si>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</si>
  <si>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</si>
  <si>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</si>
  <si>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</si>
  <si>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</si>
  <si>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</si>
  <si>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</si>
  <si>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</si>
  <si>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</si>
  <si>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</si>
  <si>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</si>
  <si>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</si>
  <si>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</si>
  <si>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</si>
  <si>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</si>
  <si>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</si>
  <si>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</si>
  <si>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</si>
  <si>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</si>
  <si>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</si>
  <si>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</si>
  <si>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</si>
  <si>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</si>
  <si>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</si>
  <si>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</si>
  <si>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</si>
  <si>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</si>
  <si>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</si>
  <si>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</si>
  <si>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</si>
  <si>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</si>
  <si>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</si>
  <si>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</si>
  <si>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</si>
  <si>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</si>
  <si>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</si>
  <si>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</si>
  <si>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</si>
  <si>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</si>
  <si>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</si>
  <si>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</si>
  <si>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</si>
  <si>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</si>
  <si>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</si>
  <si>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</si>
  <si>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</si>
  <si>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</si>
  <si>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</si>
  <si>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</si>
  <si>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</si>
  <si>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</si>
  <si>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</si>
  <si>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</si>
  <si>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</si>
  <si>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</si>
  <si>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</si>
  <si>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</si>
  <si>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</si>
  <si>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</si>
  <si>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</si>
  <si>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</si>
  <si>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</si>
  <si>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</si>
  <si>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</si>
  <si>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</si>
  <si>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</si>
  <si>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</si>
  <si>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</si>
  <si>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</si>
  <si>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</si>
  <si>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</si>
  <si>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</si>
  <si>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</si>
  <si>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</si>
  <si>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</si>
  <si>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</si>
  <si>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</si>
  <si>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</si>
  <si>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</si>
  <si>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</si>
  <si>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</si>
  <si>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</si>
  <si>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</si>
  <si>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</si>
  <si>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</si>
  <si>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</si>
  <si>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</si>
  <si>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</si>
  <si>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</si>
  <si>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</si>
  <si>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</si>
  <si>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</si>
  <si>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</si>
  <si>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</si>
  <si>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</si>
  <si>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</si>
  <si>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</si>
  <si>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</si>
  <si>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</si>
  <si>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</si>
  <si>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</si>
  <si>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</si>
  <si>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</si>
  <si>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</si>
  <si>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</si>
  <si>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</si>
  <si>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</si>
  <si>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</si>
  <si>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</si>
  <si>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</si>
  <si>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</si>
  <si>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</si>
  <si>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</si>
  <si>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</si>
  <si>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</si>
  <si>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</si>
  <si>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</si>
  <si>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</si>
  <si>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</si>
  <si>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</si>
  <si>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</si>
  <si>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</si>
  <si>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</si>
  <si>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</si>
  <si>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</si>
  <si>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</si>
  <si>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</si>
  <si>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</si>
  <si>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</si>
  <si>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</si>
  <si>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</si>
  <si>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</si>
  <si>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</si>
  <si>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</si>
  <si>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</si>
  <si>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</si>
  <si>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</si>
  <si>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</si>
  <si>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</si>
  <si>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</si>
  <si>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</si>
  <si>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</si>
  <si>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</si>
  <si>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</si>
  <si>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</si>
  <si>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</si>
  <si>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</si>
  <si>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</si>
  <si>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</si>
  <si>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</si>
  <si>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</si>
  <si>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</si>
  <si>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</si>
  <si>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</si>
  <si>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</si>
  <si>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</si>
  <si>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</si>
  <si>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</si>
  <si>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</si>
  <si>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</si>
  <si>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</si>
  <si>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</si>
  <si>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</si>
  <si>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</si>
  <si>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</si>
  <si>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</si>
  <si>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</si>
  <si>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</si>
  <si>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</si>
  <si>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</si>
  <si>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</si>
  <si>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</si>
  <si>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</si>
  <si>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</si>
  <si>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</si>
  <si>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</si>
  <si>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</si>
  <si>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</si>
  <si>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</si>
  <si>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</si>
  <si>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</si>
  <si>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</si>
  <si>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</si>
  <si>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</si>
  <si>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</si>
  <si>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</si>
  <si>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</si>
  <si>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</si>
  <si>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</si>
  <si>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</si>
  <si>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</si>
  <si>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</si>
  <si>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</si>
  <si>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</si>
  <si>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</si>
  <si>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</si>
  <si>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</si>
  <si>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</si>
  <si>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</si>
  <si>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</si>
  <si>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</si>
  <si>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</si>
  <si>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</si>
  <si>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</si>
  <si>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</si>
  <si>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</si>
  <si>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</si>
  <si>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</si>
  <si>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</si>
  <si>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</si>
  <si>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</si>
  <si>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</si>
  <si>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</si>
  <si>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</si>
  <si>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</si>
  <si>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</si>
  <si>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</si>
  <si>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</si>
  <si>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</si>
  <si>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</si>
  <si>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</si>
  <si>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</si>
  <si>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</si>
  <si>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</si>
  <si>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</si>
  <si>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</si>
  <si>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</si>
  <si>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</si>
  <si>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</si>
  <si>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</si>
  <si>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</si>
  <si>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</si>
  <si>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</si>
  <si>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</si>
  <si>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</si>
  <si>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</si>
  <si>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</si>
  <si>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</si>
  <si>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</si>
  <si>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</si>
  <si>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</si>
  <si>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</si>
  <si>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</si>
  <si>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</si>
  <si>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</si>
  <si>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</si>
  <si>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</si>
  <si>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</si>
  <si>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</si>
  <si>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</si>
  <si>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</si>
  <si>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</si>
  <si>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</si>
  <si>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</si>
  <si>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</si>
  <si>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</si>
  <si>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</si>
  <si>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</si>
  <si>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</si>
  <si>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</si>
  <si>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</si>
  <si>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</si>
  <si>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</si>
  <si>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</si>
  <si>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</si>
  <si>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</si>
  <si>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</si>
  <si>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</si>
  <si>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</si>
  <si>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</si>
  <si>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</si>
  <si>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</si>
  <si>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</si>
  <si>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</si>
  <si>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</si>
  <si>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</si>
  <si>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</si>
  <si>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</si>
  <si>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</si>
  <si>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</si>
  <si>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</si>
  <si>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</si>
  <si>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</si>
  <si>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</si>
  <si>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</si>
  <si>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</si>
  <si>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</si>
  <si>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</si>
  <si>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</si>
  <si>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</si>
  <si>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</si>
  <si>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</si>
  <si>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</si>
  <si>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</si>
  <si>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</si>
  <si>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</si>
  <si>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</si>
  <si>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</si>
  <si>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</si>
  <si>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</si>
  <si>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</si>
  <si>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</si>
  <si>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</si>
  <si>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</si>
  <si>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</si>
  <si>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</si>
  <si>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</si>
  <si>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</si>
  <si>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</si>
  <si>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</si>
  <si>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</si>
  <si>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</si>
  <si>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</si>
  <si>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</si>
  <si>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</si>
  <si>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</si>
  <si>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</si>
  <si>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</si>
  <si>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</si>
  <si>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</si>
  <si>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</si>
  <si>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</si>
  <si>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</si>
  <si>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</si>
  <si>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</si>
  <si>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</si>
  <si>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</si>
  <si>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</si>
  <si>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</si>
  <si>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</si>
  <si>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</si>
  <si>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</si>
  <si>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</si>
  <si>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</si>
  <si>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</si>
  <si>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</si>
  <si>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</si>
  <si>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</si>
  <si>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</si>
  <si>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</si>
  <si>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</si>
  <si>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</si>
  <si>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</si>
  <si>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</si>
  <si>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</si>
  <si>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</si>
  <si>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</si>
  <si>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</si>
  <si>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</si>
  <si>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</si>
  <si>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</si>
  <si>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</si>
  <si>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</si>
  <si>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</si>
  <si>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</si>
  <si>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</si>
  <si>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</si>
  <si>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</si>
  <si>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</si>
  <si>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</si>
  <si>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</si>
  <si>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</si>
  <si>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</si>
  <si>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</si>
  <si>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</si>
  <si>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</si>
  <si>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</si>
  <si>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</si>
  <si>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</si>
  <si>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</si>
  <si>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</si>
  <si>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</si>
  <si>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</si>
  <si>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</si>
  <si>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</si>
  <si>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</si>
  <si>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</si>
  <si>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</si>
  <si>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</si>
  <si>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</si>
  <si>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</si>
  <si>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</si>
  <si>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</si>
  <si>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</si>
  <si>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</si>
  <si>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</si>
  <si>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</si>
  <si>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</si>
  <si>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</si>
  <si>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</si>
  <si>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</si>
  <si>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</si>
  <si>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</si>
  <si>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</si>
  <si>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</si>
  <si>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</si>
  <si>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</si>
  <si>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</si>
  <si>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</si>
  <si>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</si>
  <si>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</si>
  <si>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</si>
  <si>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</si>
  <si>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</si>
  <si>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</si>
  <si>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</si>
  <si>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</si>
  <si>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</si>
  <si>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</si>
  <si>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</si>
  <si>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</si>
  <si>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</si>
  <si>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</si>
  <si>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</si>
  <si>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</si>
  <si>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</si>
  <si>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</si>
  <si>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</si>
  <si>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</si>
  <si>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</si>
  <si>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</si>
  <si>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</si>
  <si>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</si>
  <si>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</si>
  <si>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</si>
  <si>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</si>
  <si>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</si>
  <si>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</si>
  <si>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</si>
  <si>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</si>
  <si>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</si>
  <si>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</si>
  <si>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</si>
  <si>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</si>
  <si>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</si>
  <si>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</si>
  <si>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</si>
  <si>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</si>
  <si>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</si>
  <si>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</si>
  <si>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</si>
  <si>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</si>
  <si>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</si>
  <si>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</si>
  <si>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</si>
  <si>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</si>
  <si>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</si>
  <si>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</si>
  <si>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</si>
  <si>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</si>
  <si>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</si>
  <si>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</si>
  <si>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</si>
  <si>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</si>
  <si>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</si>
  <si>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</si>
  <si>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</si>
  <si>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</si>
  <si>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</si>
  <si>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</si>
  <si>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</si>
  <si>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</si>
  <si>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</si>
  <si>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</si>
  <si>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</si>
  <si>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</si>
  <si>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</si>
  <si>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</si>
  <si>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</si>
  <si>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</si>
  <si>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</si>
  <si>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</si>
  <si>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</si>
  <si>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</si>
  <si>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</si>
  <si>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</si>
  <si>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</si>
  <si>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</si>
  <si>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</si>
  <si>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</si>
  <si>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</si>
  <si>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</si>
  <si>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</si>
  <si>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</si>
  <si>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</si>
  <si>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</si>
  <si>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</si>
  <si>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</si>
  <si>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</si>
  <si>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</si>
  <si>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</si>
  <si>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</si>
  <si>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</si>
  <si>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</si>
  <si>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</si>
  <si>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</si>
  <si>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</si>
  <si>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</si>
  <si>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</si>
  <si>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</si>
  <si>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</si>
  <si>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</si>
  <si>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</si>
  <si>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</si>
  <si>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</si>
  <si>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</si>
  <si>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</si>
  <si>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</si>
  <si>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</si>
  <si>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</si>
  <si>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</si>
  <si>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</si>
  <si>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</si>
  <si>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</si>
  <si>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</si>
  <si>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</si>
  <si>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</si>
  <si>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</si>
  <si>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</si>
  <si>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</si>
  <si>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</si>
  <si>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</si>
  <si>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</si>
  <si>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</si>
  <si>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</si>
  <si>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</si>
  <si>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</si>
  <si>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</si>
  <si>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</si>
  <si>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</si>
  <si>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</si>
  <si>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</si>
  <si>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</si>
  <si>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</si>
  <si>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</si>
  <si>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</si>
  <si>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</si>
  <si>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</si>
  <si>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</si>
  <si>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</si>
  <si>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</si>
  <si>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</si>
  <si>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</si>
  <si>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</si>
  <si>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</si>
  <si>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</si>
  <si>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</si>
  <si>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</si>
  <si>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</si>
  <si>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</si>
  <si>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</si>
  <si>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</si>
  <si>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</si>
  <si>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</si>
  <si>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</si>
  <si>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</si>
  <si>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</si>
  <si>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</si>
  <si>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</si>
  <si>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</si>
  <si>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</si>
  <si>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</si>
  <si>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</si>
  <si>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</si>
  <si>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</si>
  <si>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</si>
  <si>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</si>
  <si>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</si>
  <si>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</si>
  <si>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</si>
  <si>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</si>
  <si>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</si>
  <si>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</si>
  <si>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</si>
  <si>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</si>
  <si>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</si>
  <si>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</si>
  <si>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</si>
  <si>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</si>
  <si>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</si>
  <si>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</si>
  <si>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</si>
  <si>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</si>
  <si>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</si>
  <si>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</si>
  <si>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</si>
  <si>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</si>
  <si>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</si>
  <si>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</si>
  <si>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</si>
  <si>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</si>
  <si>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</si>
  <si>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</si>
  <si>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</si>
  <si>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</si>
  <si>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</si>
  <si>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</si>
  <si>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</si>
  <si>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</si>
  <si>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</si>
  <si>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</si>
  <si>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</si>
  <si>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</si>
  <si>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</si>
  <si>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</si>
  <si>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</si>
  <si>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</si>
  <si>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</si>
  <si>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</si>
  <si>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</si>
  <si>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</si>
  <si>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</si>
  <si>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</si>
  <si>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</si>
  <si>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</si>
  <si>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</si>
  <si>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</si>
  <si>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</si>
  <si>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</si>
  <si>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</si>
  <si>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</si>
  <si>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</si>
  <si>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</si>
  <si>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</si>
  <si>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</si>
  <si>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</si>
  <si>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</si>
  <si>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</si>
  <si>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</si>
  <si>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</si>
  <si>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</si>
  <si>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</si>
  <si>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</si>
  <si>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</si>
  <si>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</si>
  <si>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</si>
  <si>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</si>
  <si>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</si>
  <si>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</si>
  <si>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</si>
  <si>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</si>
  <si>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</si>
  <si>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</si>
  <si>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</si>
  <si>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</si>
  <si>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</si>
  <si>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</si>
  <si>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</si>
  <si>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</si>
  <si>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</si>
  <si>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</si>
  <si>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</si>
  <si>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</si>
  <si>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</si>
  <si>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</si>
  <si>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</si>
  <si>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</si>
  <si>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</si>
  <si>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</si>
  <si>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</si>
  <si>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</si>
  <si>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</si>
  <si>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</si>
  <si>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</si>
  <si>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</si>
  <si>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</si>
  <si>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</si>
  <si>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</si>
  <si>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</si>
  <si>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</si>
  <si>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</si>
  <si>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</si>
  <si>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</si>
  <si>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</si>
  <si>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</si>
  <si>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</si>
  <si>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</si>
  <si>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</si>
  <si>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</si>
  <si>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</si>
  <si>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</si>
  <si>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</si>
  <si>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</si>
  <si>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</si>
  <si>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</si>
  <si>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</si>
  <si>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</si>
  <si>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</si>
  <si>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</si>
  <si>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</si>
  <si>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</si>
  <si>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</si>
  <si>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</si>
  <si>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</si>
  <si>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</si>
  <si>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</si>
  <si>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</si>
  <si>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</si>
  <si>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</si>
  <si>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</si>
  <si>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</si>
  <si>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</si>
  <si>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</si>
  <si>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</si>
  <si>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</si>
  <si>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</si>
  <si>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</si>
  <si>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</si>
  <si>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</si>
  <si>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</si>
  <si>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</si>
  <si>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</si>
  <si>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</si>
  <si>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</si>
  <si>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</si>
  <si>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</si>
  <si>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</si>
  <si>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</si>
  <si>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</si>
  <si>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</si>
  <si>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</si>
  <si>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</si>
  <si>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</si>
  <si>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</si>
  <si>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</si>
  <si>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</si>
  <si>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</si>
  <si>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</si>
  <si>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</si>
  <si>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</si>
  <si>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</si>
  <si>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</si>
  <si>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</si>
  <si>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</si>
  <si>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</si>
  <si>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</si>
  <si>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</si>
  <si>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</si>
  <si>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</si>
  <si>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</si>
  <si>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</si>
  <si>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</si>
  <si>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</si>
  <si>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</si>
  <si>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</si>
  <si>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</si>
  <si>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</si>
  <si>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</si>
  <si>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</si>
  <si>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</si>
  <si>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</si>
  <si>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</si>
  <si>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</si>
  <si>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</si>
  <si>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</si>
  <si>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</si>
  <si>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</si>
  <si>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</si>
  <si>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</si>
  <si>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</si>
  <si>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</si>
  <si>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</si>
  <si>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</si>
  <si>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</si>
  <si>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</si>
  <si>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</si>
  <si>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</si>
  <si>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</si>
  <si>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</si>
  <si>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</si>
  <si>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</si>
  <si>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</si>
  <si>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</si>
  <si>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</si>
  <si>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</si>
  <si>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</si>
  <si>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</si>
  <si>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</si>
  <si>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</si>
  <si>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</si>
  <si>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</si>
  <si>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</si>
  <si>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</si>
  <si>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</si>
  <si>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</si>
  <si>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</si>
  <si>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</si>
  <si>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</si>
  <si>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</si>
  <si>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</si>
  <si>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</si>
  <si>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</si>
  <si>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</si>
  <si>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</si>
  <si>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</si>
  <si>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</si>
  <si>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</si>
  <si>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</si>
  <si>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</si>
  <si>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</si>
  <si>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</si>
  <si>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</si>
  <si>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</si>
  <si>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</si>
  <si>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</si>
  <si>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</si>
  <si>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</si>
  <si>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</si>
  <si>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</si>
  <si>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</si>
  <si>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</si>
  <si>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</si>
  <si>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</si>
  <si>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</si>
  <si>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</si>
  <si>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</si>
  <si>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</si>
  <si>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</si>
  <si>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</si>
  <si>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</si>
  <si>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</si>
  <si>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</si>
  <si>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</si>
  <si>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</si>
  <si>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</si>
  <si>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</si>
  <si>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</si>
  <si>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</si>
  <si>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</si>
  <si>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</si>
  <si>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</si>
  <si>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</si>
  <si>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</si>
  <si>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</si>
  <si>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</si>
  <si>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</si>
  <si>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</si>
  <si>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</si>
  <si>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</si>
  <si>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</si>
  <si>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</si>
  <si>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</si>
  <si>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</si>
  <si>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</si>
  <si>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</si>
  <si>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</si>
  <si>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</si>
  <si>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</si>
  <si>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</si>
  <si>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</si>
  <si>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</si>
  <si>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</si>
  <si>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</si>
  <si>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</si>
  <si>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</si>
  <si>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</si>
  <si>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</si>
  <si>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</si>
  <si>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</si>
  <si>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</si>
  <si>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</si>
  <si>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</si>
  <si>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</si>
  <si>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</si>
  <si>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</si>
  <si>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</si>
  <si>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</si>
  <si>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</si>
  <si>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</si>
  <si>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</si>
  <si>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</si>
  <si>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</si>
  <si>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</si>
  <si>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</si>
  <si>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</si>
  <si>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</si>
  <si>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</si>
  <si>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</si>
  <si>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</si>
  <si>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</si>
  <si>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</si>
  <si>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</si>
  <si>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</si>
  <si>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</si>
  <si>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</si>
  <si>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</si>
  <si>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</si>
  <si>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</si>
  <si>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</si>
  <si>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</si>
  <si>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</si>
  <si>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</si>
  <si>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</si>
  <si>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</si>
  <si>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</si>
  <si>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</si>
  <si>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</si>
  <si>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</si>
  <si>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</si>
  <si>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</si>
  <si>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</si>
  <si>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</si>
  <si>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</si>
  <si>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</si>
  <si>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</si>
  <si>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</si>
  <si>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</si>
  <si>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</si>
  <si>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</si>
  <si>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</si>
  <si>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</si>
  <si>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</si>
  <si>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</si>
  <si>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</si>
  <si>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</si>
  <si>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</si>
  <si>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</si>
  <si>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</si>
  <si>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</si>
  <si>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</si>
  <si>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</si>
  <si>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</si>
  <si>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</si>
  <si>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</si>
  <si>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</si>
  <si>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</si>
  <si>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</si>
  <si>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</si>
  <si>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</si>
  <si>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</si>
  <si>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</si>
  <si>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</si>
  <si>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</si>
  <si>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</si>
  <si>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</si>
  <si>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</si>
  <si>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</si>
  <si>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</si>
  <si>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</si>
  <si>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</si>
  <si>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</si>
  <si>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</si>
  <si>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</si>
  <si>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</si>
  <si>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</si>
  <si>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</si>
  <si>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</si>
  <si>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</si>
  <si>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</si>
  <si>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</si>
  <si>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</si>
  <si>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</si>
  <si>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</si>
  <si>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</si>
  <si>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</si>
  <si>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</si>
  <si>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</si>
  <si>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</si>
  <si>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</si>
  <si>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</si>
  <si>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</si>
  <si>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</si>
  <si>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</si>
  <si>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</si>
  <si>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</si>
  <si>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</si>
  <si>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</si>
  <si>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</si>
  <si>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</si>
  <si>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</si>
  <si>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</si>
  <si>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</si>
  <si>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</si>
  <si>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</si>
  <si>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</si>
  <si>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</si>
  <si>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</si>
  <si>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</si>
  <si>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</si>
  <si>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</si>
  <si>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</si>
  <si>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</si>
  <si>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</si>
  <si>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</si>
  <si>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</si>
  <si>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</si>
  <si>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</si>
  <si>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</si>
  <si>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</si>
  <si>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</si>
  <si>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</si>
  <si>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</si>
  <si>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</si>
  <si>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</si>
  <si>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</si>
  <si>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</si>
  <si>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</si>
  <si>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</si>
  <si>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</si>
  <si>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</si>
  <si>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</si>
  <si>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</si>
  <si>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</si>
  <si>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</si>
  <si>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</si>
  <si>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</si>
  <si>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</si>
  <si>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</si>
  <si>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</si>
  <si>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</si>
  <si>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</si>
  <si>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</si>
  <si>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</si>
  <si>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</si>
  <si>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</si>
  <si>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</si>
  <si>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</si>
  <si>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</si>
  <si>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</si>
  <si>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</si>
  <si>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</si>
  <si>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</si>
  <si>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</si>
  <si>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</si>
  <si>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</si>
  <si>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</si>
  <si>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</si>
  <si>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</si>
  <si>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</si>
  <si>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</si>
  <si>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</si>
  <si>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</si>
  <si>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</si>
  <si>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</si>
  <si>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</si>
  <si>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</si>
  <si>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</si>
  <si>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</si>
  <si>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</si>
  <si>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</si>
  <si>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</si>
  <si>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</si>
  <si>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</si>
  <si>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</si>
  <si>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</si>
  <si>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</si>
  <si>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</si>
  <si>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</si>
  <si>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</si>
  <si>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</si>
  <si>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</si>
  <si>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</si>
  <si>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</si>
  <si>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</si>
  <si>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</si>
  <si>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</si>
  <si>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</si>
  <si>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</si>
  <si>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</si>
  <si>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</si>
  <si>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</si>
  <si>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</si>
  <si>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</si>
  <si>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</si>
  <si>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</si>
  <si>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</si>
  <si>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</si>
  <si>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</si>
  <si>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</si>
  <si>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</si>
  <si>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</si>
  <si>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</si>
  <si>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</si>
  <si>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</si>
  <si>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</si>
  <si>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</si>
  <si>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</si>
  <si>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</si>
  <si>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</si>
  <si>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</si>
  <si>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</si>
  <si>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</si>
  <si>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</si>
  <si>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</si>
  <si>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</si>
  <si>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</si>
  <si>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</si>
  <si>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</si>
  <si>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</si>
  <si>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</si>
  <si>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</si>
  <si>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</si>
  <si>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</si>
  <si>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</si>
  <si>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</si>
  <si>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</si>
  <si>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</si>
  <si>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</si>
  <si>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</si>
  <si>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</si>
  <si>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</si>
  <si>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</si>
  <si>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</si>
  <si>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</si>
  <si>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</si>
  <si>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</si>
  <si>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</si>
  <si>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</si>
  <si>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</si>
  <si>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</si>
  <si>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</si>
  <si>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</si>
  <si>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</si>
  <si>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</si>
  <si>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</si>
  <si>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</si>
  <si>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</si>
  <si>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</si>
  <si>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</si>
  <si>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</si>
  <si>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</si>
  <si>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</si>
  <si>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</si>
  <si>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</si>
  <si>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</si>
  <si>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</si>
  <si>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</si>
  <si>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</si>
  <si>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</si>
  <si>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</si>
  <si>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</si>
  <si>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</si>
  <si>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</si>
  <si>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</si>
  <si>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</si>
  <si>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</si>
  <si>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</si>
  <si>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</si>
  <si>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</si>
  <si>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</si>
  <si>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</si>
  <si>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</si>
  <si>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</si>
  <si>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</si>
  <si>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</si>
  <si>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</si>
  <si>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</si>
  <si>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</si>
  <si>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</si>
  <si>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</si>
  <si>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</si>
  <si>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</si>
  <si>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</si>
  <si>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</si>
  <si>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</si>
  <si>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</si>
  <si>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</si>
  <si>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</si>
  <si>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</si>
  <si>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</si>
  <si>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</si>
  <si>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</si>
  <si>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</si>
  <si>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</si>
  <si>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</si>
  <si>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</si>
  <si>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</si>
  <si>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</si>
  <si>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</si>
  <si>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</si>
  <si>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</si>
  <si>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</si>
  <si>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</si>
  <si>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</si>
  <si>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</si>
  <si>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</si>
  <si>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</si>
  <si>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</si>
  <si>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</si>
  <si>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</si>
  <si>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</si>
  <si>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</si>
  <si>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</si>
  <si>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</si>
  <si>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</si>
  <si>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</si>
  <si>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</si>
  <si>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</si>
  <si>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</si>
  <si>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</si>
  <si>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</si>
  <si>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</si>
  <si>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</si>
  <si>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</si>
  <si>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</si>
  <si>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</si>
  <si>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</si>
  <si>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</si>
  <si>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</si>
  <si>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</si>
  <si>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</si>
  <si>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</si>
  <si>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</si>
  <si>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</si>
  <si>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</si>
  <si>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</si>
  <si>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</si>
  <si>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</si>
  <si>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</si>
  <si>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</si>
  <si>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</si>
  <si>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</si>
  <si>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</si>
  <si>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</si>
  <si>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</si>
  <si>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</si>
  <si>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</si>
  <si>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</si>
  <si>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</si>
  <si>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</si>
  <si>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</si>
  <si>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</si>
  <si>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</si>
  <si>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</si>
  <si>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</si>
  <si>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</si>
  <si>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</si>
  <si>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</si>
  <si>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</si>
  <si>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</si>
  <si>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</si>
  <si>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</si>
  <si>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</si>
  <si>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</si>
  <si>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</si>
  <si>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</si>
  <si>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</si>
  <si>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</si>
  <si>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</si>
  <si>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</si>
  <si>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</si>
  <si>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</si>
  <si>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</si>
  <si>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</si>
  <si>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</si>
  <si>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</si>
  <si>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</si>
  <si>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</si>
  <si>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</si>
  <si>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</si>
  <si>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</si>
  <si>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</si>
  <si>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</si>
  <si>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</si>
  <si>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</si>
  <si>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</si>
  <si>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</si>
  <si>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</si>
  <si>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</si>
  <si>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</si>
  <si>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</si>
  <si>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</si>
  <si>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</si>
  <si>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</si>
  <si>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</si>
  <si>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</si>
  <si>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</si>
  <si>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</si>
  <si>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</si>
  <si>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</si>
  <si>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</si>
  <si>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</si>
  <si>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</si>
  <si>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</si>
  <si>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</si>
  <si>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</si>
  <si>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</si>
  <si>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</si>
  <si>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</si>
  <si>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</si>
  <si>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</si>
  <si>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</si>
  <si>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</si>
  <si>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</si>
  <si>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</si>
  <si>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</si>
  <si>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</si>
  <si>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</si>
  <si>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</si>
  <si>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</si>
  <si>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</si>
  <si>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</si>
  <si>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</si>
  <si>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</si>
  <si>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</si>
  <si>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</si>
  <si>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</si>
  <si>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</si>
  <si>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</si>
  <si>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</si>
  <si>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</si>
  <si>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</si>
  <si>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</si>
  <si>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</si>
  <si>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</si>
  <si>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</si>
  <si>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</si>
  <si>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</si>
  <si>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</si>
  <si>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</si>
  <si>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</si>
  <si>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</si>
  <si>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</si>
  <si>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</si>
  <si>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</si>
  <si>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</si>
  <si>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</si>
  <si>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</si>
  <si>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</si>
  <si>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</si>
  <si>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</si>
  <si>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</si>
  <si>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</si>
  <si>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</si>
  <si>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</si>
  <si>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</si>
  <si>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</si>
  <si>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</si>
  <si>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</si>
  <si>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</si>
  <si>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</si>
  <si>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</si>
  <si>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</si>
  <si>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</si>
  <si>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</si>
  <si>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</si>
  <si>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</si>
  <si>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</si>
  <si>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</si>
  <si>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</si>
  <si>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</si>
  <si>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</si>
  <si>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</si>
  <si>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</si>
  <si>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</si>
  <si>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</si>
  <si>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</si>
  <si>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</si>
  <si>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</si>
  <si>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</si>
  <si>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</si>
  <si>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</si>
  <si>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</si>
  <si>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</si>
  <si>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</si>
  <si>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</si>
  <si>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</si>
  <si>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</si>
  <si>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</si>
  <si>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</si>
  <si>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</si>
  <si>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</si>
  <si>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</si>
  <si>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</si>
  <si>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</si>
  <si>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</si>
  <si>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</si>
  <si>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</si>
  <si>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</si>
  <si>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</si>
  <si>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</si>
  <si>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</si>
  <si>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</si>
  <si>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</si>
  <si>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</si>
  <si>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</si>
  <si>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</si>
  <si>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</si>
  <si>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</si>
  <si>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</si>
  <si>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</si>
  <si>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</si>
  <si>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</si>
  <si>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</si>
  <si>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</si>
  <si>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</si>
  <si>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</si>
  <si>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</si>
  <si>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</si>
  <si>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</si>
  <si>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</si>
  <si>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</si>
  <si>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</si>
  <si>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</si>
  <si>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</si>
  <si>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</si>
  <si>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</si>
  <si>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</si>
  <si>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</si>
  <si>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</si>
  <si>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</si>
  <si>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</si>
  <si>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</si>
  <si>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</si>
  <si>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</si>
  <si>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</si>
  <si>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</si>
  <si>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</si>
  <si>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</si>
  <si>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</si>
  <si>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</si>
  <si>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</si>
  <si>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</si>
  <si>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</si>
  <si>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</si>
  <si>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</si>
  <si>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</si>
  <si>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</si>
  <si>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</si>
  <si>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</si>
  <si>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</si>
  <si>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</si>
  <si>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</si>
  <si>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</si>
  <si>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</si>
  <si>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</si>
  <si>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</si>
  <si>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</si>
  <si>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</si>
  <si>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</si>
  <si>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</si>
  <si>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</si>
  <si>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</si>
  <si>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</si>
  <si>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</si>
  <si>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</si>
  <si>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</si>
  <si>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</si>
  <si>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</si>
  <si>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</si>
  <si>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</si>
  <si>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</si>
  <si>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</si>
  <si>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</si>
  <si>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</si>
  <si>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</si>
  <si>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</si>
  <si>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</si>
  <si>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</si>
  <si>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</si>
  <si>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</si>
  <si>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</si>
  <si>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</si>
  <si>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</si>
  <si>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</si>
  <si>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</si>
  <si>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</si>
  <si>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</si>
  <si>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</si>
  <si>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</si>
  <si>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</si>
  <si>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</si>
  <si>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</si>
  <si>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</si>
  <si>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</si>
  <si>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</si>
  <si>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</si>
  <si>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</si>
  <si>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</si>
  <si>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</si>
  <si>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</si>
  <si>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</si>
  <si>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</si>
  <si>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</si>
  <si>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</si>
  <si>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</si>
  <si>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</si>
  <si>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</si>
  <si>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</si>
  <si>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</si>
  <si>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</si>
  <si>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</si>
  <si>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</si>
  <si>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</si>
  <si>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</si>
  <si>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</si>
  <si>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</si>
  <si>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</si>
  <si>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</si>
  <si>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</si>
  <si>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</si>
  <si>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</si>
  <si>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</si>
  <si>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</si>
  <si>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</si>
  <si>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</si>
  <si>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</si>
  <si>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</si>
  <si>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</si>
  <si>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</si>
  <si>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</si>
  <si>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</si>
  <si>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</si>
  <si>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</si>
  <si>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</si>
  <si>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</si>
  <si>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</si>
  <si>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</si>
  <si>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</si>
  <si>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</si>
  <si>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</si>
  <si>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</si>
  <si>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</si>
  <si>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</si>
  <si>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</si>
  <si>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</si>
  <si>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</si>
  <si>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</si>
  <si>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</si>
  <si>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</si>
  <si>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</si>
  <si>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</si>
  <si>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</si>
  <si>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</si>
  <si>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</si>
  <si>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</si>
  <si>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</si>
  <si>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</si>
  <si>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</si>
  <si>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</si>
  <si>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</si>
  <si>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</si>
  <si>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</si>
  <si>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</si>
  <si>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</si>
  <si>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</si>
  <si>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</si>
  <si>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</si>
  <si>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</si>
  <si>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</si>
  <si>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</si>
  <si>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</si>
  <si>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</si>
  <si>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</si>
  <si>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</si>
  <si>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</si>
  <si>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</si>
  <si>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</si>
  <si>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</si>
  <si>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</si>
  <si>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</si>
  <si>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</si>
  <si>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</si>
  <si>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</si>
  <si>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</si>
  <si>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</si>
  <si>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</si>
  <si>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</si>
  <si>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</si>
  <si>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</si>
  <si>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</si>
  <si>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</si>
  <si>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</si>
  <si>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</si>
  <si>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</si>
  <si>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</si>
  <si>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</si>
  <si>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</si>
  <si>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</si>
  <si>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</si>
  <si>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</si>
  <si>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</si>
  <si>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</si>
  <si>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</si>
  <si>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</si>
  <si>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</si>
  <si>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</si>
  <si>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</si>
  <si>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</si>
  <si>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</si>
  <si>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</si>
  <si>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</si>
  <si>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</si>
  <si>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</si>
  <si>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</si>
  <si>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</si>
  <si>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</si>
  <si>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</si>
  <si>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</si>
  <si>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</si>
  <si>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</si>
  <si>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</si>
  <si>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</si>
  <si>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</si>
  <si>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</si>
  <si>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</si>
  <si>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</si>
  <si>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</si>
  <si>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</si>
  <si>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</si>
  <si>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</si>
  <si>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</si>
  <si>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</si>
  <si>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</si>
  <si>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</si>
  <si>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</si>
  <si>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</si>
  <si>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</si>
  <si>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</si>
  <si>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</si>
  <si>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</si>
  <si>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</si>
  <si>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</si>
  <si>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</si>
  <si>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</si>
  <si>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</si>
  <si>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</si>
  <si>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</si>
  <si>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</si>
  <si>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</si>
  <si>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</si>
  <si>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</si>
  <si>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</si>
  <si>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</si>
  <si>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</si>
  <si>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</si>
  <si>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</si>
  <si>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</si>
  <si>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</si>
  <si>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</si>
  <si>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</si>
  <si>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</si>
  <si>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</si>
  <si>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</si>
  <si>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</si>
  <si>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</si>
  <si>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</si>
  <si>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</si>
  <si>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</si>
  <si>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</si>
  <si>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</si>
  <si>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</si>
  <si>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</si>
  <si>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</si>
  <si>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</si>
  <si>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</si>
  <si>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</si>
  <si>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</si>
  <si>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</si>
  <si>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</si>
  <si>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</si>
  <si>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</si>
  <si>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</si>
  <si>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</si>
  <si>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</si>
  <si>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</si>
  <si>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</si>
  <si>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</si>
  <si>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</si>
  <si>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</si>
  <si>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</si>
  <si>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</si>
  <si>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</si>
  <si>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</si>
  <si>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</si>
  <si>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</si>
  <si>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</si>
  <si>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</si>
  <si>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</si>
  <si>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</si>
  <si>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</si>
  <si>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</si>
  <si>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</si>
  <si>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</si>
  <si>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</si>
  <si>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</si>
  <si>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</si>
  <si>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</si>
  <si>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</si>
  <si>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</si>
  <si>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</si>
  <si>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</si>
  <si>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</si>
  <si>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</si>
  <si>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</si>
  <si>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</si>
  <si>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</si>
  <si>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</si>
  <si>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</si>
  <si>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</si>
  <si>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</si>
  <si>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</si>
  <si>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</si>
  <si>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</si>
  <si>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</si>
  <si>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</si>
  <si>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</si>
  <si>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</si>
  <si>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</si>
  <si>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</si>
  <si>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</si>
  <si>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</si>
  <si>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</si>
  <si>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</si>
  <si>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</si>
  <si>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</si>
  <si>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</si>
  <si>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</si>
  <si>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</si>
  <si>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</si>
  <si>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</si>
  <si>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</si>
  <si>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</si>
  <si>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</si>
  <si>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</si>
  <si>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</si>
  <si>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</si>
  <si>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</si>
  <si>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</si>
  <si>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</si>
  <si>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</si>
  <si>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</si>
  <si>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</si>
  <si>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</si>
  <si>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</si>
  <si>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</si>
  <si>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</si>
  <si>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</si>
  <si>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</si>
  <si>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</si>
  <si>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</si>
  <si>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</si>
  <si>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</si>
  <si>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</si>
  <si>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</si>
  <si>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</si>
  <si>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</si>
  <si>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</si>
  <si>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</si>
  <si>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</si>
  <si>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</si>
  <si>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</si>
  <si>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</si>
  <si>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</si>
  <si>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</si>
  <si>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</si>
  <si>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</si>
  <si>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</si>
  <si>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</si>
  <si>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</si>
  <si>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</si>
  <si>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</si>
  <si>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</si>
  <si>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</si>
  <si>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</si>
  <si>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</si>
  <si>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</si>
  <si>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</si>
  <si>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</si>
  <si>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</si>
  <si>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</si>
  <si>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</si>
  <si>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</si>
  <si>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</si>
  <si>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</si>
  <si>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</si>
  <si>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</si>
  <si>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</si>
  <si>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</si>
  <si>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</si>
  <si>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</si>
  <si>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</si>
  <si>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</si>
  <si>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</si>
  <si>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</si>
  <si>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</si>
  <si>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</si>
  <si>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</si>
  <si>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</si>
  <si>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</si>
  <si>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</si>
  <si>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</si>
  <si>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</si>
  <si>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</si>
  <si>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</si>
  <si>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</si>
  <si>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</si>
  <si>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</si>
  <si>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</si>
  <si>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</si>
  <si>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</si>
  <si>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</si>
  <si>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</si>
  <si>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</si>
  <si>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</si>
  <si>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</si>
  <si>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</si>
  <si>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</si>
  <si>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</si>
  <si>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</si>
  <si>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</si>
  <si>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</si>
  <si>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</si>
  <si>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</si>
  <si>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</si>
  <si>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</si>
  <si>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</si>
  <si>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</si>
  <si>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</si>
  <si>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</si>
  <si>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</si>
  <si>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</si>
  <si>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</si>
  <si>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</si>
  <si>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</si>
  <si>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</si>
  <si>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</si>
  <si>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</si>
  <si>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</si>
  <si>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</si>
  <si>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</si>
  <si>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</si>
  <si>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</si>
  <si>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</si>
  <si>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</si>
  <si>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</si>
  <si>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</si>
  <si>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</si>
  <si>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</si>
  <si>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</si>
  <si>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</si>
  <si>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</si>
  <si>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</si>
  <si>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</si>
  <si>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</si>
  <si>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</si>
  <si>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</si>
  <si>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</si>
  <si>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</si>
  <si>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</si>
  <si>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</si>
  <si>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</si>
  <si>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</si>
  <si>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</si>
  <si>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</si>
  <si>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</si>
  <si>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</si>
  <si>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</si>
  <si>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</si>
  <si>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</si>
  <si>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</si>
  <si>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</si>
  <si>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</si>
  <si>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</si>
  <si>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</si>
  <si>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</si>
  <si>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</si>
  <si>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</si>
  <si>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</si>
  <si>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</si>
  <si>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</si>
  <si>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</si>
  <si>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</si>
  <si>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</si>
  <si>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</si>
  <si>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</si>
  <si>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</si>
  <si>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</si>
  <si>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</si>
  <si>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</si>
  <si>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</si>
  <si>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</si>
  <si>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</si>
  <si>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</si>
  <si>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</si>
  <si>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</si>
  <si>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</si>
  <si>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</si>
  <si>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</si>
  <si>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</si>
  <si>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</si>
  <si>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</si>
  <si>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</si>
  <si>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</si>
  <si>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</si>
  <si>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</si>
  <si>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</si>
  <si>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</si>
  <si>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</si>
  <si>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</si>
  <si>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</si>
  <si>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</si>
  <si>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</si>
  <si>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</si>
  <si>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</si>
  <si>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</si>
  <si>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</si>
  <si>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</si>
  <si>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</si>
  <si>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</si>
  <si>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</si>
  <si>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</si>
  <si>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</si>
  <si>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</si>
  <si>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</si>
  <si>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</si>
  <si>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</si>
  <si>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</si>
  <si>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</si>
  <si>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</si>
  <si>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</si>
  <si>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</si>
  <si>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</si>
  <si>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</si>
  <si>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</si>
  <si>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</si>
  <si>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</si>
  <si>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</si>
  <si>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</si>
  <si>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</si>
  <si>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</si>
  <si>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</si>
  <si>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</si>
  <si>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</si>
  <si>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</si>
  <si>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</si>
  <si>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</si>
  <si>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</si>
  <si>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</si>
  <si>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</si>
  <si>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</si>
  <si>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</si>
  <si>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</si>
  <si>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</si>
  <si>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</si>
  <si>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</si>
  <si>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</si>
  <si>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</si>
  <si>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</si>
  <si>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</si>
  <si>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</si>
  <si>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</si>
  <si>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</si>
  <si>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</si>
  <si>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</si>
  <si>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</si>
  <si>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</si>
  <si>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</si>
  <si>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</si>
  <si>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</si>
  <si>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</si>
  <si>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</si>
  <si>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</si>
  <si>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</si>
  <si>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</si>
  <si>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</si>
  <si>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</si>
  <si>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</si>
  <si>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</si>
  <si>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</si>
  <si>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</si>
  <si>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</si>
  <si>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</si>
  <si>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</si>
  <si>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</si>
  <si>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</si>
  <si>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</si>
  <si>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</si>
  <si>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</si>
  <si>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</si>
  <si>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</si>
  <si>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</si>
  <si>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</si>
  <si>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</si>
  <si>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</si>
  <si>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</si>
  <si>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</si>
  <si>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</si>
  <si>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</si>
  <si>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</si>
  <si>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</si>
  <si>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</si>
  <si>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</si>
  <si>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</si>
  <si>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</si>
  <si>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</si>
  <si>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</si>
  <si>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</si>
  <si>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</si>
  <si>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</si>
  <si>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</si>
  <si>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</si>
  <si>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</si>
  <si>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</si>
  <si>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</si>
  <si>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</si>
  <si>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</si>
  <si>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</si>
  <si>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</si>
  <si>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</si>
  <si>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</si>
  <si>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</si>
  <si>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</si>
  <si>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</si>
  <si>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</si>
  <si>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</si>
  <si>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</si>
  <si>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</si>
  <si>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</si>
  <si>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</si>
  <si>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</si>
  <si>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</si>
  <si>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</si>
  <si>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</si>
  <si>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</si>
  <si>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</si>
  <si>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</si>
  <si>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</si>
  <si>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</si>
  <si>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</si>
  <si>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</si>
  <si>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</si>
  <si>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</si>
  <si>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</si>
  <si>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</si>
  <si>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</si>
  <si>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</si>
  <si>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</si>
  <si>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</si>
  <si>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</si>
  <si>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</si>
  <si>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</si>
  <si>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</si>
  <si>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</si>
  <si>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</si>
  <si>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</si>
  <si>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</si>
  <si>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</si>
  <si>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</si>
  <si>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</si>
  <si>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</si>
  <si>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</si>
  <si>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</si>
  <si>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</si>
  <si>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</si>
  <si>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</si>
  <si>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</si>
  <si>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</si>
  <si>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</si>
  <si>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</si>
  <si>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</si>
  <si>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</si>
  <si>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</si>
  <si>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</si>
  <si>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</si>
  <si>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</si>
  <si>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</si>
  <si>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</si>
  <si>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</si>
  <si>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</si>
  <si>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</si>
  <si>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</si>
  <si>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</si>
  <si>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</si>
  <si>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</si>
  <si>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</si>
  <si>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</si>
  <si>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</si>
  <si>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</si>
  <si>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</si>
  <si>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</si>
  <si>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</si>
  <si>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</si>
  <si>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</si>
  <si>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</si>
  <si>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</si>
  <si>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</si>
  <si>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</si>
  <si>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</si>
  <si>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</si>
  <si>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</si>
  <si>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</si>
  <si>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</si>
  <si>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</si>
  <si>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</si>
  <si>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</si>
  <si>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</si>
  <si>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</si>
  <si>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</si>
  <si>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</si>
  <si>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</si>
  <si>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</si>
  <si>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</si>
  <si>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</si>
  <si>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</si>
  <si>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</si>
  <si>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</si>
  <si>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</si>
  <si>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</si>
  <si>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</si>
  <si>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</si>
  <si>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</si>
  <si>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</si>
  <si>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</si>
  <si>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</si>
  <si>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</si>
  <si>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</si>
  <si>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</si>
  <si>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</si>
  <si>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</si>
  <si>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</si>
  <si>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</si>
  <si>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</si>
  <si>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</si>
  <si>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</si>
  <si>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</si>
  <si>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</si>
  <si>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</si>
  <si>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</si>
  <si>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</si>
  <si>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</si>
  <si>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</si>
  <si>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</si>
  <si>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</si>
  <si>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</si>
  <si>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</si>
  <si>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</si>
  <si>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</si>
  <si>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</si>
  <si>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</si>
  <si>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</si>
  <si>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</si>
  <si>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</si>
  <si>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</si>
  <si>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</si>
  <si>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</si>
  <si>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</si>
  <si>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</si>
  <si>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</si>
  <si>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</si>
  <si>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</si>
  <si>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</si>
  <si>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</si>
  <si>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</si>
  <si>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</si>
  <si>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</si>
  <si>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</si>
  <si>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</si>
  <si>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</si>
  <si>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</si>
  <si>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</si>
  <si>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</si>
  <si>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</si>
  <si>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</si>
  <si>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</si>
  <si>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</si>
  <si>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</si>
  <si>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</si>
  <si>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</si>
  <si>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</si>
  <si>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</si>
  <si>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</si>
  <si>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</si>
  <si>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</si>
  <si>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</si>
  <si>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</si>
  <si>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</si>
  <si>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</si>
  <si>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</si>
  <si>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</si>
  <si>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</si>
  <si>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</si>
  <si>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</si>
  <si>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</si>
  <si>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</si>
  <si>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</si>
  <si>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</si>
  <si>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</si>
  <si>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</si>
  <si>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</si>
  <si>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</si>
  <si>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</si>
  <si>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</si>
  <si>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</si>
  <si>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</si>
  <si>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</si>
  <si>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</si>
  <si>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</si>
  <si>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</si>
  <si>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</si>
  <si>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</si>
  <si>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</si>
  <si>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</si>
  <si>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</si>
  <si>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</si>
  <si>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</si>
  <si>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</si>
  <si>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</si>
  <si>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</si>
  <si>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</si>
  <si>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</si>
  <si>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</si>
  <si>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</si>
  <si>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</si>
  <si>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</si>
  <si>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</si>
  <si>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</si>
  <si>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</si>
  <si>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</si>
  <si>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</si>
  <si>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</si>
  <si>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</si>
  <si>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</si>
  <si>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</si>
  <si>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</si>
  <si>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</si>
  <si>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</si>
  <si>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</si>
  <si>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</si>
  <si>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</si>
  <si>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</si>
  <si>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</si>
  <si>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</si>
  <si>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</si>
  <si>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</si>
  <si>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</si>
  <si>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</si>
  <si>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</si>
  <si>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</si>
  <si>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</si>
  <si>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</si>
  <si>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</si>
  <si>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</si>
  <si>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</si>
  <si>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</si>
  <si>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</si>
  <si>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</si>
  <si>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</si>
  <si>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</si>
  <si>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</si>
  <si>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</si>
  <si>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</si>
  <si>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</si>
  <si>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</si>
  <si>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</si>
  <si>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</si>
  <si>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</si>
  <si>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</si>
  <si>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</si>
  <si>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</si>
  <si>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</si>
  <si>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</si>
  <si>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</si>
  <si>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</si>
  <si>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</si>
  <si>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</si>
  <si>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</si>
  <si>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</si>
  <si>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</si>
  <si>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</si>
  <si>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</si>
  <si>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</si>
  <si>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</si>
  <si>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</si>
  <si>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</si>
  <si>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</si>
  <si>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</si>
  <si>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</si>
  <si>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</si>
  <si>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</si>
  <si>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</si>
  <si>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</si>
  <si>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</si>
  <si>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</si>
  <si>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</si>
  <si>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</si>
  <si>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</si>
  <si>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</si>
  <si>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</si>
  <si>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</si>
  <si>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</si>
  <si>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</si>
  <si>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</si>
  <si>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</si>
  <si>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</si>
  <si>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</si>
  <si>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</si>
  <si>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</si>
  <si>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</si>
  <si>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</si>
  <si>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</si>
  <si>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</si>
  <si>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</si>
  <si>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</si>
  <si>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</si>
  <si>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</si>
  <si>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</si>
  <si>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</si>
  <si>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</si>
  <si>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</si>
  <si>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</si>
  <si>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</si>
  <si>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</si>
  <si>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</si>
  <si>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</si>
  <si>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</si>
  <si>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</si>
  <si>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</si>
  <si>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</si>
  <si>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</si>
  <si>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</si>
  <si>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</si>
  <si>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</si>
  <si>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</si>
  <si>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</si>
  <si>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</si>
  <si>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</si>
  <si>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</si>
  <si>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</si>
  <si>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</si>
  <si>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</si>
  <si>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</si>
  <si>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</si>
  <si>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</si>
  <si>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</si>
  <si>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</si>
  <si>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</si>
  <si>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</si>
  <si>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</si>
  <si>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</si>
  <si>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</si>
  <si>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</si>
  <si>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</si>
  <si>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</si>
  <si>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</si>
  <si>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</si>
  <si>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</si>
  <si>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</si>
  <si>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</si>
  <si>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</si>
  <si>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</si>
  <si>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</si>
  <si>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</si>
  <si>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</si>
  <si>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</si>
  <si>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</si>
  <si>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</si>
  <si>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</si>
  <si>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</si>
  <si>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</si>
  <si>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</si>
  <si>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</si>
  <si>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</si>
  <si>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</si>
  <si>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</si>
  <si>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</si>
  <si>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</si>
  <si>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</si>
  <si>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</si>
  <si>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</si>
  <si>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</si>
  <si>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</si>
  <si>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</si>
  <si>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</si>
  <si>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</si>
  <si>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</si>
  <si>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</si>
  <si>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</si>
  <si>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</si>
  <si>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</si>
  <si>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</si>
  <si>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</si>
  <si>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</si>
  <si>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</si>
  <si>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</si>
  <si>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</si>
  <si>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</si>
  <si>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</si>
  <si>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</si>
  <si>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</si>
  <si>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</si>
  <si>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</si>
  <si>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</si>
  <si>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</si>
  <si>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</si>
  <si>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</si>
  <si>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</si>
  <si>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</si>
  <si>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</si>
  <si>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</si>
  <si>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</si>
  <si>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</si>
  <si>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</si>
  <si>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</si>
  <si>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</si>
  <si>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</si>
  <si>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</si>
  <si>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</si>
  <si>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</si>
  <si>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</si>
  <si>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</si>
  <si>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</si>
  <si>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</si>
  <si>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</si>
  <si>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</si>
  <si>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</si>
  <si>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</si>
  <si>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</si>
  <si>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</si>
  <si>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</si>
  <si>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</si>
  <si>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</si>
  <si>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</si>
  <si>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</si>
  <si>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</si>
  <si>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</si>
  <si>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</si>
  <si>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</si>
  <si>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</si>
  <si>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</si>
  <si>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</si>
  <si>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</si>
  <si>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</si>
  <si>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</si>
  <si>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</si>
  <si>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</si>
  <si>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</si>
  <si>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</si>
  <si>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</si>
  <si>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</si>
  <si>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</si>
  <si>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</si>
  <si>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</si>
  <si>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</si>
  <si>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</si>
  <si>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</si>
  <si>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</si>
  <si>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</si>
  <si>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</si>
  <si>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</si>
  <si>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</si>
  <si>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</si>
  <si>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</si>
  <si>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</si>
  <si>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</si>
  <si>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</si>
  <si>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</si>
  <si>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</si>
  <si>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</si>
  <si>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</si>
  <si>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</si>
  <si>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</si>
  <si>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</si>
  <si>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</si>
  <si>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</si>
  <si>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</si>
  <si>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</si>
  <si>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</si>
  <si>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</si>
  <si>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</si>
  <si>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</si>
  <si>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</si>
  <si>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</si>
  <si>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</si>
  <si>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</si>
  <si>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</si>
  <si>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</si>
  <si>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</si>
  <si>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</si>
  <si>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</si>
  <si>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</si>
  <si>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</si>
  <si>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</si>
  <si>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</si>
  <si>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</si>
  <si>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</si>
  <si>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</si>
  <si>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</si>
  <si>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</si>
  <si>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</si>
  <si>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</si>
  <si>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</si>
  <si>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</si>
  <si>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</si>
  <si>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</si>
  <si>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</si>
  <si>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</si>
  <si>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</si>
  <si>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</si>
  <si>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</si>
  <si>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</si>
  <si>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</si>
  <si>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</si>
  <si>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</si>
  <si>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</si>
  <si>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</si>
  <si>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</si>
  <si>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</si>
  <si>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</si>
  <si>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</si>
  <si>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</si>
  <si>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</si>
  <si>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</si>
  <si>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</si>
  <si>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</si>
  <si>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</si>
  <si>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</si>
  <si>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</si>
  <si>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</si>
  <si>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</si>
  <si>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</si>
  <si>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</si>
  <si>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</si>
  <si>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</si>
  <si>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</si>
  <si>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</si>
  <si>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</si>
  <si>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</si>
  <si>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</si>
  <si>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</si>
  <si>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</si>
  <si>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</si>
  <si>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</si>
  <si>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</si>
  <si>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</si>
  <si>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</si>
  <si>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</si>
  <si>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</si>
  <si>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</si>
  <si>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</si>
  <si>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</si>
  <si>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</si>
  <si>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</si>
  <si>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</si>
  <si>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</si>
  <si>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</si>
  <si>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</si>
  <si>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</si>
  <si>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</si>
  <si>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</si>
  <si>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</si>
  <si>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</si>
  <si>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</si>
  <si>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</si>
  <si>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</si>
  <si>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</si>
  <si>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</si>
  <si>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</si>
  <si>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</si>
  <si>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</si>
  <si>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</si>
  <si>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</si>
  <si>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</si>
  <si>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</si>
  <si>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</si>
  <si>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</si>
  <si>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</si>
  <si>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</si>
  <si>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</si>
  <si>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</si>
  <si>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</si>
  <si>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</si>
  <si>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</si>
  <si>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</si>
  <si>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</si>
  <si>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</si>
  <si>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</si>
  <si>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</si>
  <si>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</si>
  <si>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</si>
  <si>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</si>
  <si>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</si>
  <si>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</si>
  <si>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</si>
  <si>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</si>
  <si>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</si>
  <si>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</si>
  <si>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</si>
  <si>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</si>
  <si>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</si>
  <si>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</si>
  <si>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</si>
  <si>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</si>
  <si>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</si>
  <si>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</si>
  <si>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</si>
  <si>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</si>
  <si>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</si>
  <si>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</si>
  <si>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</si>
  <si>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</si>
  <si>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</si>
  <si>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</si>
  <si>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</si>
  <si>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</si>
  <si>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</si>
  <si>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</si>
  <si>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</si>
  <si>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</si>
  <si>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</si>
  <si>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</si>
  <si>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</si>
  <si>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</si>
  <si>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</si>
  <si>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</si>
  <si>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</si>
  <si>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</si>
  <si>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</si>
  <si>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</si>
  <si>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</si>
  <si>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</si>
  <si>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</si>
  <si>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</si>
  <si>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</si>
  <si>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</si>
  <si>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</si>
  <si>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</si>
  <si>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</si>
  <si>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</si>
  <si>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</si>
  <si>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</si>
  <si>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</si>
  <si>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</si>
  <si>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</si>
  <si>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</si>
  <si>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</si>
  <si>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</si>
  <si>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</si>
  <si>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</si>
  <si>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</si>
  <si>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</si>
  <si>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</si>
  <si>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</si>
  <si>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</si>
  <si>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</si>
  <si>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</si>
  <si>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</si>
  <si>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</si>
  <si>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</si>
  <si>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</si>
  <si>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</si>
  <si>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</si>
  <si>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</si>
  <si>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</si>
  <si>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</si>
  <si>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</si>
  <si>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</si>
  <si>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</si>
  <si>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</si>
  <si>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</si>
  <si>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</si>
  <si>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</si>
  <si>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</si>
  <si>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</si>
  <si>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</si>
  <si>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</si>
  <si>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</si>
  <si>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</si>
  <si>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</si>
  <si>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</si>
  <si>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</si>
  <si>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</si>
  <si>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</si>
  <si>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</si>
  <si>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</si>
  <si>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</si>
  <si>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</si>
  <si>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</si>
  <si>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</si>
  <si>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</si>
  <si>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</si>
  <si>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</si>
  <si>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</si>
  <si>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</si>
  <si>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</si>
  <si>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</si>
  <si>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</si>
  <si>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</si>
  <si>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</si>
  <si>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</si>
  <si>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</si>
  <si>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</si>
  <si>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</si>
  <si>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</si>
  <si>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</si>
  <si>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</si>
  <si>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</si>
  <si>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</si>
  <si>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</si>
  <si>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</si>
  <si>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</si>
  <si>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</si>
  <si>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</si>
  <si>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</si>
  <si>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</si>
  <si>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</si>
  <si>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</si>
  <si>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</si>
  <si>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</si>
  <si>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</si>
  <si>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</si>
  <si>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</si>
  <si>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</si>
  <si>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</si>
  <si>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</si>
  <si>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</si>
  <si>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</si>
  <si>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</si>
  <si>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</si>
  <si>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</si>
  <si>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</si>
  <si>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</si>
  <si>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</si>
  <si>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</si>
  <si>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</si>
  <si>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</si>
  <si>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</si>
  <si>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</si>
  <si>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</si>
  <si>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</si>
  <si>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</si>
  <si>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</si>
  <si>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</si>
  <si>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</si>
  <si>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</si>
  <si>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</si>
  <si>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</si>
  <si>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</si>
  <si>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</si>
  <si>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</si>
  <si>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</si>
  <si>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</si>
  <si>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</si>
  <si>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</si>
  <si>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</si>
  <si>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</si>
  <si>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</si>
  <si>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</si>
  <si>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</si>
  <si>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</si>
  <si>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</si>
  <si>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</si>
  <si>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</si>
  <si>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</si>
  <si>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</si>
  <si>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</si>
  <si>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</si>
  <si>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</si>
  <si>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</si>
  <si>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</si>
  <si>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</si>
  <si>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</si>
  <si>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</si>
  <si>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</si>
  <si>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</si>
  <si>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</si>
  <si>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</si>
  <si>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</si>
  <si>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</si>
  <si>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</si>
  <si>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</si>
  <si>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</si>
  <si>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</si>
  <si>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</si>
  <si>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</si>
  <si>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</si>
  <si>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</si>
  <si>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</si>
  <si>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</si>
  <si>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</si>
  <si>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</si>
  <si>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</si>
  <si>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</si>
  <si>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</si>
  <si>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</si>
  <si>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</si>
  <si>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</si>
  <si>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</si>
  <si>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</si>
  <si>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</si>
  <si>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</si>
  <si>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</si>
  <si>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</si>
  <si>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</si>
  <si>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</si>
  <si>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</si>
  <si>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</si>
  <si>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</si>
  <si>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</si>
  <si>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</si>
  <si>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</si>
  <si>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</si>
  <si>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</si>
  <si>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</si>
  <si>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</si>
  <si>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</si>
  <si>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</si>
  <si>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</si>
  <si>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</si>
  <si>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</si>
  <si>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</si>
  <si>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</si>
  <si>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</si>
  <si>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</si>
  <si>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</si>
  <si>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</si>
  <si>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</si>
  <si>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</si>
  <si>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</si>
  <si>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</si>
  <si>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</si>
  <si>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</si>
  <si>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</si>
  <si>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</si>
  <si>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</si>
  <si>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</si>
  <si>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</si>
  <si>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</si>
  <si>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</si>
  <si>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</si>
  <si>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</si>
  <si>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</si>
  <si>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</si>
  <si>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</si>
  <si>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</si>
  <si>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</si>
  <si>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</si>
  <si>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</si>
  <si>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</si>
  <si>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</si>
  <si>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</si>
  <si>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</si>
  <si>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</si>
  <si>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</si>
  <si>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</si>
  <si>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</si>
  <si>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</si>
  <si>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</si>
  <si>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</si>
  <si>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</si>
  <si>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</si>
  <si>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</si>
  <si>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</si>
  <si>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</si>
  <si>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</si>
  <si>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</si>
  <si>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</si>
  <si>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</si>
  <si>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</si>
  <si>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</si>
  <si>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</si>
  <si>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</si>
  <si>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</si>
  <si>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</si>
  <si>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</si>
  <si>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</si>
  <si>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</si>
  <si>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</si>
  <si>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</si>
  <si>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</si>
  <si>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</si>
  <si>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</si>
  <si>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</si>
  <si>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</si>
  <si>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</si>
  <si>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</si>
  <si>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</si>
  <si>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</si>
  <si>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</si>
  <si>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</si>
  <si>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</si>
  <si>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</si>
  <si>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</si>
  <si>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</si>
  <si>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</si>
  <si>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</si>
  <si>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</si>
  <si>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</si>
  <si>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</si>
  <si>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</si>
  <si>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</si>
  <si>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</si>
  <si>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</si>
  <si>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</si>
  <si>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</si>
  <si>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</si>
  <si>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</si>
  <si>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</si>
  <si>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</si>
  <si>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</si>
  <si>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</si>
  <si>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</si>
  <si>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</si>
  <si>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</si>
  <si>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</si>
  <si>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</si>
  <si>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</si>
  <si>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</si>
  <si>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</si>
  <si>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</si>
  <si>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</si>
  <si>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</si>
  <si>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</si>
  <si>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</si>
  <si>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</si>
  <si>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</si>
  <si>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</si>
  <si>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</si>
  <si>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</si>
  <si>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</si>
  <si>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</si>
  <si>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</si>
  <si>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</si>
  <si>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</si>
  <si>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</si>
  <si>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</si>
  <si>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</si>
  <si>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</si>
  <si>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</si>
  <si>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</si>
  <si>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</si>
  <si>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</si>
  <si>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</si>
  <si>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</si>
  <si>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</si>
  <si>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</si>
  <si>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</si>
  <si>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</si>
  <si>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</si>
  <si>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</si>
  <si>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</si>
  <si>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</si>
  <si>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</si>
  <si>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</si>
  <si>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</si>
  <si>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</si>
  <si>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</si>
  <si>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</si>
  <si>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</si>
  <si>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</si>
  <si>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</si>
  <si>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</si>
  <si>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</si>
  <si>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</si>
  <si>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</si>
  <si>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</si>
  <si>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</si>
  <si>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</si>
  <si>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</si>
  <si>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</si>
  <si>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</si>
  <si>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</si>
  <si>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</si>
  <si>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</si>
  <si>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</si>
  <si>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</si>
  <si>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</si>
  <si>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</si>
  <si>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</si>
  <si>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</si>
  <si>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</si>
  <si>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</si>
  <si>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</si>
  <si>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</si>
  <si>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</si>
  <si>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</si>
  <si>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</si>
  <si>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</si>
  <si>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</si>
  <si>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</si>
  <si>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</si>
  <si>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</si>
  <si>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</si>
  <si>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</si>
  <si>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</si>
  <si>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</si>
  <si>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</si>
  <si>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</si>
  <si>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</si>
  <si>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</si>
  <si>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</si>
  <si>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</si>
  <si>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</si>
  <si>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</si>
  <si>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</si>
  <si>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</si>
  <si>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</si>
  <si>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</si>
  <si>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</si>
  <si>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</si>
  <si>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</si>
  <si>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</si>
  <si>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</si>
  <si>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</si>
  <si>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</si>
  <si>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</si>
  <si>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</si>
  <si>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</si>
  <si>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</si>
  <si>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</si>
  <si>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</si>
  <si>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</si>
  <si>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</si>
  <si>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</si>
  <si>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</si>
  <si>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</si>
  <si>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</si>
  <si>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</si>
  <si>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</si>
  <si>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</si>
  <si>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</si>
  <si>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</si>
  <si>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</si>
  <si>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</si>
  <si>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</si>
  <si>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</si>
  <si>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</si>
  <si>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</si>
  <si>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</si>
  <si>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</si>
  <si>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</si>
  <si>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</si>
  <si>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</si>
  <si>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</si>
  <si>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</si>
  <si>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</si>
  <si>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</si>
  <si>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</si>
  <si>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</si>
  <si>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</si>
  <si>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</si>
  <si>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</si>
  <si>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</si>
  <si>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</si>
  <si>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</si>
  <si>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</si>
  <si>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</si>
  <si>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</si>
  <si>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</si>
  <si>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</si>
  <si>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</si>
  <si>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</si>
  <si>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</si>
  <si>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</si>
  <si>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</si>
  <si>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</si>
  <si>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</si>
  <si>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</si>
  <si>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</si>
  <si>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</si>
  <si>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</si>
  <si>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</si>
  <si>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</si>
  <si>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</si>
  <si>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</si>
  <si>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</si>
  <si>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</si>
  <si>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</si>
  <si>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</si>
  <si>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</si>
  <si>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</si>
  <si>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</si>
  <si>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</si>
  <si>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</si>
  <si>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</si>
  <si>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</si>
  <si>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</si>
  <si>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</si>
  <si>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</si>
  <si>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</si>
  <si>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</si>
  <si>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</si>
  <si>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</si>
  <si>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</si>
  <si>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</si>
  <si>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</si>
  <si>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</si>
  <si>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</si>
  <si>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</si>
  <si>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</si>
  <si>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</si>
  <si>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</si>
  <si>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</si>
  <si>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</si>
  <si>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</si>
  <si>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</si>
  <si>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</si>
  <si>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</si>
  <si>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</si>
  <si>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</si>
  <si>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</si>
  <si>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</si>
  <si>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</si>
  <si>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</si>
  <si>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</si>
  <si>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</si>
  <si>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</si>
  <si>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</si>
  <si>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</si>
  <si>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</si>
  <si>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</si>
  <si>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</si>
  <si>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</si>
  <si>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</si>
  <si>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</si>
  <si>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</si>
  <si>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</si>
  <si>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</si>
  <si>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</si>
  <si>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</si>
  <si>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</si>
  <si>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</si>
  <si>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</si>
  <si>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</si>
  <si>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</si>
  <si>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</si>
  <si>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</si>
  <si>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</si>
  <si>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</si>
  <si>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</si>
  <si>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</si>
  <si>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</si>
  <si>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</si>
  <si>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</si>
  <si>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</si>
  <si>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</si>
  <si>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</si>
  <si>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</si>
  <si>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</si>
  <si>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</si>
  <si>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</si>
  <si>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</si>
  <si>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</si>
  <si>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</si>
  <si>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</si>
  <si>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</si>
  <si>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</si>
  <si>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</si>
  <si>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</si>
  <si>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</si>
  <si>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</si>
  <si>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</si>
  <si>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</si>
  <si>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</si>
  <si>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</si>
  <si>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</si>
  <si>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</si>
  <si>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</si>
  <si>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</si>
  <si>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</si>
  <si>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</si>
  <si>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</si>
  <si>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</si>
  <si>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</si>
  <si>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</si>
  <si>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</si>
  <si>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</si>
  <si>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</si>
  <si>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</si>
  <si>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</si>
  <si>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</si>
  <si>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</si>
  <si>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</si>
  <si>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</si>
  <si>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</si>
  <si>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</si>
  <si>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</si>
  <si>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</si>
  <si>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</si>
  <si>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</si>
  <si>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</si>
  <si>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</si>
  <si>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</si>
  <si>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</si>
  <si>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</si>
  <si>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</si>
  <si>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</si>
  <si>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</si>
  <si>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</si>
  <si>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</si>
  <si>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</si>
  <si>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</si>
  <si>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</si>
  <si>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</si>
  <si>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</si>
  <si>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</si>
  <si>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</si>
  <si>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</si>
  <si>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</si>
  <si>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</si>
  <si>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</si>
  <si>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</si>
  <si>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</si>
  <si>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</si>
  <si>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</si>
  <si>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</si>
  <si>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</si>
  <si>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</si>
  <si>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</si>
  <si>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</si>
  <si>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</si>
  <si>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</si>
  <si>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</si>
  <si>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</si>
  <si>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</si>
  <si>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</si>
  <si>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</si>
  <si>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</si>
  <si>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</si>
  <si>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</si>
  <si>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</si>
  <si>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</si>
  <si>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</si>
  <si>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</si>
  <si>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</si>
  <si>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</si>
  <si>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</si>
  <si>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</si>
  <si>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</si>
  <si>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</si>
  <si>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</si>
  <si>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</si>
  <si>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</si>
  <si>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</si>
  <si>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</si>
  <si>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</si>
  <si>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</si>
  <si>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</si>
  <si>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</si>
  <si>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</si>
  <si>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</si>
  <si>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</si>
  <si>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</si>
  <si>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</si>
  <si>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</si>
  <si>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</si>
  <si>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</si>
  <si>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</si>
  <si>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</si>
  <si>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</si>
  <si>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</si>
  <si>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</si>
  <si>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</si>
  <si>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</si>
  <si>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</si>
  <si>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</si>
  <si>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</si>
  <si>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</si>
  <si>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</si>
  <si>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</si>
  <si>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</si>
  <si>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</si>
  <si>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</si>
  <si>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</si>
  <si>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</si>
  <si>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</si>
  <si>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</si>
  <si>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</si>
  <si>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</si>
  <si>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</si>
  <si>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</si>
  <si>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</si>
  <si>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</si>
  <si>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</si>
  <si>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</si>
  <si>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</si>
  <si>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</si>
  <si>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</si>
  <si>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</si>
  <si>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</si>
  <si>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</si>
  <si>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</si>
  <si>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</si>
  <si>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</si>
  <si>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</si>
  <si>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</si>
  <si>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</si>
  <si>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</si>
  <si>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</si>
  <si>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</si>
  <si>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</si>
  <si>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</si>
  <si>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</si>
  <si>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</si>
  <si>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</si>
  <si>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</si>
  <si>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</si>
  <si>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</si>
  <si>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</si>
  <si>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</si>
  <si>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</si>
  <si>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</si>
  <si>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</si>
  <si>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</si>
  <si>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</si>
  <si>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</si>
  <si>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</si>
  <si>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</si>
  <si>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</si>
  <si>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</si>
  <si>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</si>
  <si>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</si>
  <si>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</si>
  <si>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</si>
  <si>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</si>
  <si>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</si>
  <si>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</si>
  <si>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</si>
  <si>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</si>
  <si>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</si>
  <si>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</si>
  <si>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</si>
  <si>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</si>
  <si>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</si>
  <si>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</si>
  <si>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</si>
  <si>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</si>
  <si>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</si>
  <si>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</si>
  <si>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</si>
  <si>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</si>
  <si>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</si>
  <si>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</si>
  <si>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</si>
  <si>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</si>
  <si>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</si>
  <si>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</si>
  <si>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</si>
  <si>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</si>
  <si>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</si>
  <si>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</si>
  <si>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</si>
  <si>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</si>
  <si>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</si>
  <si>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</si>
  <si>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</si>
  <si>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</si>
  <si>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</si>
  <si>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</si>
  <si>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</si>
  <si>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</si>
  <si>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</si>
  <si>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</si>
  <si>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</si>
  <si>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</si>
  <si>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</si>
  <si>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</si>
  <si>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</si>
  <si>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</si>
  <si>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</si>
  <si>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</si>
  <si>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</si>
  <si>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</si>
  <si>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</si>
  <si>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</si>
  <si>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</si>
  <si>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</si>
  <si>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</si>
  <si>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</si>
  <si>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</si>
  <si>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</si>
  <si>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</si>
  <si>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</si>
  <si>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</si>
  <si>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</si>
  <si>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</si>
  <si>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</si>
  <si>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</si>
  <si>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</si>
  <si>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</si>
  <si>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</si>
  <si>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</si>
  <si>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</si>
  <si>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</si>
  <si>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</si>
  <si>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</si>
  <si>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</si>
  <si>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</si>
  <si>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</si>
  <si>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</si>
  <si>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</si>
  <si>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</si>
  <si>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</si>
  <si>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</si>
  <si>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</si>
  <si>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</si>
  <si>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</si>
  <si>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</si>
  <si>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</si>
  <si>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</si>
  <si>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</si>
  <si>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</si>
  <si>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</si>
  <si>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</si>
  <si>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</si>
  <si>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</si>
  <si>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</si>
  <si>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</si>
  <si>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</si>
  <si>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</si>
  <si>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</si>
  <si>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</si>
  <si>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</si>
  <si>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</si>
  <si>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</si>
  <si>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</si>
  <si>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</si>
  <si>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</si>
  <si>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</si>
  <si>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</si>
  <si>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</si>
  <si>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</si>
  <si>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</si>
  <si>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</si>
  <si>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</si>
  <si>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</si>
  <si>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</si>
  <si>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</si>
  <si>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</si>
  <si>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</si>
  <si>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</si>
  <si>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</si>
  <si>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</si>
  <si>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</si>
  <si>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</si>
  <si>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</si>
  <si>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</si>
  <si>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</si>
  <si>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</si>
  <si>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</si>
  <si>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</si>
  <si>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</si>
  <si>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</si>
  <si>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</si>
  <si>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</si>
  <si>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</si>
  <si>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</si>
  <si>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</si>
  <si>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</si>
  <si>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</si>
  <si>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</si>
  <si>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</si>
  <si>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</si>
  <si>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</si>
  <si>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</si>
  <si>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</si>
  <si>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</si>
  <si>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</si>
  <si>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</si>
  <si>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</si>
  <si>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</si>
  <si>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</si>
  <si>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</si>
  <si>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</si>
  <si>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</si>
  <si>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</si>
  <si>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</si>
  <si>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</si>
  <si>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</si>
  <si>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</si>
  <si>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</si>
  <si>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</si>
  <si>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</si>
  <si>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</si>
  <si>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</si>
  <si>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</si>
  <si>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</si>
  <si>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</si>
  <si>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</si>
  <si>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</si>
  <si>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</si>
  <si>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</si>
  <si>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</si>
  <si>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</si>
  <si>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</si>
  <si>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</si>
  <si>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</si>
  <si>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</si>
  <si>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</si>
  <si>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</si>
  <si>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</si>
  <si>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</si>
  <si>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</si>
  <si>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</si>
  <si>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</si>
  <si>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</si>
  <si>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</si>
  <si>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</si>
  <si>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</si>
  <si>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</si>
  <si>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</si>
  <si>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</si>
  <si>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</si>
  <si>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</si>
  <si>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</si>
  <si>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</si>
  <si>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</si>
  <si>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</si>
  <si>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</si>
  <si>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</si>
  <si>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</si>
  <si>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</si>
  <si>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</si>
  <si>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</si>
  <si>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</si>
  <si>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</si>
  <si>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</si>
  <si>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</si>
  <si>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</si>
  <si>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</si>
  <si>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</si>
  <si>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</si>
  <si>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</si>
  <si>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</si>
  <si>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</si>
  <si>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</si>
  <si>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</si>
  <si>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</si>
  <si>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</si>
  <si>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</si>
  <si>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</si>
  <si>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</si>
  <si>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</si>
  <si>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</si>
  <si>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</si>
  <si>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</si>
  <si>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</si>
  <si>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</si>
  <si>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</si>
  <si>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</si>
  <si>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</si>
  <si>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</si>
  <si>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</si>
  <si>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</si>
  <si>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</si>
  <si>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</si>
  <si>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</si>
  <si>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</si>
  <si>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</si>
  <si>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</si>
  <si>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</si>
  <si>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</si>
  <si>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</si>
  <si>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</si>
  <si>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</si>
  <si>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</si>
  <si>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</si>
  <si>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</si>
  <si>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</si>
  <si>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</si>
  <si>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</si>
  <si>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</si>
  <si>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</si>
  <si>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</si>
  <si>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</si>
  <si>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</si>
  <si>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</si>
  <si>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</si>
  <si>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</si>
  <si>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</si>
  <si>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</si>
  <si>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</si>
  <si>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</si>
  <si>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</si>
  <si>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</si>
  <si>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</si>
  <si>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</si>
  <si>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</si>
  <si>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</si>
  <si>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</si>
  <si>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</si>
  <si>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</si>
  <si>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</si>
  <si>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</si>
  <si>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</si>
  <si>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</si>
  <si>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</si>
  <si>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</si>
  <si>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</si>
  <si>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</si>
  <si>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</si>
  <si>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</si>
  <si>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</si>
  <si>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</si>
  <si>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</si>
  <si>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</si>
  <si>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</si>
  <si>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</si>
  <si>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</si>
  <si>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</si>
  <si>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</si>
  <si>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</si>
  <si>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</si>
  <si>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</si>
  <si>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</si>
  <si>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</si>
  <si>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</si>
  <si>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</si>
  <si>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</si>
  <si>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</si>
  <si>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</si>
  <si>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</si>
  <si>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</si>
  <si>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</si>
  <si>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</si>
  <si>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</si>
  <si>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</si>
  <si>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</si>
  <si>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</si>
  <si>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</si>
  <si>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</si>
  <si>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</si>
  <si>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</si>
  <si>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</si>
  <si>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</si>
  <si>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</si>
  <si>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</si>
  <si>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</si>
  <si>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</si>
  <si>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</si>
  <si>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</si>
  <si>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</si>
  <si>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</si>
  <si>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</si>
  <si>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</si>
  <si>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</si>
  <si>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</si>
  <si>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</si>
  <si>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</si>
  <si>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</si>
  <si>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</si>
  <si>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</si>
  <si>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</si>
  <si>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</si>
  <si>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</si>
  <si>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</si>
  <si>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</si>
  <si>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</si>
  <si>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</si>
  <si>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</si>
  <si>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</si>
  <si>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</si>
  <si>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</si>
  <si>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</si>
  <si>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</si>
  <si>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</si>
  <si>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</si>
  <si>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</si>
  <si>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</si>
  <si>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</si>
  <si>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</si>
  <si>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</si>
  <si>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</si>
  <si>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</si>
  <si>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</si>
  <si>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</si>
  <si>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</si>
  <si>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</si>
  <si>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</si>
  <si>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</si>
  <si>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</si>
  <si>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</si>
  <si>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</si>
  <si>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</si>
  <si>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</si>
  <si>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</si>
  <si>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</si>
  <si>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</si>
  <si>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</si>
  <si>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</si>
  <si>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</si>
  <si>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</si>
  <si>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</si>
  <si>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</si>
  <si>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</si>
  <si>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</si>
  <si>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</si>
  <si>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</si>
  <si>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</si>
  <si>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</si>
  <si>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</si>
  <si>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</si>
  <si>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</si>
  <si>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</si>
  <si>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</si>
  <si>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</si>
  <si>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</si>
  <si>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</si>
  <si>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</si>
  <si>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</si>
  <si>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</si>
  <si>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</si>
  <si>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</si>
  <si>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</si>
  <si>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</si>
  <si>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</si>
  <si>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</si>
  <si>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</si>
  <si>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</si>
  <si>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</si>
  <si>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</si>
  <si>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</si>
  <si>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</si>
  <si>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</si>
  <si>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</si>
  <si>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</si>
  <si>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</si>
  <si>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</si>
  <si>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</si>
  <si>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</si>
  <si>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</si>
  <si>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</si>
  <si>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</si>
  <si>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</si>
  <si>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</si>
  <si>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</si>
  <si>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</si>
  <si>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</si>
  <si>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</si>
  <si>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</si>
  <si>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</si>
  <si>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</si>
  <si>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</si>
  <si>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</si>
  <si>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</si>
  <si>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</si>
  <si>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</si>
  <si>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</si>
  <si>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</si>
  <si>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</si>
  <si>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</si>
  <si>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</si>
  <si>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</si>
  <si>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</si>
  <si>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</si>
  <si>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</si>
  <si>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</si>
  <si>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</si>
  <si>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</si>
  <si>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</si>
  <si>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</si>
  <si>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</si>
  <si>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</si>
  <si>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</si>
  <si>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</si>
  <si>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</si>
  <si>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</si>
  <si>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</si>
  <si>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</si>
  <si>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</si>
  <si>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</si>
  <si>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</si>
  <si>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</si>
  <si>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</si>
  <si>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</si>
  <si>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</si>
  <si>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</si>
  <si>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</si>
  <si>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</si>
  <si>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</si>
  <si>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</si>
  <si>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</si>
  <si>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</si>
  <si>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</si>
  <si>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</si>
  <si>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</si>
  <si>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</si>
  <si>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</si>
  <si>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</si>
  <si>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</si>
  <si>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</si>
  <si>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</si>
  <si>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</si>
  <si>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</si>
  <si>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</si>
  <si>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</si>
  <si>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</si>
  <si>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</si>
  <si>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</si>
  <si>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</si>
  <si>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</si>
  <si>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</si>
  <si>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</si>
  <si>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</si>
  <si>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</si>
  <si>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</si>
  <si>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</si>
  <si>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</si>
  <si>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</si>
  <si>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</si>
  <si>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</si>
  <si>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</si>
  <si>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</si>
  <si>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</si>
  <si>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</si>
  <si>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</si>
  <si>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</si>
  <si>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</si>
  <si>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</si>
  <si>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</si>
  <si>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</si>
  <si>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</si>
  <si>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</si>
  <si>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</si>
  <si>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</si>
  <si>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</si>
  <si>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</si>
  <si>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</si>
  <si>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</si>
  <si>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</si>
  <si>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</si>
  <si>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</si>
  <si>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</si>
  <si>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</si>
  <si>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</si>
  <si>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</si>
  <si>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</si>
  <si>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</si>
  <si>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</si>
  <si>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</si>
  <si>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</si>
  <si>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</si>
  <si>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</si>
  <si>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</si>
  <si>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</si>
  <si>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</si>
  <si>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</si>
  <si>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</si>
  <si>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</si>
  <si>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</si>
  <si>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</si>
  <si>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</si>
  <si>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</si>
  <si>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</si>
  <si>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</si>
  <si>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</si>
  <si>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</si>
  <si>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</si>
  <si>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</si>
  <si>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</si>
  <si>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</si>
  <si>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</si>
  <si>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</si>
  <si>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</si>
  <si>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</si>
  <si>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</si>
  <si>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</si>
  <si>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</si>
  <si>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</si>
  <si>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</si>
  <si>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</si>
  <si>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</si>
  <si>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</si>
  <si>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</si>
  <si>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</si>
  <si>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</si>
  <si>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</si>
  <si>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</si>
  <si>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</si>
  <si>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</si>
  <si>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</si>
  <si>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</si>
  <si>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</si>
  <si>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</si>
  <si>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</si>
  <si>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</si>
  <si>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</si>
  <si>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</si>
  <si>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</si>
  <si>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</si>
  <si>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</si>
  <si>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</si>
  <si>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</si>
  <si>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</si>
  <si>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</si>
  <si>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</si>
  <si>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</si>
  <si>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</si>
  <si>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</si>
  <si>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</si>
  <si>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</si>
  <si>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</si>
  <si>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</si>
  <si>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</si>
  <si>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</si>
  <si>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</si>
  <si>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</si>
  <si>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</si>
  <si>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</si>
  <si>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</si>
  <si>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</si>
  <si>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</si>
  <si>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</si>
  <si>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</si>
  <si>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</si>
  <si>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</si>
  <si>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</si>
  <si>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</si>
  <si>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</si>
  <si>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</si>
  <si>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</si>
  <si>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</si>
  <si>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</si>
  <si>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</si>
  <si>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</si>
  <si>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</si>
  <si>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</si>
  <si>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</si>
  <si>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</si>
  <si>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</si>
  <si>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</si>
  <si>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</si>
  <si>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</si>
  <si>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</si>
  <si>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</si>
  <si>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</si>
  <si>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</si>
  <si>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</si>
  <si>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</si>
  <si>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</si>
  <si>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</si>
  <si>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</si>
  <si>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</si>
  <si>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</si>
  <si>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</si>
  <si>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</si>
  <si>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</si>
  <si>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</si>
  <si>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</si>
  <si>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</si>
  <si>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</si>
  <si>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</si>
  <si>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</si>
  <si>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</si>
  <si>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</si>
  <si>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</si>
  <si>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</si>
  <si>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</si>
  <si>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</si>
  <si>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</si>
  <si>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</si>
  <si>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</si>
  <si>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</si>
  <si>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</si>
  <si>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</si>
  <si>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</si>
  <si>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</si>
  <si>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</si>
  <si>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</si>
  <si>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</si>
  <si>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</si>
  <si>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</si>
  <si>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</si>
  <si>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</si>
  <si>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</si>
  <si>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</si>
  <si>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</si>
  <si>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</si>
  <si>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</si>
  <si>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</si>
  <si>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</si>
  <si>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</si>
  <si>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</si>
  <si>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</si>
  <si>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</si>
  <si>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</si>
  <si>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</si>
  <si>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</si>
  <si>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</si>
  <si>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</si>
  <si>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</si>
  <si>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</si>
  <si>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</si>
  <si>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</si>
  <si>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</si>
  <si>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</si>
  <si>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</si>
  <si>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</si>
  <si>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</si>
  <si>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</si>
  <si>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</si>
  <si>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</si>
  <si>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</si>
  <si>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</si>
  <si>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</si>
  <si>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</si>
  <si>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</si>
  <si>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</si>
  <si>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</si>
  <si>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</si>
  <si>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</si>
  <si>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</si>
  <si>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</si>
  <si>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</si>
  <si>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</si>
  <si>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</si>
  <si>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</si>
  <si>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</si>
  <si>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</si>
  <si>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</si>
  <si>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</si>
  <si>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</si>
  <si>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</si>
  <si>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</si>
  <si>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</si>
  <si>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</si>
  <si>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</si>
  <si>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</si>
  <si>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</si>
  <si>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</si>
  <si>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</si>
  <si>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</si>
  <si>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</si>
  <si>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</si>
  <si>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</si>
  <si>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</si>
  <si>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</si>
  <si>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</si>
  <si>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</si>
  <si>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</si>
  <si>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</si>
  <si>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</si>
  <si>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</si>
  <si>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</si>
  <si>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</si>
  <si>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</si>
  <si>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</si>
  <si>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</si>
  <si>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</si>
  <si>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</si>
  <si>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</si>
  <si>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</si>
  <si>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</si>
  <si>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</si>
  <si>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</si>
  <si>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</si>
  <si>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</si>
  <si>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</si>
  <si>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</si>
  <si>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</si>
  <si>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</si>
  <si>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</si>
  <si>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</si>
  <si>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</si>
  <si>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</si>
  <si>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</si>
  <si>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</si>
  <si>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</si>
  <si>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</si>
  <si>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</si>
  <si>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</si>
  <si>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</si>
  <si>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</si>
  <si>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</si>
  <si>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</si>
  <si>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</si>
  <si>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</si>
  <si>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</si>
  <si>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</si>
  <si>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</si>
  <si>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</si>
  <si>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</si>
  <si>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</si>
  <si>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</si>
  <si>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</si>
  <si>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</si>
  <si>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</si>
  <si>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</si>
  <si>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</si>
  <si>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</si>
  <si>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</si>
  <si>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</si>
  <si>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</si>
  <si>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</si>
  <si>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</si>
  <si>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</si>
  <si>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</si>
  <si>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</si>
  <si>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</si>
  <si>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</si>
  <si>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</si>
  <si>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</si>
  <si>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</si>
  <si>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</si>
  <si>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</si>
  <si>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</si>
  <si>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</si>
  <si>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</si>
  <si>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</si>
  <si>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</si>
  <si>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</si>
  <si>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</si>
  <si>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</si>
  <si>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</si>
  <si>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</si>
  <si>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</si>
  <si>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</si>
  <si>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</si>
  <si>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</si>
  <si>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</si>
  <si>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</si>
  <si>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</si>
  <si>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</si>
  <si>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</si>
  <si>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</si>
  <si>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</si>
  <si>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</si>
  <si>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</si>
  <si>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</si>
  <si>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</si>
  <si>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</si>
  <si>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</si>
  <si>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</si>
  <si>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</si>
  <si>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</si>
  <si>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</si>
  <si>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</si>
  <si>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</si>
  <si>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</si>
  <si>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</si>
  <si>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</si>
  <si>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</si>
  <si>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</si>
  <si>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</si>
  <si>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</si>
  <si>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</si>
  <si>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</si>
  <si>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</si>
  <si>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</si>
  <si>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</si>
  <si>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</si>
  <si>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</si>
  <si>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</si>
  <si>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</si>
  <si>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</si>
  <si>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</si>
  <si>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</si>
  <si>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</si>
  <si>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</si>
  <si>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</si>
  <si>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</si>
  <si>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</si>
  <si>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</si>
  <si>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</si>
  <si>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</si>
  <si>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</si>
  <si>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</si>
  <si>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</si>
  <si>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</si>
  <si>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</si>
  <si>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</si>
  <si>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</si>
  <si>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</si>
  <si>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</si>
  <si>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</si>
  <si>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</si>
  <si>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</si>
  <si>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</si>
  <si>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</si>
  <si>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</si>
  <si>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</si>
  <si>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</si>
  <si>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</si>
  <si>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</si>
  <si>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</si>
  <si>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</si>
  <si>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</si>
  <si>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</si>
  <si>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</si>
  <si>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</si>
  <si>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</si>
  <si>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</si>
  <si>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</si>
  <si>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</si>
  <si>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</si>
  <si>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</si>
  <si>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</si>
  <si>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</si>
  <si>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</si>
  <si>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</si>
  <si>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</si>
  <si>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</si>
  <si>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</si>
  <si>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</si>
  <si>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</si>
  <si>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</si>
  <si>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</si>
  <si>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</si>
  <si>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</si>
  <si>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</si>
  <si>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</si>
  <si>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</si>
  <si>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</si>
  <si>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</si>
  <si>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</si>
  <si>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</si>
  <si>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</si>
  <si>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</si>
  <si>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</si>
  <si>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</si>
  <si>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</si>
  <si>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</si>
  <si>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</si>
  <si>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</si>
  <si>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</si>
  <si>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</si>
  <si>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</si>
  <si>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</si>
  <si>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</si>
  <si>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</si>
  <si>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</si>
  <si>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</si>
  <si>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</si>
  <si>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</si>
  <si>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</si>
  <si>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</si>
  <si>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</si>
  <si>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</si>
  <si>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</si>
  <si>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</si>
  <si>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</si>
  <si>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</si>
  <si>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</si>
  <si>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</si>
  <si>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</si>
  <si>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</si>
  <si>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</si>
  <si>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</si>
  <si>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</si>
  <si>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</si>
  <si>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</si>
  <si>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</si>
  <si>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</si>
  <si>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</si>
  <si>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</si>
  <si>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</si>
  <si>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</si>
  <si>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</si>
  <si>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</si>
  <si>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</si>
  <si>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</si>
  <si>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</si>
  <si>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</si>
  <si>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</si>
  <si>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</si>
  <si>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</si>
  <si>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</si>
  <si>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</si>
  <si>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</si>
  <si>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</si>
  <si>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</si>
  <si>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</si>
  <si>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</si>
  <si>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</si>
  <si>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</si>
  <si>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</si>
  <si>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</si>
  <si>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</si>
  <si>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</si>
  <si>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</si>
  <si>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</si>
  <si>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</si>
  <si>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</si>
  <si>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</si>
  <si>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</si>
  <si>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</si>
  <si>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</si>
  <si>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</si>
  <si>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</si>
  <si>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</si>
  <si>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</si>
  <si>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</si>
  <si>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</si>
  <si>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</si>
  <si>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</si>
  <si>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</si>
  <si>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</si>
  <si>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</si>
  <si>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</si>
  <si>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</si>
  <si>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</si>
  <si>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</si>
  <si>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</si>
  <si>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</si>
  <si>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</si>
  <si>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</si>
  <si>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</si>
  <si>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</si>
  <si>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</si>
  <si>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</si>
  <si>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</si>
  <si>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</si>
  <si>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</si>
  <si>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</si>
  <si>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</si>
  <si>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</si>
  <si>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</si>
  <si>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</si>
  <si>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</si>
  <si>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</si>
  <si>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</si>
  <si>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</si>
  <si>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</si>
  <si>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</si>
  <si>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</si>
  <si>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</si>
  <si>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</si>
  <si>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</si>
  <si>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</si>
  <si>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</si>
  <si>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</si>
  <si>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</si>
  <si>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</si>
  <si>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</si>
  <si>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</si>
  <si>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</si>
  <si>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</si>
  <si>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</si>
  <si>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</si>
  <si>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</si>
  <si>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</si>
  <si>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</si>
  <si>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</si>
  <si>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</si>
  <si>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</si>
  <si>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</si>
  <si>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</si>
  <si>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</si>
  <si>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</si>
  <si>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</si>
  <si>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</si>
  <si>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</si>
  <si>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</si>
  <si>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</si>
  <si>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</si>
  <si>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</si>
  <si>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</si>
  <si>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</si>
  <si>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</si>
  <si>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</si>
  <si>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</si>
  <si>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</si>
  <si>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</si>
  <si>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</si>
  <si>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</si>
  <si>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</si>
  <si>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</si>
  <si>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</si>
  <si>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</si>
  <si>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</si>
  <si>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</si>
  <si>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</si>
  <si>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</si>
  <si>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</si>
  <si>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</si>
  <si>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</si>
  <si>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</si>
  <si>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</si>
  <si>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</si>
  <si>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</si>
  <si>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</si>
  <si>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</si>
  <si>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</si>
  <si>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</si>
  <si>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</si>
  <si>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</si>
  <si>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</si>
  <si>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</si>
  <si>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</si>
  <si>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</si>
  <si>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</si>
  <si>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</si>
  <si>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</si>
  <si>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</si>
  <si>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</si>
  <si>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</si>
  <si>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</si>
  <si>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</si>
  <si>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</si>
  <si>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</si>
  <si>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</si>
  <si>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</si>
  <si>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</si>
  <si>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</si>
  <si>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</si>
  <si>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</si>
  <si>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</si>
  <si>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</si>
  <si>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</si>
  <si>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</si>
  <si>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</si>
  <si>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</si>
  <si>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</si>
  <si>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</si>
  <si>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</si>
  <si>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</si>
  <si>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</si>
  <si>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</si>
  <si>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</si>
  <si>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</si>
  <si>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</si>
  <si>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</si>
  <si>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</si>
  <si>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</si>
  <si>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</si>
  <si>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</si>
  <si>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</si>
  <si>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</si>
  <si>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</si>
  <si>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</si>
  <si>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</si>
  <si>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</si>
  <si>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</si>
  <si>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</si>
  <si>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</si>
  <si>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</si>
  <si>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</si>
  <si>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</si>
  <si>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</si>
  <si>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</si>
  <si>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</si>
  <si>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</si>
  <si>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</si>
  <si>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</si>
  <si>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</si>
  <si>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</si>
  <si>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</si>
  <si>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</si>
  <si>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</si>
  <si>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</si>
  <si>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</si>
  <si>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</si>
  <si>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</si>
  <si>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</si>
  <si>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</si>
  <si>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</si>
  <si>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</si>
  <si>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</si>
  <si>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</si>
  <si>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</si>
  <si>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</si>
  <si>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</si>
  <si>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</si>
  <si>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</si>
  <si>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</si>
  <si>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</si>
  <si>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</si>
  <si>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</si>
  <si>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</si>
  <si>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</si>
  <si>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</si>
  <si>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</si>
  <si>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</si>
  <si>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</si>
  <si>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</si>
  <si>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</si>
  <si>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</si>
  <si>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</si>
  <si>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</si>
  <si>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</si>
  <si>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</si>
  <si>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</si>
  <si>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</si>
  <si>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</si>
  <si>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</si>
  <si>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</si>
  <si>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</si>
  <si>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</si>
  <si>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</si>
  <si>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</si>
  <si>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</si>
  <si>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</si>
  <si>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</si>
  <si>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</si>
  <si>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</si>
  <si>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</si>
  <si>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</si>
  <si>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</si>
  <si>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</si>
  <si>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</si>
  <si>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</si>
  <si>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</si>
  <si>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</si>
  <si>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</si>
  <si>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</si>
  <si>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</si>
  <si>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</si>
  <si>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</si>
  <si>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</si>
  <si>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</si>
  <si>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</si>
  <si>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</si>
  <si>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</si>
  <si>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</si>
  <si>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</si>
  <si>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</si>
  <si>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</si>
  <si>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</si>
  <si>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</si>
  <si>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</si>
  <si>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</si>
  <si>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</si>
  <si>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</si>
  <si>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</si>
  <si>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</si>
  <si>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</si>
  <si>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</si>
  <si>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</si>
  <si>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</si>
  <si>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</si>
  <si>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</si>
  <si>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</si>
  <si>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</si>
  <si>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</si>
  <si>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</si>
  <si>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</si>
  <si>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</si>
  <si>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</si>
  <si>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</si>
  <si>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</si>
  <si>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</si>
  <si>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</si>
  <si>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</si>
  <si>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</si>
  <si>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</si>
  <si>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</si>
  <si>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</si>
  <si>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</si>
  <si>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</si>
  <si>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</si>
  <si>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</si>
  <si>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</si>
  <si>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</si>
  <si>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</si>
  <si>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</si>
  <si>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</si>
  <si>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</si>
  <si>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</si>
  <si>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</si>
  <si>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</si>
  <si>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</si>
  <si>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</si>
  <si>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</si>
  <si>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</si>
  <si>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</si>
  <si>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</si>
  <si>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</si>
  <si>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</si>
  <si>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</si>
  <si>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</si>
  <si>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</si>
  <si>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</si>
  <si>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</si>
  <si>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</si>
  <si>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</si>
  <si>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</si>
  <si>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</si>
  <si>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</si>
  <si>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</si>
  <si>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</si>
  <si>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</si>
  <si>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</si>
  <si>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</si>
  <si>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</si>
  <si>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</si>
  <si>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</si>
  <si>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</si>
  <si>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</si>
  <si>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</si>
  <si>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</si>
  <si>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</si>
  <si>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</si>
  <si>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</si>
  <si>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</si>
  <si>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</si>
  <si>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</si>
  <si>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</si>
  <si>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</si>
  <si>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</si>
  <si>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</si>
  <si>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</si>
  <si>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</si>
  <si>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</si>
  <si>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</si>
  <si>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</si>
  <si>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</si>
  <si>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</si>
  <si>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</si>
  <si>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</si>
  <si>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</si>
  <si>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</si>
  <si>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</si>
  <si>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</si>
  <si>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</si>
  <si>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</si>
  <si>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</si>
  <si>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</si>
  <si>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</si>
  <si>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</si>
  <si>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</si>
  <si>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</si>
  <si>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</si>
  <si>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</si>
  <si>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</si>
  <si>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</si>
  <si>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</si>
  <si>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</si>
  <si>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</si>
  <si>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</si>
  <si>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</si>
  <si>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</si>
  <si>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</si>
  <si>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</si>
  <si>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</si>
  <si>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</si>
  <si>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</si>
  <si>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</si>
  <si>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</si>
  <si>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</si>
  <si>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</si>
  <si>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</si>
  <si>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</si>
  <si>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</si>
  <si>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</si>
  <si>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</si>
  <si>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</si>
  <si>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</si>
  <si>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</si>
  <si>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</si>
  <si>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</si>
  <si>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</si>
  <si>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</si>
  <si>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</si>
  <si>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</si>
  <si>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</si>
  <si>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</si>
  <si>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</si>
  <si>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</si>
  <si>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</si>
  <si>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</si>
  <si>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</si>
  <si>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</si>
  <si>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</si>
  <si>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</si>
  <si>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</si>
  <si>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</si>
  <si>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</si>
  <si>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</si>
  <si>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</si>
  <si>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</si>
  <si>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</si>
  <si>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</si>
  <si>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</si>
  <si>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</si>
  <si>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</si>
  <si>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</si>
  <si>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</si>
  <si>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</si>
  <si>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</si>
  <si>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</si>
  <si>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</si>
  <si>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</si>
  <si>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</si>
  <si>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</si>
  <si>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</si>
  <si>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</si>
  <si>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</si>
  <si>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</si>
  <si>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</si>
  <si>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</si>
  <si>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</si>
  <si>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</si>
  <si>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</si>
  <si>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</si>
  <si>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</si>
  <si>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</si>
  <si>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</si>
  <si>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</si>
  <si>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</si>
  <si>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</si>
  <si>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</si>
  <si>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</si>
  <si>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</si>
  <si>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</si>
  <si>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</si>
  <si>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</si>
  <si>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</si>
  <si>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</si>
  <si>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</si>
  <si>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</si>
  <si>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</si>
  <si>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</si>
  <si>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</si>
  <si>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</si>
  <si>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</si>
  <si>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</si>
  <si>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</si>
  <si>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</si>
  <si>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</si>
  <si>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</si>
  <si>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</si>
  <si>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</si>
  <si>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</si>
  <si>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</si>
  <si>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</si>
  <si>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</si>
  <si>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</si>
  <si>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</si>
  <si>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</si>
  <si>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</si>
  <si>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</si>
  <si>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</si>
  <si>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</si>
  <si>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</si>
  <si>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</si>
  <si>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</si>
  <si>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</si>
  <si>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</si>
  <si>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</si>
  <si>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</si>
  <si>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</si>
  <si>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</si>
  <si>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</si>
  <si>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</si>
  <si>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</si>
  <si>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</si>
  <si>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</si>
  <si>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</si>
  <si>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</si>
  <si>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</si>
  <si>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</si>
  <si>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</si>
  <si>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</si>
  <si>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</si>
  <si>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</si>
  <si>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</si>
  <si>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</si>
  <si>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</si>
  <si>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</si>
  <si>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</si>
  <si>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</si>
  <si>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</si>
  <si>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</si>
  <si>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</si>
  <si>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</si>
  <si>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</si>
  <si>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</si>
  <si>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</si>
  <si>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</si>
  <si>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</si>
  <si>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</si>
  <si>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</si>
  <si>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</si>
  <si>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</si>
  <si>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</si>
  <si>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</si>
  <si>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</si>
  <si>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</si>
  <si>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</si>
  <si>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</si>
  <si>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</si>
  <si>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</si>
  <si>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</si>
  <si>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</si>
  <si>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</si>
  <si>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</si>
  <si>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</si>
  <si>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</si>
  <si>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</si>
  <si>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</si>
  <si>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</si>
  <si>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</si>
  <si>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</si>
  <si>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</si>
  <si>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</si>
  <si>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</si>
  <si>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</si>
  <si>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</si>
  <si>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</si>
  <si>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</si>
  <si>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</si>
  <si>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</si>
  <si>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</si>
  <si>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</si>
  <si>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</si>
  <si>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</si>
  <si>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</si>
  <si>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</si>
  <si>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</si>
  <si>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</si>
  <si>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</si>
  <si>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</si>
  <si>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</si>
  <si>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</si>
  <si>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</si>
  <si>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</si>
  <si>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</si>
  <si>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</si>
  <si>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</si>
  <si>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</si>
  <si>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</si>
  <si>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</si>
  <si>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</si>
  <si>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</si>
  <si>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</si>
  <si>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</si>
  <si>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</si>
  <si>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</si>
  <si>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</si>
  <si>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</si>
  <si>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</si>
  <si>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</si>
  <si>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</si>
  <si>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</si>
  <si>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</si>
  <si>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</si>
  <si>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</si>
  <si>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</si>
  <si>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</si>
  <si>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</si>
  <si>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</si>
  <si>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</si>
  <si>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</si>
  <si>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</si>
  <si>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</si>
  <si>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</si>
  <si>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</si>
  <si>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</si>
  <si>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</si>
  <si>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</si>
  <si>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</si>
  <si>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</si>
  <si>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</si>
  <si>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</si>
  <si>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</si>
  <si>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</si>
  <si>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</si>
  <si>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</si>
  <si>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</si>
  <si>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</si>
  <si>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</si>
  <si>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</si>
  <si>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</si>
  <si>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</si>
  <si>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</si>
  <si>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</si>
  <si>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</si>
  <si>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</si>
  <si>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</si>
  <si>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</si>
  <si>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</si>
  <si>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</si>
  <si>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</si>
  <si>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</si>
  <si>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</si>
  <si>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</si>
  <si>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</si>
  <si>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</si>
  <si>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</si>
  <si>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</si>
  <si>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</si>
  <si>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</si>
  <si>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</si>
  <si>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</si>
  <si>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</si>
  <si>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</si>
  <si>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</si>
  <si>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</si>
  <si>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</si>
  <si>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</si>
  <si>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</si>
  <si>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</si>
  <si>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</si>
  <si>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</si>
  <si>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</si>
  <si>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</si>
  <si>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</si>
  <si>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</si>
  <si>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</si>
  <si>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</si>
  <si>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</si>
  <si>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</si>
  <si>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</si>
  <si>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</si>
  <si>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</si>
  <si>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</si>
  <si>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</si>
  <si>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</si>
  <si>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</si>
  <si>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</si>
  <si>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</si>
  <si>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</si>
  <si>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</si>
  <si>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</si>
  <si>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</si>
  <si>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</si>
  <si>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</si>
  <si>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</si>
  <si>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</si>
  <si>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</si>
  <si>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</si>
  <si>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</si>
  <si>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</si>
  <si>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</si>
  <si>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</si>
  <si>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</si>
  <si>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</si>
  <si>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</si>
  <si>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</si>
  <si>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</si>
  <si>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</si>
  <si>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</si>
  <si>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</si>
  <si>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</si>
  <si>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</si>
  <si>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</si>
  <si>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</si>
  <si>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</si>
  <si>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</si>
  <si>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</si>
  <si>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</si>
  <si>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</si>
  <si>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</si>
  <si>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</si>
  <si>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</si>
  <si>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</si>
  <si>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</si>
  <si>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</si>
  <si>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</si>
  <si>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</si>
  <si>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</si>
  <si>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</si>
  <si>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</si>
  <si>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</si>
  <si>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</si>
  <si>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</si>
  <si>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</si>
  <si>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</si>
  <si>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</si>
  <si>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</si>
  <si>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</si>
  <si>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</si>
  <si>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</si>
  <si>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</si>
  <si>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</si>
  <si>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</si>
  <si>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</si>
  <si>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</si>
  <si>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</si>
  <si>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</si>
  <si>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</si>
  <si>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</si>
  <si>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</si>
  <si>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</si>
  <si>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</si>
  <si>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</si>
  <si>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</si>
  <si>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</si>
  <si>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</si>
  <si>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</si>
  <si>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</si>
  <si>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</si>
  <si>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</si>
  <si>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</si>
  <si>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</si>
  <si>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</si>
  <si>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</si>
  <si>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</si>
  <si>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</si>
  <si>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</si>
  <si>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</si>
  <si>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</si>
  <si>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</si>
  <si>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</si>
  <si>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</si>
  <si>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</si>
  <si>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</si>
  <si>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</si>
  <si>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</si>
  <si>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</si>
  <si>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</si>
  <si>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</si>
  <si>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</si>
  <si>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</si>
  <si>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</si>
  <si>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</si>
  <si>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</si>
  <si>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</si>
  <si>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</si>
  <si>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</si>
  <si>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</si>
  <si>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</si>
  <si>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</si>
  <si>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</si>
  <si>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</si>
  <si>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</si>
  <si>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</si>
  <si>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</si>
  <si>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</si>
  <si>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</si>
  <si>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</si>
  <si>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</si>
  <si>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</si>
  <si>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</si>
  <si>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</si>
  <si>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</si>
  <si>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</si>
  <si>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</si>
  <si>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</si>
  <si>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</si>
  <si>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</si>
  <si>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</si>
  <si>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</si>
  <si>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</si>
  <si>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</si>
  <si>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</si>
  <si>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</si>
  <si>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</si>
  <si>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</si>
  <si>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</si>
  <si>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</si>
  <si>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</si>
  <si>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</si>
  <si>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</si>
  <si>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</si>
  <si>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</si>
  <si>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</si>
  <si>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</si>
  <si>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</si>
  <si>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</si>
  <si>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</si>
  <si>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</si>
  <si>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</si>
  <si>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</si>
  <si>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</si>
  <si>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</si>
  <si>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</si>
  <si>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</si>
  <si>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</si>
  <si>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</si>
  <si>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</si>
  <si>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</si>
  <si>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</si>
  <si>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</si>
  <si>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</si>
  <si>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</si>
  <si>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</si>
  <si>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</si>
  <si>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</si>
  <si>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</si>
  <si>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</si>
  <si>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</si>
  <si>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</si>
  <si>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</si>
  <si>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</si>
  <si>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</si>
  <si>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</si>
  <si>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</si>
  <si>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</si>
  <si>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</si>
  <si>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</si>
  <si>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</si>
  <si>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</si>
  <si>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</si>
  <si>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</si>
  <si>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</si>
  <si>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</si>
  <si>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</si>
  <si>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</si>
  <si>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</si>
  <si>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</si>
  <si>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</si>
  <si>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</si>
  <si>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</si>
  <si>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</si>
  <si>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</si>
  <si>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</si>
  <si>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</si>
  <si>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</si>
  <si>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</si>
  <si>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</si>
  <si>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</si>
  <si>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</si>
  <si>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</si>
  <si>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</si>
  <si>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</si>
  <si>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</si>
  <si>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</si>
  <si>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</si>
  <si>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</si>
  <si>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</si>
  <si>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</si>
  <si>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</si>
  <si>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</si>
  <si>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</si>
  <si>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</si>
  <si>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</si>
  <si>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</si>
  <si>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</si>
  <si>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</si>
  <si>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</si>
  <si>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</si>
  <si>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</si>
  <si>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</si>
  <si>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</si>
  <si>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</si>
  <si>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</si>
  <si>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</si>
  <si>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</si>
  <si>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</si>
  <si>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</si>
  <si>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</si>
  <si>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</si>
  <si>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</si>
  <si>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</si>
  <si>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</si>
  <si>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</si>
  <si>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</si>
  <si>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</si>
  <si>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</si>
  <si>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</si>
  <si>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</si>
  <si>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</si>
  <si>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</si>
  <si>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</si>
  <si>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</si>
  <si>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</si>
  <si>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</si>
  <si>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</si>
  <si>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</si>
  <si>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</si>
  <si>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</si>
  <si>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</si>
  <si>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</si>
  <si>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</si>
  <si>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</si>
  <si>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</si>
  <si>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</si>
  <si>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</si>
  <si>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</si>
  <si>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</si>
  <si>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</si>
  <si>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</si>
  <si>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</si>
  <si>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</si>
  <si>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</si>
  <si>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</si>
  <si>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</si>
  <si>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</si>
  <si>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</si>
  <si>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</si>
  <si>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</si>
  <si>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</si>
  <si>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</si>
  <si>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</si>
  <si>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</si>
  <si>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</si>
  <si>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</si>
  <si>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</si>
  <si>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</si>
  <si>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</si>
  <si>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</si>
  <si>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</si>
  <si>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</si>
  <si>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</si>
  <si>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</si>
  <si>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</si>
  <si>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</si>
  <si>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</si>
  <si>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</si>
  <si>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</si>
  <si>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</si>
  <si>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</si>
  <si>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</si>
  <si>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</si>
  <si>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</si>
  <si>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</si>
  <si>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</si>
  <si>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</si>
  <si>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</si>
  <si>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</si>
  <si>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</si>
  <si>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</si>
  <si>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</si>
  <si>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</si>
  <si>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</si>
  <si>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</si>
  <si>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</si>
  <si>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</si>
  <si>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</si>
  <si>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</si>
  <si>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</si>
  <si>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</si>
  <si>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</si>
  <si>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</si>
  <si>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</si>
  <si>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</si>
  <si>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</si>
  <si>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</si>
  <si>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</si>
  <si>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</si>
  <si>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</si>
  <si>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</si>
  <si>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</si>
  <si>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</si>
  <si>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</si>
  <si>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</si>
  <si>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</si>
  <si>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</si>
  <si>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</si>
  <si>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</si>
  <si>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</si>
  <si>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</si>
  <si>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</si>
  <si>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</si>
  <si>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</si>
  <si>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</si>
  <si>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</si>
  <si>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</si>
  <si>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</si>
  <si>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</si>
  <si>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</si>
  <si>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</si>
  <si>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</si>
  <si>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</si>
  <si>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</si>
  <si>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</si>
  <si>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</si>
  <si>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</si>
  <si>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</si>
  <si>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</si>
  <si>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</si>
  <si>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</si>
  <si>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</si>
  <si>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</si>
  <si>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</si>
  <si>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</si>
  <si>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</si>
  <si>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</si>
  <si>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</si>
  <si>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</si>
  <si>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</si>
  <si>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</si>
  <si>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</si>
  <si>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</si>
  <si>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</si>
  <si>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</si>
  <si>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</si>
  <si>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</si>
  <si>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</si>
  <si>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</si>
  <si>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</si>
  <si>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</si>
  <si>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</si>
  <si>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</si>
  <si>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</si>
  <si>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</si>
  <si>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</si>
  <si>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</si>
  <si>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</si>
  <si>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</si>
  <si>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</si>
  <si>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</si>
  <si>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</si>
  <si>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</si>
  <si>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</si>
  <si>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</si>
  <si>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</si>
  <si>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</si>
  <si>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</si>
  <si>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</si>
  <si>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</si>
  <si>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</si>
  <si>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</si>
  <si>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</si>
  <si>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</si>
  <si>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</si>
  <si>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</si>
  <si>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</si>
  <si>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</si>
  <si>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</si>
  <si>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</si>
  <si>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</si>
  <si>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</si>
  <si>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</si>
  <si>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</si>
  <si>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</si>
  <si>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</si>
  <si>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</si>
  <si>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</si>
  <si>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</si>
  <si>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</si>
  <si>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</si>
  <si>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</si>
  <si>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</si>
  <si>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</si>
  <si>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</si>
  <si>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</si>
  <si>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</si>
  <si>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</si>
  <si>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</si>
  <si>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</si>
  <si>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</si>
  <si>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</si>
  <si>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</si>
  <si>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</si>
  <si>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</si>
  <si>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</si>
  <si>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</si>
  <si>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</si>
  <si>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</si>
  <si>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</si>
  <si>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</si>
  <si>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</si>
  <si>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</si>
  <si>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</si>
  <si>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</si>
  <si>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</si>
  <si>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</si>
  <si>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</si>
  <si>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</si>
  <si>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</si>
  <si>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</si>
  <si>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</si>
  <si>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</si>
  <si>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</si>
  <si>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</si>
  <si>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</si>
  <si>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</si>
  <si>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</si>
  <si>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</si>
  <si>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</si>
  <si>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</si>
  <si>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</si>
  <si>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</si>
  <si>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</si>
  <si>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</si>
  <si>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</si>
  <si>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</si>
  <si>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</si>
  <si>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</si>
  <si>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</si>
  <si>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</si>
  <si>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</si>
  <si>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</si>
  <si>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</si>
  <si>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</si>
  <si>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</si>
  <si>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</si>
  <si>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</si>
  <si>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</si>
  <si>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</si>
  <si>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</si>
  <si>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</si>
  <si>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</si>
  <si>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</si>
  <si>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</si>
  <si>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</si>
  <si>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</si>
  <si>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</si>
  <si>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</si>
  <si>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</si>
  <si>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</si>
  <si>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</si>
  <si>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</si>
  <si>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</si>
  <si>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</si>
  <si>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</si>
  <si>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</si>
  <si>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</si>
  <si>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</si>
  <si>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</si>
  <si>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</si>
  <si>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</si>
  <si>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</si>
  <si>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</si>
  <si>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</si>
  <si>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</si>
  <si>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</si>
  <si>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</si>
  <si>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</si>
  <si>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</si>
  <si>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</si>
  <si>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</si>
  <si>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</si>
  <si>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</si>
  <si>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</si>
  <si>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</si>
  <si>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</si>
  <si>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</si>
  <si>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</si>
  <si>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</si>
  <si>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</si>
  <si>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</si>
  <si>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</si>
  <si>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</si>
  <si>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</si>
  <si>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</si>
  <si>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</si>
  <si>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</si>
  <si>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</si>
  <si>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</si>
  <si>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</si>
  <si>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</si>
  <si>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</si>
  <si>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</si>
  <si>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</si>
  <si>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</si>
  <si>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</si>
  <si>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</si>
  <si>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</si>
  <si>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</si>
  <si>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</si>
  <si>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</si>
  <si>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</si>
  <si>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</si>
  <si>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</si>
  <si>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</si>
  <si>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</si>
  <si>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</si>
  <si>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</si>
  <si>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</si>
  <si>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</si>
  <si>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</si>
  <si>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</si>
  <si>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</si>
  <si>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</si>
  <si>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</si>
  <si>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</si>
  <si>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</si>
  <si>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</si>
  <si>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</si>
  <si>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</si>
  <si>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</si>
  <si>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</si>
  <si>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</si>
  <si>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</si>
  <si>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</si>
  <si>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</si>
  <si>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</si>
  <si>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</si>
  <si>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</si>
  <si>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</si>
  <si>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</si>
  <si>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</si>
  <si>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</si>
  <si>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</si>
  <si>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</si>
  <si>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</si>
  <si>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</si>
  <si>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</si>
  <si>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</si>
  <si>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</si>
  <si>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</si>
  <si>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</si>
  <si>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</si>
  <si>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</si>
  <si>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</si>
  <si>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</si>
  <si>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</si>
  <si>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</si>
  <si>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</si>
  <si>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</si>
  <si>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</si>
  <si>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</si>
  <si>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</si>
  <si>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</si>
  <si>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</si>
  <si>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</si>
  <si>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</si>
  <si>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</si>
  <si>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</si>
  <si>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</si>
  <si>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</si>
  <si>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</si>
  <si>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</si>
  <si>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</si>
  <si>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</si>
  <si>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</si>
  <si>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</si>
  <si>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</si>
  <si>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</si>
  <si>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</si>
  <si>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</si>
  <si>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</si>
  <si>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</si>
  <si>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</si>
  <si>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</si>
  <si>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</si>
  <si>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</si>
  <si>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</si>
  <si>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</si>
  <si>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</si>
  <si>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</si>
  <si>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</si>
  <si>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</si>
  <si>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</si>
  <si>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</si>
  <si>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</si>
  <si>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</si>
  <si>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</si>
  <si>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</si>
  <si>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</si>
  <si>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</si>
  <si>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</si>
  <si>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</si>
  <si>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</si>
  <si>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</si>
  <si>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</si>
  <si>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</si>
  <si>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</si>
  <si>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</si>
  <si>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</si>
  <si>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</si>
  <si>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</si>
  <si>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</si>
  <si>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</si>
  <si>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</si>
  <si>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</si>
  <si>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</si>
  <si>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</si>
  <si>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</si>
  <si>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</si>
  <si>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</si>
  <si>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</si>
  <si>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</si>
  <si>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</si>
  <si>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</si>
  <si>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</si>
  <si>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</si>
  <si>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</si>
  <si>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</si>
  <si>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</si>
  <si>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</si>
  <si>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</si>
  <si>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</si>
  <si>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</si>
  <si>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</si>
  <si>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</si>
  <si>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</si>
  <si>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</si>
  <si>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</si>
  <si>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</si>
  <si>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</si>
  <si>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</si>
  <si>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</si>
  <si>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</si>
  <si>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</si>
  <si>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</si>
  <si>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</si>
  <si>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</si>
  <si>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</si>
  <si>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</si>
  <si>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</si>
  <si>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</si>
  <si>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</si>
  <si>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</si>
  <si>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</si>
  <si>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</si>
  <si>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</si>
  <si>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</si>
  <si>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</si>
  <si>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</si>
  <si>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</si>
  <si>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</si>
  <si>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</si>
  <si>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</si>
  <si>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</si>
  <si>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</si>
  <si>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</si>
  <si>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</si>
  <si>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</si>
  <si>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</si>
  <si>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</si>
  <si>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</si>
  <si>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</si>
  <si>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</si>
  <si>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</si>
  <si>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</si>
  <si>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</si>
  <si>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</si>
  <si>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</si>
  <si>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</si>
  <si>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</si>
  <si>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</si>
  <si>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</si>
  <si>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</si>
  <si>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</si>
  <si>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</si>
  <si>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</si>
  <si>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</si>
  <si>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</si>
  <si>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</si>
  <si>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</si>
  <si>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</si>
  <si>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</si>
  <si>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</si>
  <si>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</si>
  <si>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</si>
  <si>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</si>
  <si>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</si>
  <si>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</si>
  <si>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</si>
  <si>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</si>
  <si>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</si>
  <si>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</si>
  <si>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</si>
  <si>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</si>
  <si>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</si>
  <si>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</si>
  <si>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</si>
  <si>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</si>
  <si>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</si>
  <si>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</si>
  <si>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</si>
  <si>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</si>
  <si>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</si>
  <si>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</si>
  <si>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</si>
  <si>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</si>
  <si>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</si>
  <si>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</si>
  <si>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</si>
  <si>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</si>
  <si>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</si>
  <si>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</si>
  <si>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</si>
  <si>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</si>
  <si>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</si>
  <si>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</si>
  <si>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</si>
  <si>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</si>
  <si>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</si>
  <si>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</si>
  <si>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</si>
  <si>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</si>
  <si>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</si>
  <si>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</si>
  <si>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</si>
  <si>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</si>
  <si>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</si>
  <si>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</si>
  <si>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</si>
  <si>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</si>
  <si>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</si>
  <si>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</si>
  <si>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</si>
  <si>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</si>
  <si>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</si>
  <si>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</si>
  <si>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</si>
  <si>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</si>
  <si>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</si>
  <si>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</si>
  <si>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</si>
  <si>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</si>
  <si>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</si>
  <si>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</si>
  <si>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</si>
  <si>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</si>
  <si>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</si>
  <si>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</si>
  <si>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</si>
  <si>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</si>
  <si>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</si>
  <si>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</si>
  <si>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</si>
  <si>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</si>
  <si>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</si>
  <si>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</si>
  <si>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</si>
  <si>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</si>
  <si>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</si>
  <si>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</si>
  <si>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</si>
  <si>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</si>
  <si>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</si>
  <si>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</si>
  <si>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</si>
  <si>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</si>
  <si>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</si>
  <si>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</si>
  <si>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</si>
  <si>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</si>
  <si>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</si>
  <si>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</si>
  <si>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</si>
  <si>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</si>
  <si>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</si>
  <si>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</si>
  <si>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</si>
  <si>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</si>
  <si>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</si>
  <si>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</si>
  <si>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</si>
  <si>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</si>
  <si>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</si>
  <si>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</si>
  <si>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</si>
  <si>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</si>
  <si>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</si>
  <si>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</si>
  <si>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</si>
  <si>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</si>
  <si>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</si>
  <si>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</si>
  <si>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</si>
  <si>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</si>
  <si>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</si>
  <si>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</si>
  <si>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</si>
  <si>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</si>
  <si>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</si>
  <si>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</si>
  <si>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</si>
  <si>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</si>
  <si>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</si>
  <si>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</si>
  <si>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</si>
  <si>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</si>
  <si>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</si>
  <si>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</si>
  <si>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</si>
  <si>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</si>
  <si>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</si>
  <si>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</si>
  <si>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</si>
  <si>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</si>
  <si>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</si>
  <si>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</si>
  <si>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</si>
  <si>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</si>
  <si>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</si>
  <si>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</si>
  <si>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</si>
  <si>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</si>
  <si>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</si>
  <si>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</si>
  <si>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</si>
  <si>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</si>
  <si>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</si>
  <si>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</si>
  <si>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</si>
  <si>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</si>
  <si>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</si>
  <si>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</si>
  <si>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</si>
  <si>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</si>
  <si>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</si>
  <si>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</si>
  <si>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</si>
  <si>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</si>
  <si>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</si>
  <si>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</si>
  <si>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</si>
  <si>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</si>
  <si>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</si>
  <si>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</si>
  <si>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</si>
  <si>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</si>
  <si>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</si>
  <si>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</si>
  <si>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</si>
  <si>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</si>
  <si>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</si>
  <si>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</si>
  <si>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</si>
  <si>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</si>
  <si>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</si>
  <si>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</si>
  <si>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</si>
  <si>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</si>
  <si>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</si>
  <si>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</si>
  <si>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</si>
  <si>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</si>
  <si>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</si>
  <si>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</si>
  <si>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</si>
  <si>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</si>
  <si>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</si>
  <si>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</si>
  <si>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</si>
  <si>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</si>
  <si>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</si>
  <si>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</si>
  <si>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</si>
  <si>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</si>
  <si>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</si>
  <si>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</si>
  <si>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</si>
  <si>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</si>
  <si>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</si>
  <si>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</si>
  <si>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</si>
  <si>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</si>
  <si>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</si>
  <si>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</si>
  <si>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</si>
  <si>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</si>
  <si>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</si>
  <si>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</si>
  <si>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</si>
  <si>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</si>
  <si>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</si>
  <si>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</si>
  <si>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</si>
  <si>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</si>
  <si>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</si>
  <si>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</si>
  <si>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</si>
  <si>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</si>
  <si>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</si>
  <si>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</si>
  <si>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</si>
  <si>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</si>
  <si>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</si>
  <si>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</si>
  <si>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</si>
  <si>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</si>
  <si>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</si>
  <si>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</si>
  <si>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</si>
  <si>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</si>
  <si>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</si>
  <si>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</si>
  <si>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</si>
  <si>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</si>
  <si>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</si>
  <si>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</si>
  <si>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</si>
  <si>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</si>
  <si>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</si>
  <si>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</si>
  <si>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</si>
  <si>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</si>
  <si>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</si>
  <si>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</si>
  <si>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</si>
  <si>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</si>
  <si>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</si>
  <si>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</si>
  <si>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</si>
  <si>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</si>
  <si>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</si>
  <si>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</si>
  <si>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</si>
  <si>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</si>
  <si>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</si>
  <si>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</si>
  <si>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</si>
  <si>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</si>
  <si>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</si>
  <si>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</si>
  <si>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</si>
  <si>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</si>
  <si>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</si>
  <si>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</si>
  <si>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</si>
  <si>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</si>
  <si>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</si>
  <si>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</si>
  <si>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</si>
  <si>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</si>
  <si>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</si>
  <si>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</si>
  <si>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</si>
  <si>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</si>
  <si>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</si>
  <si>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</si>
  <si>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</si>
  <si>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</si>
  <si>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</si>
  <si>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</si>
  <si>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</si>
  <si>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</si>
  <si>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</si>
  <si>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</si>
  <si>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</si>
  <si>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</si>
  <si>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</si>
  <si>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</si>
  <si>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</si>
  <si>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</si>
  <si>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</si>
  <si>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</si>
  <si>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</si>
  <si>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</si>
  <si>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</si>
  <si>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</si>
  <si>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</si>
  <si>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</si>
  <si>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</si>
  <si>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</si>
  <si>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</si>
  <si>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</si>
  <si>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</si>
  <si>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</si>
  <si>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</si>
  <si>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</si>
  <si>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</si>
  <si>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</si>
  <si>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</si>
  <si>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</si>
  <si>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</si>
  <si>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</si>
  <si>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</si>
  <si>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</si>
  <si>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</si>
  <si>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</si>
  <si>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</si>
  <si>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</si>
  <si>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</si>
  <si>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</si>
  <si>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</si>
  <si>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</si>
  <si>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</si>
  <si>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</si>
  <si>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</si>
  <si>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</si>
  <si>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</si>
  <si>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</si>
  <si>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</si>
  <si>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</si>
  <si>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</si>
  <si>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</si>
  <si>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</si>
  <si>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</si>
  <si>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</si>
  <si>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</si>
  <si>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</si>
  <si>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</si>
  <si>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</si>
  <si>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</si>
  <si>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</si>
  <si>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</si>
  <si>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</si>
  <si>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</si>
  <si>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</si>
  <si>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</si>
  <si>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</si>
  <si>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</si>
  <si>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</si>
  <si>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</si>
  <si>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</si>
  <si>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</si>
  <si>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</si>
  <si>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</si>
  <si>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</si>
  <si>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</si>
  <si>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</si>
  <si>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</si>
  <si>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</si>
  <si>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</si>
  <si>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</si>
  <si>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</si>
  <si>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</si>
  <si>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</si>
  <si>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</si>
  <si>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</si>
  <si>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</si>
  <si>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</si>
  <si>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</si>
  <si>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</si>
  <si>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</si>
  <si>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</si>
  <si>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</si>
  <si>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</si>
  <si>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</si>
  <si>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</si>
  <si>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</si>
  <si>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</si>
  <si>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</si>
  <si>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</si>
  <si>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</si>
  <si>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</si>
  <si>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</si>
  <si>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</si>
  <si>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</si>
  <si>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</si>
  <si>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</si>
  <si>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</si>
  <si>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</si>
  <si>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</si>
  <si>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</si>
  <si>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</si>
  <si>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</si>
  <si>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</si>
  <si>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</si>
  <si>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</si>
  <si>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</si>
  <si>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</si>
  <si>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</si>
  <si>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</si>
  <si>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</si>
  <si>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</si>
  <si>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</si>
  <si>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</si>
  <si>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</si>
  <si>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</si>
  <si>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</si>
  <si>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</si>
  <si>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</si>
  <si>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</si>
  <si>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</si>
  <si>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</si>
  <si>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</si>
  <si>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</si>
  <si>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</si>
  <si>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</si>
  <si>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</si>
  <si>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</si>
  <si>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</si>
  <si>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</si>
  <si>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</si>
  <si>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</si>
  <si>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</si>
  <si>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</si>
  <si>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</si>
  <si>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</si>
  <si>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</si>
  <si>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</si>
  <si>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</si>
  <si>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</si>
  <si>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</si>
  <si>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</si>
  <si>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</si>
  <si>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</si>
  <si>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</si>
  <si>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</si>
  <si>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</si>
  <si>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</si>
  <si>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</si>
  <si>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</si>
  <si>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</si>
  <si>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</si>
  <si>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</si>
  <si>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</si>
  <si>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</si>
  <si>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</si>
  <si>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</si>
  <si>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</si>
  <si>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</si>
  <si>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</si>
  <si>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</si>
  <si>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</si>
  <si>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</si>
  <si>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</si>
  <si>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</si>
  <si>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</si>
  <si>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</si>
  <si>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</si>
  <si>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</si>
  <si>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</si>
  <si>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</si>
  <si>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</si>
  <si>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</si>
  <si>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</si>
  <si>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</si>
  <si>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</si>
  <si>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</si>
  <si>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</si>
  <si>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</si>
  <si>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</si>
  <si>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</si>
  <si>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</si>
  <si>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</si>
  <si>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</si>
  <si>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</si>
  <si>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</si>
  <si>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</si>
  <si>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</si>
  <si>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</si>
  <si>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</si>
  <si>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</si>
  <si>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</si>
  <si>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</si>
  <si>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</si>
  <si>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</si>
  <si>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</si>
  <si>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</si>
  <si>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</si>
  <si>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</si>
  <si>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</si>
  <si>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</si>
  <si>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</si>
  <si>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</si>
  <si>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</si>
  <si>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</si>
  <si>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</si>
  <si>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</si>
  <si>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</si>
  <si>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</si>
  <si>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</si>
  <si>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</si>
  <si>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</si>
  <si>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</si>
  <si>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</si>
  <si>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</si>
  <si>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</si>
  <si>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</si>
  <si>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</si>
  <si>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</si>
  <si>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</si>
  <si>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</si>
  <si>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</si>
  <si>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</si>
  <si>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</si>
  <si>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</si>
  <si>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</si>
  <si>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</si>
  <si>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</si>
  <si>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</si>
  <si>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</si>
  <si>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</si>
  <si>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</si>
  <si>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</si>
  <si>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</si>
  <si>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</si>
  <si>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</si>
  <si>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</si>
  <si>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</si>
  <si>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</si>
  <si>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</si>
  <si>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</si>
  <si>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</si>
  <si>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</si>
  <si>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</si>
  <si>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</si>
  <si>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</si>
  <si>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</si>
  <si>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</si>
  <si>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</si>
  <si>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</si>
  <si>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</si>
  <si>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</si>
  <si>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</si>
  <si>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</si>
  <si>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</si>
  <si>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</si>
  <si>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</si>
  <si>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</si>
  <si>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</si>
  <si>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</si>
  <si>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</si>
  <si>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</si>
  <si>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</si>
  <si>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</si>
  <si>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</si>
  <si>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</si>
  <si>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</si>
  <si>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</si>
  <si>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</si>
  <si>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</si>
  <si>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</si>
  <si>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</si>
  <si>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</si>
  <si>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</si>
  <si>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</si>
  <si>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</si>
  <si>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</si>
  <si>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</si>
  <si>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</si>
  <si>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</si>
  <si>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</si>
  <si>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</si>
  <si>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</si>
  <si>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</si>
  <si>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</si>
  <si>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</si>
  <si>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</si>
  <si>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</si>
  <si>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</si>
  <si>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</si>
  <si>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</si>
  <si>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</si>
  <si>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</si>
  <si>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</si>
  <si>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</si>
  <si>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</si>
  <si>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</si>
  <si>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</si>
  <si>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</si>
  <si>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</si>
  <si>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</si>
  <si>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</si>
  <si>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</si>
  <si>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</si>
  <si>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</si>
  <si>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</si>
  <si>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</si>
  <si>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</si>
  <si>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</si>
  <si>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</si>
  <si>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</si>
  <si>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</si>
  <si>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</si>
  <si>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</si>
  <si>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</si>
  <si>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</si>
  <si>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</si>
  <si>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</si>
  <si>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</si>
  <si>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</si>
  <si>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</si>
  <si>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</si>
  <si>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</si>
  <si>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</si>
  <si>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</si>
  <si>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</si>
  <si>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</si>
  <si>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</si>
  <si>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</si>
  <si>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</si>
  <si>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</si>
  <si>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</si>
  <si>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</si>
  <si>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</si>
  <si>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</si>
  <si>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</si>
  <si>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</si>
  <si>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</si>
  <si>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</si>
  <si>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</si>
  <si>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</si>
  <si>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</si>
  <si>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</si>
  <si>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</si>
  <si>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</si>
  <si>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</si>
  <si>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</si>
  <si>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</si>
  <si>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</si>
  <si>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</si>
  <si>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</si>
  <si>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</si>
  <si>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</si>
  <si>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</si>
  <si>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</si>
  <si>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</si>
  <si>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</si>
  <si>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</si>
  <si>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</si>
  <si>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</si>
  <si>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</si>
  <si>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</si>
  <si>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</si>
  <si>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</si>
  <si>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</si>
  <si>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</si>
  <si>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</si>
  <si>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</si>
  <si>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</si>
  <si>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</si>
  <si>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</si>
  <si>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</si>
  <si>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</si>
  <si>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</si>
  <si>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</si>
  <si>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</si>
  <si>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</si>
  <si>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</si>
  <si>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</si>
  <si>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</si>
  <si>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</si>
  <si>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</si>
  <si>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</si>
  <si>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</si>
  <si>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</si>
  <si>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</si>
  <si>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</si>
  <si>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</si>
  <si>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</si>
  <si>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</si>
  <si>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</si>
  <si>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</si>
  <si>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</si>
  <si>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</si>
  <si>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</si>
  <si>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</si>
  <si>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</si>
  <si>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</si>
  <si>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</si>
  <si>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</si>
  <si>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</si>
  <si>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</si>
  <si>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</si>
  <si>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</si>
  <si>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</si>
  <si>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</si>
  <si>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</si>
  <si>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</si>
  <si>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</si>
  <si>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</si>
  <si>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</si>
  <si>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</si>
  <si>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</si>
  <si>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</si>
  <si>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</si>
  <si>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</si>
  <si>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</si>
  <si>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</si>
  <si>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</si>
  <si>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</si>
  <si>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</si>
  <si>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</si>
  <si>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</si>
  <si>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</si>
  <si>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</si>
  <si>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</si>
  <si>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</si>
  <si>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</si>
  <si>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</si>
  <si>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</si>
  <si>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</si>
  <si>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</si>
  <si>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</si>
  <si>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</si>
  <si>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</si>
  <si>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</si>
  <si>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</si>
  <si>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</si>
  <si>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</si>
  <si>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</si>
  <si>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</si>
  <si>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</si>
  <si>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</si>
  <si>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</si>
  <si>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</si>
  <si>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</si>
  <si>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</si>
  <si>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</si>
  <si>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</si>
  <si>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</si>
  <si>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</si>
  <si>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</si>
  <si>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</si>
  <si>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</si>
  <si>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</si>
  <si>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</si>
  <si>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</si>
  <si>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</si>
  <si>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</si>
  <si>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</si>
  <si>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</si>
  <si>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</si>
  <si>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</si>
  <si>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</si>
  <si>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</si>
  <si>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</si>
  <si>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</si>
  <si>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</si>
  <si>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</si>
  <si>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</si>
  <si>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</si>
  <si>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</si>
  <si>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</si>
  <si>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</si>
  <si>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</si>
  <si>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</si>
  <si>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</si>
  <si>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</si>
  <si>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</si>
  <si>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</si>
  <si>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</si>
  <si>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</si>
  <si>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</si>
  <si>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</si>
  <si>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</si>
  <si>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</si>
  <si>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</si>
  <si>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</si>
  <si>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</si>
  <si>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</si>
  <si>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</si>
  <si>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</si>
  <si>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</si>
  <si>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</si>
  <si>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</si>
  <si>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</si>
  <si>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</si>
  <si>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</si>
  <si>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</si>
  <si>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</si>
  <si>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</si>
  <si>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</si>
  <si>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</si>
  <si>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</si>
  <si>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</si>
  <si>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</si>
  <si>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</si>
  <si>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</si>
  <si>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</si>
  <si>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</si>
  <si>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</si>
  <si>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</si>
  <si>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</si>
  <si>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</si>
  <si>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</si>
  <si>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</si>
  <si>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</si>
  <si>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</si>
  <si>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</si>
  <si>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</si>
  <si>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</si>
  <si>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</si>
  <si>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</si>
  <si>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</si>
  <si>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</si>
  <si>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</si>
  <si>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</si>
  <si>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</si>
  <si>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</si>
  <si>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</si>
  <si>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</si>
  <si>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</si>
  <si>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</si>
  <si>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</si>
  <si>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</si>
  <si>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</si>
  <si>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</si>
  <si>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</si>
  <si>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</si>
  <si>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</si>
  <si>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</si>
  <si>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</si>
  <si>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</si>
  <si>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</si>
  <si>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</si>
  <si>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</si>
  <si>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</si>
  <si>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</si>
  <si>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</si>
  <si>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</si>
  <si>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</si>
  <si>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</si>
  <si>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</si>
  <si>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</si>
  <si>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</si>
  <si>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</si>
  <si>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</si>
  <si>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</si>
  <si>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</si>
  <si>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</si>
  <si>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</si>
  <si>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</si>
  <si>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</si>
  <si>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</si>
  <si>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</si>
  <si>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</si>
  <si>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</si>
  <si>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</si>
  <si>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</si>
  <si>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</si>
  <si>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</si>
  <si>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</si>
  <si>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</si>
  <si>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</si>
  <si>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</si>
  <si>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</si>
  <si>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</si>
  <si>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</si>
  <si>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</si>
  <si>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</si>
  <si>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</si>
  <si>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</si>
  <si>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</si>
  <si>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</si>
  <si>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</si>
  <si>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</si>
  <si>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</si>
  <si>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</si>
  <si>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</si>
  <si>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</si>
  <si>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</si>
  <si>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</si>
  <si>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</si>
  <si>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</si>
  <si>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</si>
  <si>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</si>
  <si>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</si>
  <si>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</si>
  <si>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</si>
  <si>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</si>
  <si>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</si>
  <si>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</si>
  <si>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</si>
  <si>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</si>
  <si>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</si>
  <si>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</si>
  <si>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</si>
  <si>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</si>
  <si>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</si>
  <si>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</si>
  <si>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</si>
  <si>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</si>
  <si>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</si>
  <si>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</si>
  <si>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</si>
  <si>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</si>
  <si>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</si>
  <si>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</si>
  <si>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</si>
  <si>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</si>
  <si>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</si>
  <si>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</si>
  <si>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</si>
  <si>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</si>
  <si>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</si>
  <si>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</si>
  <si>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</si>
  <si>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</si>
  <si>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</si>
  <si>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</si>
  <si>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</si>
  <si>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</si>
  <si>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</si>
  <si>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</si>
  <si>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</si>
  <si>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</si>
  <si>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</si>
  <si>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</si>
  <si>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</si>
  <si>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</si>
  <si>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</si>
  <si>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</si>
  <si>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</si>
  <si>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</si>
  <si>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</si>
  <si>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</si>
  <si>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</si>
  <si>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</si>
  <si>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</si>
  <si>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</si>
  <si>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</si>
  <si>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</si>
  <si>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</si>
  <si>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</si>
  <si>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</si>
  <si>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</si>
  <si>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</si>
  <si>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</si>
  <si>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</si>
  <si>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</si>
  <si>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</si>
  <si>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</si>
  <si>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</si>
  <si>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</si>
  <si>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</si>
  <si>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</si>
  <si>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</si>
  <si>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</si>
  <si>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</si>
  <si>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</si>
  <si>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</si>
  <si>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</si>
  <si>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</si>
  <si>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</si>
  <si>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</si>
  <si>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</si>
  <si>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</si>
  <si>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</si>
  <si>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</si>
  <si>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</si>
  <si>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</si>
  <si>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</si>
  <si>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</si>
  <si>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</si>
  <si>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</si>
  <si>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</si>
  <si>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</si>
  <si>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</si>
  <si>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</si>
  <si>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</si>
  <si>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</si>
  <si>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</si>
  <si>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</si>
  <si>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</si>
  <si>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</si>
  <si>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</si>
  <si>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</si>
  <si>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</si>
  <si>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</si>
  <si>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</si>
  <si>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</si>
  <si>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</si>
  <si>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</si>
  <si>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</si>
  <si>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</si>
  <si>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</si>
  <si>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</si>
  <si>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</si>
  <si>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</si>
  <si>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</si>
  <si>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</si>
  <si>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</si>
  <si>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</si>
  <si>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</si>
  <si>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</si>
  <si>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</si>
  <si>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</si>
  <si>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</si>
  <si>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</si>
  <si>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</si>
  <si>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</si>
  <si>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</si>
  <si>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</si>
  <si>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</si>
  <si>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</si>
  <si>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</si>
  <si>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</si>
  <si>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</si>
  <si>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</si>
  <si>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</si>
  <si>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</si>
  <si>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</si>
  <si>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</si>
  <si>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</si>
  <si>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</si>
  <si>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</si>
  <si>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</si>
  <si>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</si>
  <si>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</si>
  <si>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</si>
  <si>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</si>
  <si>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</si>
  <si>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</si>
  <si>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</si>
  <si>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</si>
  <si>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</si>
  <si>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</si>
  <si>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</si>
  <si>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</si>
  <si>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</si>
  <si>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</si>
  <si>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</si>
  <si>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</si>
  <si>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</si>
  <si>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</si>
  <si>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</si>
  <si>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</si>
  <si>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</si>
  <si>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</si>
  <si>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</si>
  <si>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</si>
  <si>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</si>
  <si>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</si>
  <si>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</si>
  <si>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</si>
  <si>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</si>
  <si>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</si>
  <si>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</si>
  <si>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</si>
  <si>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</si>
  <si>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</si>
  <si>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</si>
  <si>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</si>
  <si>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</si>
  <si>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</si>
  <si>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</si>
  <si>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</si>
  <si>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</si>
  <si>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</si>
  <si>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</si>
  <si>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</si>
  <si>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</si>
  <si>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</si>
  <si>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</si>
  <si>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</si>
  <si>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</si>
  <si>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</si>
  <si>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</si>
  <si>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</si>
  <si>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</si>
  <si>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</si>
  <si>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</si>
  <si>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</si>
  <si>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</si>
  <si>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</si>
  <si>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</si>
  <si>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</si>
  <si>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</si>
  <si>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</si>
  <si>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</si>
  <si>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</si>
  <si>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</si>
  <si>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</si>
  <si>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</si>
  <si>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</si>
  <si>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</si>
  <si>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</si>
  <si>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</si>
  <si>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</si>
  <si>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</si>
  <si>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</si>
  <si>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</si>
  <si>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</si>
  <si>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</si>
  <si>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</si>
  <si>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</si>
  <si>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</si>
  <si>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</si>
  <si>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</si>
  <si>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</si>
  <si>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</si>
  <si>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</si>
  <si>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</si>
  <si>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</si>
  <si>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</si>
  <si>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</si>
  <si>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</si>
  <si>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</si>
  <si>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</si>
  <si>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</si>
  <si>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</si>
  <si>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</si>
  <si>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</si>
  <si>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</si>
  <si>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</si>
  <si>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</si>
  <si>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</si>
  <si>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</si>
  <si>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</si>
  <si>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</si>
  <si>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</si>
  <si>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</si>
  <si>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</si>
  <si>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</si>
  <si>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</si>
  <si>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</si>
  <si>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</si>
  <si>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</si>
  <si>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</si>
  <si>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</si>
  <si>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</si>
  <si>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</si>
  <si>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</si>
  <si>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</si>
  <si>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</si>
  <si>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</si>
  <si>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</si>
  <si>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</si>
  <si>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</si>
  <si>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</si>
  <si>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</si>
  <si>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</si>
  <si>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</si>
  <si>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</si>
  <si>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</si>
  <si>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</si>
  <si>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</si>
  <si>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</si>
  <si>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</si>
  <si>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</si>
  <si>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</si>
  <si>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</si>
  <si>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</si>
  <si>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</si>
  <si>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</si>
  <si>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</si>
  <si>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</si>
  <si>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</si>
  <si>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</si>
  <si>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</si>
  <si>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</si>
  <si>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</si>
  <si>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</si>
  <si>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</si>
  <si>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</si>
  <si>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</si>
  <si>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</si>
  <si>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</si>
  <si>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</si>
  <si>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</si>
  <si>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</si>
  <si>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</si>
  <si>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</si>
  <si>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</si>
  <si>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</si>
  <si>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</si>
  <si>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</si>
  <si>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</si>
  <si>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</si>
  <si>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</si>
  <si>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</si>
  <si>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</si>
  <si>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</si>
  <si>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</si>
  <si>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</si>
  <si>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</si>
  <si>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</si>
  <si>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</si>
  <si>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</si>
  <si>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</si>
  <si>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</si>
  <si>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</si>
  <si>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</si>
  <si>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</si>
  <si>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</si>
  <si>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</si>
  <si>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</si>
  <si>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</si>
  <si>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</si>
  <si>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</si>
  <si>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</si>
  <si>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</si>
  <si>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</si>
  <si>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</si>
  <si>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</si>
  <si>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</si>
  <si>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</si>
  <si>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</si>
  <si>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</si>
  <si>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</si>
  <si>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</si>
  <si>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</si>
  <si>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</si>
  <si>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</si>
  <si>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</si>
  <si>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</si>
  <si>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</si>
  <si>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</si>
  <si>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</si>
  <si>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</si>
  <si>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</si>
  <si>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</si>
  <si>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</si>
  <si>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</si>
  <si>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</si>
  <si>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</si>
  <si>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</si>
  <si>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</si>
  <si>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</si>
  <si>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</si>
  <si>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</si>
  <si>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</si>
  <si>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</si>
  <si>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</si>
  <si>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</si>
  <si>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</si>
  <si>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</si>
  <si>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</si>
  <si>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</si>
  <si>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</si>
  <si>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</si>
  <si>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</si>
  <si>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</si>
  <si>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</si>
  <si>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</si>
  <si>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</si>
  <si>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</si>
  <si>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</si>
  <si>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</si>
  <si>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</si>
  <si>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</si>
  <si>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</si>
  <si>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</si>
  <si>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</si>
  <si>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</si>
  <si>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</si>
  <si>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</si>
  <si>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</si>
  <si>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</si>
  <si>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</si>
  <si>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</si>
  <si>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</si>
  <si>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</si>
  <si>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</si>
  <si>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</si>
  <si>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</si>
  <si>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</si>
  <si>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</si>
  <si>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</si>
  <si>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</si>
  <si>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</si>
  <si>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</si>
  <si>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</si>
  <si>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</si>
  <si>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</si>
  <si>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</si>
  <si>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</si>
  <si>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</si>
  <si>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</si>
  <si>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</si>
  <si>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</si>
  <si>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</si>
  <si>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</si>
  <si>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</si>
  <si>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</si>
  <si>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</si>
  <si>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</si>
  <si>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</si>
  <si>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</si>
  <si>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</si>
  <si>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</si>
  <si>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</si>
  <si>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</si>
  <si>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</si>
  <si>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</si>
  <si>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</si>
  <si>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</si>
  <si>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</si>
  <si>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</si>
  <si>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</si>
  <si>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</si>
  <si>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</si>
  <si>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</si>
  <si>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</si>
  <si>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</si>
  <si>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</si>
  <si>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</si>
  <si>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</si>
  <si>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</si>
  <si>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</si>
  <si>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</si>
  <si>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</si>
  <si>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</si>
  <si>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</si>
  <si>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</si>
  <si>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</si>
  <si>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</si>
  <si>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</si>
  <si>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</si>
  <si>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</si>
  <si>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</si>
  <si>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</si>
  <si>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</si>
  <si>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</si>
  <si>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</si>
  <si>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</si>
  <si>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</si>
  <si>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</si>
  <si>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</si>
  <si>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</si>
  <si>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</si>
  <si>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</si>
  <si>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</si>
  <si>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</si>
  <si>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</si>
  <si>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</si>
  <si>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</si>
  <si>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</si>
  <si>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</si>
  <si>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</si>
  <si>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</si>
  <si>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</si>
  <si>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</si>
  <si>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</si>
  <si>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</si>
  <si>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</si>
  <si>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</si>
  <si>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</si>
  <si>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</si>
  <si>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</si>
  <si>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</si>
  <si>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</si>
  <si>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</si>
  <si>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</si>
  <si>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</si>
  <si>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</si>
  <si>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</si>
  <si>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</si>
  <si>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</si>
  <si>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</si>
  <si>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</si>
  <si>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</si>
  <si>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</si>
  <si>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</si>
  <si>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</si>
  <si>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</si>
  <si>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</si>
  <si>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</si>
  <si>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</si>
  <si>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</si>
  <si>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</si>
  <si>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</si>
  <si>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</si>
  <si>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</si>
  <si>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</si>
  <si>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</si>
  <si>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</si>
  <si>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</si>
  <si>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</si>
  <si>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</si>
  <si>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</si>
  <si>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</si>
  <si>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</si>
  <si>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</si>
  <si>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</si>
  <si>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</si>
  <si>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</si>
  <si>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</si>
  <si>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</si>
  <si>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</si>
  <si>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</si>
  <si>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</si>
  <si>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</si>
  <si>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</si>
  <si>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</si>
  <si>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</si>
  <si>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</si>
  <si>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</si>
  <si>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</si>
  <si>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</si>
  <si>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</si>
  <si>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</si>
  <si>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</si>
  <si>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</si>
  <si>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</si>
  <si>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</si>
  <si>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</si>
  <si>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</si>
  <si>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</si>
  <si>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</si>
  <si>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</si>
  <si>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</si>
  <si>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</si>
  <si>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</si>
  <si>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</si>
  <si>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</si>
  <si>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</si>
  <si>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</si>
  <si>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</si>
  <si>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</si>
  <si>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</si>
  <si>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</si>
  <si>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</si>
  <si>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</si>
  <si>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</si>
  <si>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</si>
  <si>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</si>
  <si>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</si>
  <si>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</si>
  <si>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</si>
  <si>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</si>
  <si>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</si>
  <si>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</si>
  <si>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</si>
  <si>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</si>
  <si>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</si>
  <si>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</si>
  <si>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</si>
  <si>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</si>
  <si>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</si>
  <si>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</si>
  <si>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</si>
  <si>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</si>
  <si>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</si>
  <si>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</si>
  <si>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</si>
  <si>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</si>
  <si>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</si>
  <si>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</si>
  <si>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</si>
  <si>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</si>
  <si>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</si>
  <si>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</si>
  <si>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</si>
  <si>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</si>
  <si>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</si>
  <si>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</si>
  <si>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</si>
  <si>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</si>
  <si>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</si>
  <si>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</si>
  <si>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</si>
  <si>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</si>
  <si>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</si>
  <si>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</si>
  <si>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</si>
  <si>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</si>
  <si>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</si>
  <si>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</si>
  <si>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</si>
  <si>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</si>
  <si>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</si>
  <si>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</si>
  <si>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</si>
  <si>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</si>
  <si>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</si>
  <si>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</si>
  <si>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</si>
  <si>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</si>
  <si>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</si>
  <si>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</si>
  <si>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</si>
  <si>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</si>
  <si>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</si>
  <si>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</si>
  <si>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</si>
  <si>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</si>
  <si>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</si>
  <si>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</si>
  <si>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</si>
  <si>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</si>
  <si>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</si>
  <si>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</si>
  <si>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</si>
  <si>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</si>
  <si>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</si>
  <si>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</si>
  <si>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</si>
  <si>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</si>
  <si>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</si>
  <si>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</si>
  <si>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</si>
  <si>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</si>
  <si>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</si>
  <si>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</si>
  <si>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</si>
  <si>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</si>
  <si>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</si>
  <si>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</si>
  <si>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</si>
  <si>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</si>
  <si>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</si>
  <si>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</si>
  <si>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</si>
  <si>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</si>
  <si>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</si>
  <si>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</si>
  <si>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</si>
  <si>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</si>
  <si>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</si>
  <si>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</si>
  <si>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</si>
  <si>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</si>
  <si>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</si>
  <si>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</si>
  <si>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</si>
  <si>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</si>
  <si>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</si>
  <si>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</si>
  <si>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</si>
  <si>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</si>
  <si>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</si>
  <si>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</si>
  <si>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</si>
  <si>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</si>
  <si>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</si>
  <si>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</si>
  <si>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</si>
  <si>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</si>
  <si>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</si>
  <si>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</si>
  <si>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</si>
  <si>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</si>
  <si>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</si>
  <si>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</si>
  <si>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</si>
  <si>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</si>
  <si>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</si>
  <si>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</si>
  <si>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</si>
  <si>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</si>
  <si>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</si>
  <si>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</si>
  <si>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</si>
  <si>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</si>
  <si>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</si>
  <si>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</si>
  <si>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</si>
  <si>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</si>
  <si>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</si>
  <si>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</si>
  <si>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</si>
  <si>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</si>
  <si>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</si>
  <si>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</si>
  <si>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</si>
  <si>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</si>
  <si>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</si>
  <si>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</si>
  <si>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</si>
  <si>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</si>
  <si>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</si>
  <si>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</si>
  <si>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</si>
  <si>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</si>
  <si>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</si>
  <si>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</si>
  <si>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</si>
  <si>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</si>
  <si>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</si>
  <si>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</si>
  <si>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</si>
  <si>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</si>
  <si>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</si>
  <si>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</si>
  <si>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</si>
  <si>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</si>
  <si>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</si>
  <si>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</si>
  <si>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</si>
  <si>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</si>
  <si>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</si>
  <si>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</si>
  <si>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</si>
  <si>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</si>
  <si>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</si>
  <si>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</si>
  <si>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</si>
  <si>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</si>
  <si>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</si>
  <si>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</si>
  <si>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</si>
  <si>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</si>
  <si>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</si>
  <si>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</si>
  <si>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</si>
  <si>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</si>
  <si>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</si>
  <si>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</si>
  <si>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</si>
  <si>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</si>
  <si>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</si>
  <si>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</si>
  <si>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</si>
  <si>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</si>
  <si>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</si>
  <si>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</si>
  <si>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</si>
  <si>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</si>
  <si>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</si>
  <si>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</si>
  <si>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</si>
  <si>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</si>
  <si>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</si>
  <si>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</si>
  <si>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</si>
  <si>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</si>
  <si>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</si>
  <si>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</si>
  <si>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</si>
  <si>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</si>
  <si>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</si>
  <si>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</si>
  <si>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</si>
  <si>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</si>
  <si>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</si>
  <si>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</si>
  <si>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</si>
  <si>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</si>
  <si>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</si>
  <si>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</si>
  <si>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</si>
  <si>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</si>
  <si>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</si>
  <si>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</si>
  <si>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</si>
  <si>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</si>
  <si>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</si>
  <si>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</si>
  <si>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</si>
  <si>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</si>
  <si>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</si>
  <si>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</si>
  <si>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</si>
  <si>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</si>
  <si>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</si>
  <si>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</si>
  <si>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</si>
  <si>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</si>
  <si>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</si>
  <si>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</si>
  <si>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</si>
  <si>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</si>
  <si>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</si>
  <si>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</si>
  <si>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</si>
  <si>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</si>
  <si>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</si>
  <si>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</si>
  <si>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</si>
  <si>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</si>
  <si>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</si>
  <si>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</si>
  <si>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</si>
  <si>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</si>
  <si>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</si>
  <si>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</si>
  <si>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</si>
  <si>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</si>
  <si>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</si>
  <si>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</si>
  <si>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</si>
  <si>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</si>
  <si>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</si>
  <si>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</si>
  <si>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</si>
  <si>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</si>
  <si>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</si>
  <si>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</si>
  <si>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</si>
  <si>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</si>
  <si>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</si>
  <si>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</si>
  <si>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</si>
  <si>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</si>
  <si>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</si>
  <si>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</si>
  <si>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</si>
  <si>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</si>
  <si>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</si>
  <si>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</si>
  <si>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</si>
  <si>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</si>
  <si>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</si>
  <si>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</si>
  <si>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</si>
  <si>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</si>
  <si>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</si>
  <si>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</si>
  <si>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</si>
  <si>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</si>
  <si>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</si>
  <si>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</si>
  <si>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</si>
  <si>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</si>
  <si>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</si>
  <si>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</si>
  <si>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</si>
  <si>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</si>
  <si>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</si>
  <si>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</si>
  <si>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</si>
  <si>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</si>
  <si>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</si>
  <si>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</si>
  <si>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</si>
  <si>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</si>
  <si>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</si>
  <si>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</si>
  <si>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</si>
  <si>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</si>
  <si>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</si>
  <si>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</si>
  <si>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</si>
  <si>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</si>
  <si>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</si>
  <si>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</si>
  <si>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</si>
  <si>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</si>
  <si>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</si>
  <si>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</si>
  <si>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</si>
  <si>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</si>
  <si>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</si>
  <si>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</si>
  <si>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</si>
  <si>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</si>
  <si>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</si>
  <si>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</si>
  <si>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</si>
  <si>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</si>
  <si>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</si>
  <si>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</si>
  <si>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</si>
  <si>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</si>
  <si>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</si>
  <si>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</si>
  <si>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</si>
  <si>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</si>
  <si>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</si>
  <si>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</si>
  <si>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</si>
  <si>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</si>
  <si>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</si>
  <si>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</si>
  <si>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</si>
  <si>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</si>
  <si>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</si>
  <si>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</si>
  <si>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</si>
  <si>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</si>
  <si>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</si>
  <si>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</si>
  <si>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</si>
  <si>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</si>
  <si>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</si>
  <si>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</si>
  <si>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</si>
  <si>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</si>
  <si>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</si>
  <si>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</si>
  <si>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</si>
  <si>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</si>
  <si>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</si>
  <si>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</si>
  <si>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</si>
  <si>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</si>
  <si>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</si>
  <si>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</si>
  <si>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</si>
  <si>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</si>
  <si>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</si>
  <si>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</si>
  <si>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</si>
  <si>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</si>
  <si>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</si>
  <si>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</si>
  <si>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</si>
  <si>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</si>
  <si>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</si>
  <si>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</si>
  <si>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</si>
  <si>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</si>
  <si>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</si>
  <si>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</si>
  <si>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</si>
  <si>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</si>
  <si>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</si>
  <si>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</si>
  <si>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</si>
  <si>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</si>
  <si>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</si>
  <si>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</si>
  <si>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</si>
  <si>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</si>
  <si>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</si>
  <si>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</si>
  <si>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</si>
  <si>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</si>
  <si>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</si>
  <si>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</si>
  <si>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</si>
  <si>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</si>
  <si>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</si>
  <si>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</si>
  <si>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</si>
  <si>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</si>
  <si>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</si>
  <si>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</si>
  <si>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</si>
  <si>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</si>
  <si>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</si>
  <si>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</si>
  <si>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</si>
  <si>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</si>
  <si>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</si>
  <si>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</si>
  <si>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</si>
  <si>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</si>
  <si>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</si>
  <si>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</si>
  <si>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</si>
  <si>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</si>
  <si>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</si>
  <si>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</si>
  <si>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</si>
  <si>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</si>
  <si>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</si>
  <si>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</si>
  <si>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</si>
  <si>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</si>
  <si>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</si>
  <si>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</si>
  <si>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</si>
  <si>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</si>
  <si>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</si>
  <si>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</si>
  <si>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</si>
  <si>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</si>
  <si>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</si>
  <si>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</si>
  <si>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</si>
  <si>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</si>
  <si>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</si>
  <si>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</si>
  <si>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</si>
  <si>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</si>
  <si>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</si>
  <si>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</si>
  <si>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</si>
  <si>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</si>
  <si>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</si>
  <si>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</si>
  <si>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</si>
  <si>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</si>
  <si>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</si>
  <si>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</si>
  <si>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</si>
  <si>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</si>
  <si>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</si>
  <si>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</si>
  <si>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</si>
  <si>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</si>
  <si>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</si>
  <si>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</si>
  <si>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</si>
  <si>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</si>
  <si>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</si>
  <si>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</si>
  <si>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</si>
  <si>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</si>
  <si>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</si>
  <si>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</si>
  <si>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</si>
  <si>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</si>
  <si>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</si>
  <si>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</si>
  <si>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</si>
  <si>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</si>
  <si>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</si>
  <si>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</si>
  <si>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</si>
  <si>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</si>
  <si>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</si>
  <si>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</si>
  <si>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</si>
  <si>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</si>
  <si>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</si>
  <si>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</si>
  <si>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</si>
  <si>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</si>
  <si>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</si>
  <si>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</si>
  <si>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</si>
  <si>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</si>
  <si>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</si>
  <si>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</si>
  <si>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</si>
  <si>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</si>
  <si>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</si>
  <si>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</si>
  <si>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</si>
  <si>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</si>
  <si>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</si>
  <si>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</si>
  <si>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</si>
  <si>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</si>
  <si>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</si>
  <si>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</si>
  <si>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</si>
  <si>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</si>
  <si>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</si>
  <si>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</si>
  <si>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</si>
  <si>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</si>
  <si>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</si>
  <si>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</si>
  <si>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</si>
  <si>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</si>
  <si>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</si>
  <si>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</si>
  <si>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</si>
  <si>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</si>
  <si>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</si>
  <si>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</si>
  <si>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</si>
  <si>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</si>
  <si>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</si>
  <si>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</si>
  <si>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</si>
  <si>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</si>
  <si>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</si>
  <si>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</si>
  <si>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</si>
  <si>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</si>
  <si>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</si>
  <si>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</si>
  <si>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</si>
  <si>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</si>
  <si>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</si>
  <si>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</si>
  <si>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</si>
  <si>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</si>
  <si>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</si>
  <si>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</si>
  <si>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</si>
  <si>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</si>
  <si>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</si>
  <si>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</si>
  <si>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</si>
  <si>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</si>
  <si>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</si>
  <si>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</si>
  <si>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</si>
  <si>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</si>
  <si>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</si>
  <si>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</si>
  <si>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</si>
  <si>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</si>
  <si>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</si>
  <si>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</si>
  <si>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</si>
  <si>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</si>
  <si>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</si>
  <si>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</si>
  <si>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</si>
  <si>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</si>
  <si>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</si>
  <si>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</si>
  <si>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</si>
  <si>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</si>
  <si>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</si>
  <si>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</si>
  <si>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</si>
  <si>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</si>
  <si>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</si>
  <si>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</si>
  <si>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</si>
  <si>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</si>
  <si>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</si>
  <si>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</si>
  <si>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</si>
  <si>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</si>
  <si>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</si>
  <si>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</si>
  <si>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</si>
  <si>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</si>
  <si>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</si>
  <si>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</si>
  <si>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</si>
  <si>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</si>
  <si>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</si>
  <si>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</si>
  <si>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</si>
  <si>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</si>
  <si>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</si>
  <si>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</si>
  <si>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</si>
  <si>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</si>
  <si>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</si>
  <si>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</si>
  <si>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</si>
  <si>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</si>
  <si>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</si>
  <si>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</si>
  <si>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</si>
  <si>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</si>
  <si>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</si>
  <si>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</si>
  <si>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</si>
  <si>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</si>
  <si>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</si>
  <si>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</si>
  <si>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</si>
  <si>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</si>
  <si>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</si>
  <si>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</si>
  <si>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</si>
  <si>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</si>
  <si>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</si>
  <si>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</si>
  <si>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</si>
  <si>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</si>
  <si>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</si>
  <si>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</si>
  <si>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</si>
  <si>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</si>
  <si>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</si>
  <si>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</si>
  <si>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</si>
  <si>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</si>
  <si>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</si>
  <si>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</si>
  <si>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</si>
  <si>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</si>
  <si>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</si>
  <si>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</si>
  <si>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</si>
  <si>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</si>
  <si>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</si>
  <si>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</si>
  <si>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</si>
  <si>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</si>
  <si>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</si>
  <si>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</si>
  <si>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</si>
  <si>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</si>
  <si>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</si>
  <si>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</si>
  <si>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</si>
  <si>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</si>
  <si>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</si>
  <si>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</si>
  <si>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</si>
  <si>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</si>
  <si>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</si>
  <si>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</si>
  <si>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</si>
  <si>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</si>
  <si>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</si>
  <si>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</si>
  <si>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</si>
  <si>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</si>
  <si>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</si>
  <si>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</si>
  <si>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</si>
  <si>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</si>
  <si>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</si>
  <si>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</si>
  <si>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</si>
  <si>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</si>
  <si>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</si>
  <si>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</si>
  <si>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</si>
  <si>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</si>
  <si>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</si>
  <si>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</si>
  <si>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</si>
  <si>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</si>
  <si>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</si>
  <si>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</si>
  <si>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</si>
  <si>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</si>
  <si>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</si>
  <si>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</si>
  <si>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</si>
  <si>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</si>
  <si>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</si>
  <si>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</si>
  <si>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</si>
  <si>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</si>
  <si>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</si>
  <si>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</si>
  <si>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</si>
  <si>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</si>
  <si>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</si>
  <si>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</si>
  <si>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</si>
  <si>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</si>
  <si>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</si>
  <si>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</si>
  <si>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</si>
  <si>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</si>
  <si>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</si>
  <si>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</si>
  <si>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</si>
  <si>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</si>
  <si>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</si>
  <si>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</si>
  <si>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</si>
  <si>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</si>
  <si>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</si>
  <si>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</si>
  <si>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</si>
  <si>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</si>
  <si>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</si>
  <si>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</si>
  <si>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</si>
  <si>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</si>
  <si>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</si>
  <si>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</si>
  <si>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</si>
  <si>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</si>
  <si>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</si>
  <si>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</si>
  <si>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</si>
  <si>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</si>
  <si>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</si>
  <si>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</si>
  <si>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</si>
  <si>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</si>
  <si>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</si>
  <si>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</si>
  <si>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</si>
  <si>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</si>
  <si>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</si>
  <si>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</si>
  <si>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</si>
  <si>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</si>
  <si>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</si>
  <si>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</si>
  <si>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</si>
  <si>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</si>
  <si>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</si>
  <si>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</si>
  <si>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</si>
  <si>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</si>
  <si>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</si>
  <si>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</si>
  <si>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</si>
  <si>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</si>
  <si>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</si>
  <si>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</si>
  <si>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</si>
  <si>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</si>
  <si>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</si>
  <si>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</si>
  <si>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</si>
  <si>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</si>
  <si>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</si>
  <si>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</si>
  <si>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</si>
  <si>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</si>
  <si>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</si>
  <si>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</si>
  <si>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</si>
  <si>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</si>
  <si>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</si>
  <si>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</si>
  <si>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</si>
  <si>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</si>
  <si>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</si>
  <si>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</si>
  <si>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</si>
  <si>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</si>
  <si>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</si>
  <si>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</si>
  <si>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</si>
  <si>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</si>
  <si>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</si>
  <si>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</si>
  <si>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</si>
  <si>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</si>
  <si>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</si>
  <si>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</si>
  <si>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</si>
  <si>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</si>
  <si>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</si>
  <si>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</si>
  <si>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</si>
  <si>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</si>
  <si>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</si>
  <si>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</si>
  <si>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</si>
  <si>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</si>
  <si>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</si>
  <si>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</si>
  <si>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</si>
  <si>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</si>
  <si>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</si>
  <si>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</si>
  <si>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</si>
  <si>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</si>
  <si>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</si>
  <si>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</si>
  <si>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</si>
  <si>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</si>
  <si>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</si>
  <si>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</si>
  <si>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</si>
  <si>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</si>
  <si>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</si>
  <si>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</si>
  <si>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</si>
  <si>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</si>
  <si>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</si>
  <si>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</si>
  <si>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</si>
  <si>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</si>
  <si>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</si>
  <si>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</si>
  <si>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</si>
  <si>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</si>
  <si>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</si>
  <si>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</si>
  <si>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</si>
  <si>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</si>
  <si>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</si>
  <si>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</si>
  <si>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</si>
  <si>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</si>
  <si>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</si>
  <si>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</si>
  <si>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</si>
  <si>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</si>
  <si>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</si>
  <si>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</si>
  <si>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</si>
  <si>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</si>
  <si>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</si>
  <si>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</si>
  <si>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</si>
  <si>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</si>
  <si>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</si>
  <si>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</si>
  <si>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</si>
  <si>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</si>
  <si>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</si>
  <si>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</si>
  <si>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</si>
  <si>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</si>
  <si>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</si>
  <si>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</si>
  <si>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</si>
  <si>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</si>
  <si>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</si>
  <si>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</si>
  <si>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</si>
  <si>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</si>
  <si>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</si>
  <si>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</si>
  <si>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</si>
  <si>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</si>
  <si>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</si>
  <si>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</si>
  <si>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</si>
  <si>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</si>
  <si>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</si>
  <si>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</si>
  <si>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</si>
  <si>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</si>
  <si>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</si>
  <si>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</si>
  <si>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</si>
  <si>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</si>
  <si>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</si>
  <si>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</si>
  <si>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</si>
  <si>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</si>
  <si>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</si>
  <si>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</si>
  <si>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</si>
  <si>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</si>
  <si>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</si>
  <si>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</si>
  <si>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</si>
  <si>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</si>
  <si>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</si>
  <si>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</si>
  <si>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</si>
  <si>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</si>
  <si>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</si>
  <si>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</si>
  <si>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</si>
  <si>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</si>
  <si>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</si>
  <si>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</si>
  <si>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</si>
  <si>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</si>
  <si>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</si>
  <si>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</si>
  <si>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</si>
  <si>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</si>
  <si>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</si>
  <si>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</si>
  <si>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</si>
  <si>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</si>
  <si>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</si>
  <si>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</si>
  <si>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</si>
  <si>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</si>
  <si>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</si>
  <si>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</si>
  <si>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</si>
  <si>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</si>
  <si>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</si>
  <si>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</si>
  <si>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</si>
  <si>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</si>
  <si>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</si>
  <si>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</si>
  <si>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</si>
  <si>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</si>
  <si>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</si>
  <si>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</si>
  <si>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</si>
  <si>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</si>
  <si>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</si>
  <si>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</si>
  <si>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</si>
  <si>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</si>
  <si>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</si>
  <si>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</si>
  <si>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</si>
  <si>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</si>
  <si>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</si>
  <si>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</si>
  <si>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</si>
  <si>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</si>
  <si>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</si>
  <si>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</si>
  <si>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</si>
  <si>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</si>
  <si>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</si>
  <si>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</si>
  <si>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</si>
  <si>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</si>
  <si>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</si>
  <si>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</si>
  <si>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</si>
  <si>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</si>
  <si>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</si>
  <si>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</si>
  <si>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</si>
  <si>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</si>
  <si>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</si>
  <si>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</si>
  <si>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</si>
  <si>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</si>
  <si>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</si>
  <si>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</si>
  <si>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</si>
  <si>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</si>
  <si>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</si>
  <si>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</si>
  <si>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</si>
  <si>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</si>
  <si>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</si>
  <si>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</si>
  <si>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</si>
  <si>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</si>
  <si>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</si>
  <si>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</si>
  <si>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</si>
  <si>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</si>
  <si>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</si>
  <si>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</si>
  <si>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</si>
  <si>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</si>
  <si>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</si>
  <si>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</si>
  <si>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</si>
  <si>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</si>
  <si>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</si>
  <si>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</si>
  <si>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</si>
  <si>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</si>
  <si>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</si>
  <si>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</si>
  <si>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</si>
  <si>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</si>
  <si>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</si>
  <si>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</si>
  <si>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</si>
  <si>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</si>
  <si>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</si>
  <si>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</si>
  <si>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</si>
  <si>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</si>
  <si>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</si>
  <si>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</si>
  <si>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</si>
  <si>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</si>
  <si>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</si>
  <si>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</si>
  <si>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</si>
  <si>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</si>
  <si>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</si>
  <si>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</si>
  <si>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</si>
  <si>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</si>
  <si>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</si>
  <si>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</si>
  <si>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</si>
  <si>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</si>
  <si>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</si>
  <si>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</si>
  <si>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</si>
  <si>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</si>
  <si>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</si>
  <si>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</si>
  <si>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</si>
  <si>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</si>
  <si>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</si>
  <si>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</si>
  <si>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</si>
  <si>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</si>
  <si>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</si>
  <si>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</si>
  <si>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</si>
  <si>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</si>
  <si>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</si>
  <si>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</si>
  <si>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</si>
  <si>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</si>
  <si>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</si>
  <si>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</si>
  <si>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</si>
  <si>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</si>
  <si>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</si>
  <si>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</si>
  <si>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</si>
  <si>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</si>
  <si>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</si>
  <si>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</si>
  <si>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</si>
  <si>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</si>
  <si>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</si>
  <si>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</si>
  <si>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</si>
  <si>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</si>
  <si>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</si>
  <si>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</si>
  <si>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</si>
  <si>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</si>
  <si>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</si>
  <si>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</si>
  <si>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</si>
  <si>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</si>
  <si>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</si>
  <si>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</si>
  <si>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</si>
  <si>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</si>
  <si>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</si>
  <si>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</si>
  <si>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</si>
  <si>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</si>
  <si>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</si>
  <si>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</si>
  <si>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</si>
  <si>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</si>
  <si>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</si>
  <si>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</si>
  <si>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</si>
  <si>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</si>
  <si>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</si>
  <si>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</si>
  <si>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</si>
  <si>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</si>
  <si>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</si>
  <si>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</si>
  <si>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</si>
  <si>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</si>
  <si>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</si>
  <si>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</si>
  <si>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</si>
  <si>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</si>
  <si>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</si>
  <si>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</si>
  <si>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</si>
  <si>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</si>
  <si>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</si>
  <si>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</si>
  <si>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</si>
  <si>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</si>
  <si>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</si>
  <si>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</si>
  <si>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</si>
  <si>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</si>
  <si>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</si>
  <si>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</si>
  <si>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</si>
  <si>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</si>
  <si>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</si>
  <si>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</si>
  <si>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</si>
  <si>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</si>
  <si>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</si>
  <si>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</si>
  <si>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</si>
  <si>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</si>
  <si>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</si>
  <si>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</si>
  <si>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</si>
  <si>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</si>
  <si>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</si>
  <si>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</si>
  <si>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</si>
  <si>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</si>
  <si>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</si>
  <si>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</si>
  <si>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</si>
  <si>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</si>
  <si>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</si>
  <si>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</si>
  <si>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</si>
  <si>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</si>
  <si>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</si>
  <si>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</si>
  <si>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</si>
  <si>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</si>
  <si>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</si>
  <si>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</si>
  <si>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</si>
  <si>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</si>
  <si>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</si>
  <si>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</si>
  <si>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</si>
  <si>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</si>
  <si>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</si>
  <si>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</si>
  <si>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</si>
  <si>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</si>
  <si>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</si>
  <si>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</si>
  <si>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</si>
  <si>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</si>
  <si>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</si>
  <si>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</si>
  <si>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</si>
  <si>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</si>
  <si>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</si>
  <si>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</si>
  <si>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</si>
  <si>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</si>
  <si>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</si>
  <si>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</si>
  <si>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</si>
  <si>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</si>
  <si>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</si>
  <si>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</si>
  <si>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</si>
  <si>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</si>
  <si>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</si>
  <si>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</si>
  <si>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</si>
  <si>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</si>
  <si>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</si>
  <si>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</si>
  <si>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</si>
  <si>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</si>
  <si>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</si>
  <si>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</si>
  <si>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</si>
  <si>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</si>
  <si>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</si>
  <si>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</si>
  <si>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</si>
  <si>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</si>
  <si>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</si>
  <si>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</si>
  <si>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</si>
  <si>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</si>
  <si>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</si>
  <si>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</si>
  <si>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</si>
  <si>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</si>
  <si>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</si>
  <si>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</si>
  <si>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</si>
  <si>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</si>
  <si>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</si>
  <si>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</si>
  <si>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</si>
  <si>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</si>
  <si>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</si>
  <si>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</si>
  <si>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</si>
  <si>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</si>
  <si>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</si>
  <si>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</si>
  <si>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</si>
  <si>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</si>
  <si>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</si>
  <si>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</si>
  <si>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</si>
  <si>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</si>
  <si>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</si>
  <si>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</si>
  <si>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</si>
  <si>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</si>
  <si>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</si>
  <si>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</si>
  <si>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</si>
  <si>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</si>
  <si>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</si>
  <si>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</si>
  <si>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</si>
  <si>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</si>
  <si>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</si>
  <si>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</si>
  <si>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</si>
  <si>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</si>
  <si>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</si>
  <si>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</si>
  <si>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</si>
  <si>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</si>
  <si>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</si>
  <si>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</si>
  <si>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</si>
  <si>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</si>
  <si>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</si>
  <si>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</si>
  <si>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</si>
  <si>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</si>
  <si>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</si>
  <si>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</si>
  <si>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</si>
  <si>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</si>
  <si>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</si>
  <si>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</si>
  <si>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</si>
  <si>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</si>
  <si>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</si>
  <si>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</si>
  <si>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</si>
  <si>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</si>
  <si>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</si>
  <si>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</si>
  <si>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</si>
  <si>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</si>
  <si>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</si>
  <si>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</si>
  <si>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</si>
  <si>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</si>
  <si>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</si>
  <si>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</si>
  <si>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</si>
  <si>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</si>
  <si>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</si>
  <si>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</si>
  <si>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</si>
  <si>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</si>
  <si>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</si>
  <si>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</si>
  <si>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</si>
  <si>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</si>
  <si>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</si>
  <si>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</si>
  <si>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</si>
  <si>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</si>
  <si>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</si>
  <si>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</si>
  <si>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</si>
  <si>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</si>
  <si>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</si>
  <si>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</si>
  <si>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</si>
  <si>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</si>
  <si>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</si>
  <si>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</si>
  <si>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</si>
  <si>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</si>
  <si>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</si>
  <si>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</si>
  <si>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</si>
  <si>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</si>
  <si>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</si>
  <si>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</si>
  <si>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</si>
  <si>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</si>
  <si>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</si>
  <si>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</si>
  <si>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</si>
  <si>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</si>
  <si>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</si>
  <si>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</si>
  <si>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</si>
  <si>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</si>
  <si>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</si>
  <si>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</si>
  <si>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</si>
  <si>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</si>
  <si>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</si>
  <si>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</si>
  <si>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</si>
  <si>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</si>
  <si>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</si>
  <si>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</si>
  <si>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</si>
  <si>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</si>
  <si>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</si>
  <si>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</si>
  <si>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</si>
  <si>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</si>
  <si>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</si>
  <si>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</si>
  <si>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</si>
  <si>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</si>
  <si>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</si>
  <si>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</si>
  <si>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</si>
  <si>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</si>
  <si>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</si>
  <si>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</si>
  <si>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</si>
  <si>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</si>
  <si>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</si>
  <si>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</si>
  <si>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</si>
  <si>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</si>
  <si>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</si>
  <si>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</si>
  <si>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</si>
  <si>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</si>
  <si>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</si>
  <si>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</si>
  <si>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</si>
  <si>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</si>
  <si>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</si>
  <si>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</si>
  <si>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</si>
  <si>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</si>
  <si>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</si>
  <si>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</si>
  <si>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</si>
  <si>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</si>
  <si>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</si>
  <si>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</si>
  <si>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</si>
  <si>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</si>
  <si>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</si>
  <si>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</si>
  <si>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</si>
  <si>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</si>
  <si>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</si>
  <si>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</si>
  <si>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</si>
  <si>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</si>
  <si>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</si>
  <si>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</si>
  <si>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</si>
  <si>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</si>
  <si>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</si>
  <si>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</si>
  <si>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</si>
  <si>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</si>
  <si>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</si>
  <si>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</si>
  <si>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</si>
  <si>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</si>
  <si>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</si>
  <si>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</si>
  <si>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</si>
  <si>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</si>
  <si>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</si>
  <si>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</si>
  <si>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</si>
  <si>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</si>
  <si>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</si>
  <si>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</si>
  <si>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</si>
  <si>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</si>
  <si>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</si>
  <si>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</si>
  <si>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</si>
  <si>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</si>
  <si>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</si>
  <si>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</si>
  <si>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</si>
  <si>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</si>
  <si>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</si>
  <si>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</si>
  <si>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</si>
  <si>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</si>
  <si>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</si>
  <si>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</si>
  <si>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</si>
  <si>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</si>
  <si>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</si>
  <si>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</si>
  <si>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</si>
  <si>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</si>
  <si>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</si>
  <si>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</si>
  <si>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</si>
  <si>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</si>
  <si>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</si>
  <si>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</si>
  <si>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</si>
  <si>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</si>
  <si>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</si>
  <si>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</si>
  <si>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</si>
  <si>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</si>
  <si>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</si>
  <si>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</si>
  <si>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</si>
  <si>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</si>
  <si>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</si>
  <si>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</si>
  <si>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</si>
  <si>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</si>
  <si>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</si>
  <si>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</si>
  <si>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</si>
  <si>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</si>
  <si>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</si>
  <si>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</si>
  <si>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</si>
  <si>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</si>
  <si>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</si>
  <si>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</si>
  <si>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</si>
  <si>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</si>
  <si>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</si>
  <si>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</si>
  <si>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</si>
  <si>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</si>
  <si>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</si>
  <si>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</si>
  <si>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</si>
  <si>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</si>
  <si>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</si>
  <si>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</si>
  <si>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</si>
  <si>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</si>
  <si>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</si>
  <si>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</si>
  <si>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</si>
  <si>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</si>
  <si>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</si>
  <si>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</si>
  <si>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</si>
  <si>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</si>
  <si>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</si>
  <si>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</si>
  <si>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</si>
  <si>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</si>
  <si>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</si>
  <si>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</si>
  <si>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</si>
  <si>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</si>
  <si>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</si>
  <si>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</si>
  <si>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</si>
  <si>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</si>
  <si>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</si>
  <si>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</si>
  <si>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</si>
  <si>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</si>
  <si>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</si>
  <si>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</si>
  <si>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</si>
  <si>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</si>
  <si>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</si>
  <si>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</si>
  <si>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</si>
  <si>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</si>
  <si>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</si>
  <si>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</si>
  <si>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</si>
  <si>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</si>
  <si>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</si>
  <si>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</si>
  <si>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</si>
  <si>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</si>
  <si>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</si>
  <si>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</si>
  <si>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</si>
  <si>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</si>
  <si>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</si>
  <si>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</si>
  <si>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</si>
  <si>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</si>
  <si>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</si>
  <si>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</si>
  <si>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</si>
  <si>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</si>
  <si>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</si>
  <si>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</si>
  <si>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</si>
  <si>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</si>
  <si>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</si>
  <si>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</si>
  <si>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</si>
  <si>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</si>
  <si>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</si>
  <si>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</si>
  <si>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</si>
  <si>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</si>
  <si>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</si>
  <si>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</si>
  <si>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</si>
  <si>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</si>
  <si>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</si>
  <si>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</si>
  <si>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</si>
  <si>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</si>
  <si>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</si>
  <si>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</si>
  <si>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</si>
  <si>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</si>
  <si>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</si>
  <si>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</si>
  <si>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</si>
  <si>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</si>
  <si>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</si>
  <si>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</si>
  <si>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</si>
  <si>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</si>
  <si>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</si>
  <si>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</si>
  <si>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</si>
  <si>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</si>
  <si>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</si>
  <si>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</si>
  <si>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</si>
  <si>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</si>
  <si>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</si>
  <si>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</si>
  <si>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</si>
  <si>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</si>
  <si>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</si>
  <si>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</si>
  <si>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</si>
  <si>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</si>
  <si>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</si>
  <si>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</si>
  <si>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</si>
  <si>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</si>
  <si>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</si>
  <si>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</si>
  <si>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</si>
  <si>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</si>
  <si>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</si>
  <si>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</si>
  <si>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</si>
  <si>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</si>
  <si>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</si>
  <si>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</si>
  <si>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</si>
  <si>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</si>
  <si>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</si>
  <si>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</si>
  <si>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</si>
  <si>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</si>
  <si>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</si>
  <si>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</si>
  <si>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</si>
  <si>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</si>
  <si>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</si>
  <si>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</si>
  <si>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</si>
  <si>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</si>
  <si>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</si>
  <si>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</si>
  <si>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</si>
  <si>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</si>
  <si>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</si>
  <si>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</si>
  <si>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</si>
  <si>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</si>
  <si>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</si>
  <si>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</si>
  <si>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</si>
  <si>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</si>
  <si>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</si>
  <si>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</si>
  <si>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</si>
  <si>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</si>
  <si>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</si>
  <si>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</si>
  <si>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</si>
  <si>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</si>
  <si>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</si>
  <si>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</si>
  <si>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</si>
  <si>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</si>
  <si>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</si>
  <si>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</si>
  <si>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</si>
  <si>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</si>
  <si>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</si>
  <si>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</si>
  <si>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</si>
  <si>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</si>
  <si>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</si>
  <si>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</si>
  <si>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</si>
  <si>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</si>
  <si>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</si>
  <si>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</si>
  <si>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</si>
  <si>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</si>
  <si>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</si>
  <si>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</si>
  <si>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</si>
  <si>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</si>
  <si>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</si>
  <si>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</si>
  <si>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</si>
  <si>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</si>
  <si>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</si>
  <si>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</si>
  <si>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</si>
  <si>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</si>
  <si>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</si>
  <si>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</si>
  <si>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</si>
  <si>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</si>
  <si>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</si>
  <si>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</si>
  <si>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</si>
  <si>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</si>
  <si>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</si>
  <si>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</si>
  <si>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</si>
  <si>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</si>
  <si>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</si>
  <si>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</si>
  <si>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</si>
  <si>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</si>
  <si>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</si>
  <si>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</si>
  <si>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</si>
  <si>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</si>
  <si>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</si>
  <si>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</si>
  <si>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</si>
  <si>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</si>
  <si>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</si>
  <si>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</si>
  <si>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</si>
  <si>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</si>
  <si>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</si>
  <si>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</si>
  <si>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</si>
  <si>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</si>
  <si>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</si>
  <si>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</si>
  <si>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</si>
  <si>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</si>
  <si>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</si>
  <si>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</si>
  <si>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</si>
  <si>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</si>
  <si>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</si>
  <si>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</si>
  <si>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</si>
  <si>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</si>
  <si>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</si>
  <si>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</si>
  <si>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</si>
  <si>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</si>
  <si>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</si>
  <si>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</si>
  <si>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</si>
  <si>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</si>
  <si>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</si>
  <si>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</si>
  <si>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</si>
  <si>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</si>
  <si>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</si>
  <si>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</si>
  <si>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</si>
  <si>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</si>
  <si>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</si>
  <si>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</si>
  <si>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</si>
  <si>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</si>
  <si>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</si>
  <si>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</si>
  <si>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</si>
  <si>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</si>
  <si>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</si>
  <si>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</si>
  <si>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</si>
  <si>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</si>
  <si>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</si>
  <si>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</si>
  <si>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</si>
  <si>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</si>
  <si>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</si>
  <si>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</si>
  <si>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</si>
  <si>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</si>
  <si>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</si>
  <si>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</si>
  <si>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</si>
  <si>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</si>
  <si>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A206</t>
  </si>
  <si>
    <t>Majewski</t>
  </si>
  <si>
    <t>F221</t>
  </si>
  <si>
    <t>Weiss</t>
  </si>
  <si>
    <t>charge</t>
  </si>
  <si>
    <t>lg</t>
  </si>
  <si>
    <t>D360</t>
  </si>
  <si>
    <t>Janinski</t>
  </si>
  <si>
    <t>C414</t>
  </si>
  <si>
    <t>Sallins</t>
  </si>
  <si>
    <t>A204</t>
  </si>
  <si>
    <t>Kuczek</t>
  </si>
  <si>
    <t>A105</t>
  </si>
  <si>
    <t>Socash</t>
  </si>
  <si>
    <t>B109</t>
  </si>
  <si>
    <t>D358</t>
  </si>
  <si>
    <t>Gold</t>
  </si>
  <si>
    <t>F110</t>
  </si>
  <si>
    <t>Ruiz/Rodriquez</t>
  </si>
  <si>
    <t>C212</t>
  </si>
  <si>
    <t>US bank</t>
  </si>
  <si>
    <t>Tract Search 4/22/18</t>
  </si>
  <si>
    <t>Court Appearance/Forcible Entry</t>
  </si>
  <si>
    <t>Judicial Sale Copy 4/26/13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</si>
</sst>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13" sqref="K1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41425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256.11</v>
      </c>
      <c r="H3" s="32" t="s">
        <v>8213</v>
      </c>
      <c r="I3" s="33" t="str">
        <f t="shared" ref="I3:I66" si="1">IF(ISERROR(VLOOKUP(H3,table,2,0)),"INVALID",VLOOKUP(H3,table,2,0))</f>
        <v>8520-5</v>
      </c>
      <c r="J3" s="43" t="str">
        <f t="shared" ref="J3:J66" si="2">IF(ISERROR(VLOOKUP(H3,table,3,0)),"",VLOOKUP(H3,table,3,0))</f>
        <v>Legal Fees-Attorneys</v>
      </c>
      <c r="K3" s="34" t="s">
        <v>45035</v>
      </c>
      <c r="L3" s="52"/>
      <c r="M3" s="52"/>
      <c r="N3" s="84">
        <f ca="1">TODAY()</f>
        <v>41425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41425</v>
      </c>
      <c r="B4" s="44" t="str">
        <f t="shared" ref="B4:B31" si="5">IF(C4="","",B3)</f>
        <v>0554</v>
      </c>
      <c r="C4" s="23" t="s">
        <v>45016</v>
      </c>
      <c r="D4" s="60" t="str">
        <f t="shared" si="0"/>
        <v>01</v>
      </c>
      <c r="E4" s="45" t="s">
        <v>45017</v>
      </c>
      <c r="F4" s="31" t="s">
        <v>45018</v>
      </c>
      <c r="G4" s="56">
        <v>256.11</v>
      </c>
      <c r="H4" s="21" t="s">
        <v>45019</v>
      </c>
      <c r="I4" s="24" t="str">
        <f t="shared" si="1"/>
        <v>8520-5</v>
      </c>
      <c r="J4" s="46" t="str">
        <f t="shared" si="2"/>
        <v>Legal Fees-Attorneys</v>
      </c>
      <c r="K4" s="25" t="s">
        <v>45035</v>
      </c>
      <c r="L4" s="52"/>
      <c r="M4" s="52"/>
      <c r="N4" s="84">
        <f ca="1">N3+60</f>
        <v>41485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>
        <f t="shared" si="4"/>
        <v>41425</v>
      </c>
      <c r="B5" s="44" t="str">
        <f t="shared" si="5"/>
        <v>0554</v>
      </c>
      <c r="C5" s="22" t="s">
        <v>45020</v>
      </c>
      <c r="D5" s="60" t="str">
        <f t="shared" si="0"/>
        <v>01</v>
      </c>
      <c r="E5" s="45" t="s">
        <v>45021</v>
      </c>
      <c r="F5" s="31" t="s">
        <v>45018</v>
      </c>
      <c r="G5" s="56">
        <v>256.11</v>
      </c>
      <c r="H5" s="21" t="s">
        <v>8213</v>
      </c>
      <c r="I5" s="24" t="str">
        <f t="shared" si="1"/>
        <v>8520-5</v>
      </c>
      <c r="J5" s="46" t="str">
        <f t="shared" si="2"/>
        <v>Legal Fees-Attorneys</v>
      </c>
      <c r="K5" s="25" t="s">
        <v>45035</v>
      </c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01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>
        <f t="shared" si="4"/>
        <v>41425</v>
      </c>
      <c r="B6" s="44" t="str">
        <f t="shared" si="5"/>
        <v>0554</v>
      </c>
      <c r="C6" s="22" t="s">
        <v>45022</v>
      </c>
      <c r="D6" s="60" t="str">
        <f t="shared" si="0"/>
        <v>01</v>
      </c>
      <c r="E6" s="45" t="s">
        <v>45023</v>
      </c>
      <c r="F6" s="31" t="s">
        <v>45018</v>
      </c>
      <c r="G6" s="56">
        <v>256.11</v>
      </c>
      <c r="H6" s="21" t="s">
        <v>8213</v>
      </c>
      <c r="I6" s="24" t="str">
        <f t="shared" si="1"/>
        <v>8520-5</v>
      </c>
      <c r="J6" s="46" t="str">
        <f t="shared" si="2"/>
        <v>Legal Fees-Attorneys</v>
      </c>
      <c r="K6" s="25" t="s">
        <v>45035</v>
      </c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01</v>
      </c>
      <c r="BB6" s="54">
        <f t="shared" si="7"/>
        <v>1</v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>
        <f t="shared" si="4"/>
        <v>41425</v>
      </c>
      <c r="B7" s="44" t="str">
        <f t="shared" si="5"/>
        <v>0554</v>
      </c>
      <c r="C7" s="22" t="s">
        <v>45024</v>
      </c>
      <c r="D7" s="60" t="str">
        <f t="shared" si="0"/>
        <v>01</v>
      </c>
      <c r="E7" s="45" t="s">
        <v>45025</v>
      </c>
      <c r="F7" s="31" t="s">
        <v>45018</v>
      </c>
      <c r="G7" s="56">
        <v>256.11</v>
      </c>
      <c r="H7" s="21" t="s">
        <v>8213</v>
      </c>
      <c r="I7" s="24" t="str">
        <f t="shared" si="1"/>
        <v>8520-5</v>
      </c>
      <c r="J7" s="46" t="str">
        <f t="shared" si="2"/>
        <v>Legal Fees-Attorneys</v>
      </c>
      <c r="K7" s="25" t="s">
        <v>45035</v>
      </c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01</v>
      </c>
      <c r="BB7" s="54">
        <f t="shared" si="7"/>
        <v>1</v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>
        <f t="shared" si="4"/>
        <v>41425</v>
      </c>
      <c r="B8" s="44" t="str">
        <f t="shared" si="5"/>
        <v>0554</v>
      </c>
      <c r="C8" s="22" t="s">
        <v>45026</v>
      </c>
      <c r="D8" s="60" t="str">
        <f t="shared" si="0"/>
        <v>01</v>
      </c>
      <c r="E8" s="45" t="s">
        <v>45027</v>
      </c>
      <c r="F8" s="31" t="s">
        <v>45018</v>
      </c>
      <c r="G8" s="56">
        <v>256.11</v>
      </c>
      <c r="H8" s="21" t="s">
        <v>8213</v>
      </c>
      <c r="I8" s="24" t="str">
        <f t="shared" si="1"/>
        <v>8520-5</v>
      </c>
      <c r="J8" s="46" t="str">
        <f t="shared" si="2"/>
        <v>Legal Fees-Attorneys</v>
      </c>
      <c r="K8" s="25" t="s">
        <v>45035</v>
      </c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01</v>
      </c>
      <c r="BB8" s="54">
        <f t="shared" si="7"/>
        <v>1</v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>
        <f t="shared" si="4"/>
        <v>41425</v>
      </c>
      <c r="B9" s="44" t="str">
        <f t="shared" si="5"/>
        <v>0554</v>
      </c>
      <c r="C9" s="22" t="s">
        <v>45028</v>
      </c>
      <c r="D9" s="60" t="str">
        <f t="shared" si="0"/>
        <v>01</v>
      </c>
      <c r="E9" s="45" t="s">
        <v>45017</v>
      </c>
      <c r="F9" s="31" t="s">
        <v>45018</v>
      </c>
      <c r="G9" s="56">
        <v>256.11</v>
      </c>
      <c r="H9" s="21" t="s">
        <v>8213</v>
      </c>
      <c r="I9" s="24" t="str">
        <f t="shared" si="1"/>
        <v>8520-5</v>
      </c>
      <c r="J9" s="46" t="str">
        <f t="shared" si="2"/>
        <v>Legal Fees-Attorneys</v>
      </c>
      <c r="K9" s="25" t="s">
        <v>45035</v>
      </c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01</v>
      </c>
      <c r="BB9" s="54">
        <f t="shared" si="7"/>
        <v>1</v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>
        <f t="shared" si="4"/>
        <v>41425</v>
      </c>
      <c r="B10" s="44" t="str">
        <f t="shared" si="5"/>
        <v>0554</v>
      </c>
      <c r="C10" s="22" t="s">
        <v>45029</v>
      </c>
      <c r="D10" s="60" t="str">
        <f t="shared" si="0"/>
        <v>01</v>
      </c>
      <c r="E10" s="45" t="s">
        <v>45030</v>
      </c>
      <c r="F10" s="31" t="s">
        <v>45018</v>
      </c>
      <c r="G10" s="56">
        <v>256.11</v>
      </c>
      <c r="H10" s="21" t="s">
        <v>8213</v>
      </c>
      <c r="I10" s="24" t="str">
        <f t="shared" si="1"/>
        <v>8520-5</v>
      </c>
      <c r="J10" s="46" t="str">
        <f t="shared" si="2"/>
        <v>Legal Fees-Attorneys</v>
      </c>
      <c r="K10" s="25" t="s">
        <v>45035</v>
      </c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01</v>
      </c>
      <c r="BB10" s="54">
        <f t="shared" si="7"/>
        <v>1</v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>
        <f t="shared" si="4"/>
        <v>41425</v>
      </c>
      <c r="B11" s="44" t="str">
        <f t="shared" si="5"/>
        <v>0554</v>
      </c>
      <c r="C11" s="22" t="s">
        <v>45031</v>
      </c>
      <c r="D11" s="60" t="str">
        <f t="shared" si="0"/>
        <v>01</v>
      </c>
      <c r="E11" s="45" t="s">
        <v>45032</v>
      </c>
      <c r="F11" s="31" t="s">
        <v>45018</v>
      </c>
      <c r="G11" s="56">
        <v>1124.75</v>
      </c>
      <c r="H11" s="21" t="s">
        <v>8213</v>
      </c>
      <c r="I11" s="24" t="str">
        <f t="shared" si="1"/>
        <v>8520-5</v>
      </c>
      <c r="J11" s="46" t="str">
        <f t="shared" si="2"/>
        <v>Legal Fees-Attorneys</v>
      </c>
      <c r="K11" s="25" t="s">
        <v>45036</v>
      </c>
      <c r="L11" s="52"/>
      <c r="M11" s="52"/>
      <c r="N11" s="52"/>
      <c r="O11" s="52" t="s">
        <v>37888</v>
      </c>
      <c r="P11" s="52" t="str">
        <f t="shared" si="6"/>
        <v>Charge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01</v>
      </c>
      <c r="BB11" s="54">
        <f t="shared" si="7"/>
        <v>1</v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>
        <f t="shared" si="4"/>
        <v>41425</v>
      </c>
      <c r="B12" s="44" t="str">
        <f t="shared" si="5"/>
        <v>0554</v>
      </c>
      <c r="C12" s="22" t="s">
        <v>45033</v>
      </c>
      <c r="D12" s="60" t="str">
        <f t="shared" si="0"/>
        <v>02</v>
      </c>
      <c r="E12" s="45" t="s">
        <v>45034</v>
      </c>
      <c r="F12" s="31" t="s">
        <v>45018</v>
      </c>
      <c r="G12" s="56">
        <v>2.5</v>
      </c>
      <c r="H12" s="21" t="s">
        <v>8213</v>
      </c>
      <c r="I12" s="24" t="str">
        <f t="shared" si="1"/>
        <v>8520-5</v>
      </c>
      <c r="J12" s="46" t="str">
        <f t="shared" si="2"/>
        <v>Legal Fees-Attorneys</v>
      </c>
      <c r="K12" s="25" t="s">
        <v>45037</v>
      </c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02</v>
      </c>
      <c r="BB12" s="54">
        <f t="shared" si="7"/>
        <v>1</v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11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49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A206</v>
      </c>
      <c r="C2" s="3" t="str">
        <f>'Billing Adjustment'!D3</f>
        <v>01</v>
      </c>
      <c r="D2" t="str">
        <f>'Billing Adjustment'!H3</f>
        <v>LG</v>
      </c>
      <c r="E2" s="59">
        <f>IF('Billing Adjustment'!A3="","",'Billing Adjustment'!A3)</f>
        <v>41425</v>
      </c>
      <c r="F2" s="12" t="str">
        <f>'Billing Adjustment'!K3</f>
        <v>Tract Search 4/22/18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256.11</v>
      </c>
    </row>
    <row r="3" spans="1:8" x14ac:dyDescent="0.2">
      <c r="A3" t="str">
        <f>"00-"&amp;'Billing Adjustment'!B4</f>
        <v>00-0554</v>
      </c>
      <c r="B3" s="3" t="str">
        <f>'Billing Adjustment'!C4</f>
        <v>F221</v>
      </c>
      <c r="C3" s="3" t="str">
        <f>'Billing Adjustment'!D4</f>
        <v>01</v>
      </c>
      <c r="D3" t="str">
        <f>'Billing Adjustment'!H4</f>
        <v>lg</v>
      </c>
      <c r="E3" s="59">
        <f>'Billing Adjustment'!A4</f>
        <v>41425</v>
      </c>
      <c r="F3" s="12" t="str">
        <f>'Billing Adjustment'!K4</f>
        <v>Tract Search 4/22/18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256.11</v>
      </c>
    </row>
    <row r="4" spans="1:8" x14ac:dyDescent="0.2">
      <c r="A4" t="str">
        <f>"00-"&amp;'Billing Adjustment'!B5</f>
        <v>00-0554</v>
      </c>
      <c r="B4" s="3" t="str">
        <f>'Billing Adjustment'!C5</f>
        <v>D360</v>
      </c>
      <c r="C4" s="3" t="str">
        <f>'Billing Adjustment'!D5</f>
        <v>01</v>
      </c>
      <c r="D4" t="str">
        <f>'Billing Adjustment'!H5</f>
        <v>LG</v>
      </c>
      <c r="E4" s="59">
        <f>'Billing Adjustment'!A5</f>
        <v>41425</v>
      </c>
      <c r="F4" s="12" t="str">
        <f>'Billing Adjustment'!K5</f>
        <v>Tract Search 4/22/18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256.11</v>
      </c>
    </row>
    <row r="5" spans="1:8" x14ac:dyDescent="0.2">
      <c r="A5" t="str">
        <f>"00-"&amp;'Billing Adjustment'!B6</f>
        <v>00-0554</v>
      </c>
      <c r="B5" s="3" t="str">
        <f>'Billing Adjustment'!C6</f>
        <v>C414</v>
      </c>
      <c r="C5" s="3" t="str">
        <f>'Billing Adjustment'!D6</f>
        <v>01</v>
      </c>
      <c r="D5" t="str">
        <f>'Billing Adjustment'!H6</f>
        <v>LG</v>
      </c>
      <c r="E5" s="59">
        <f>'Billing Adjustment'!A6</f>
        <v>41425</v>
      </c>
      <c r="F5" s="12" t="str">
        <f>'Billing Adjustment'!K6</f>
        <v>Tract Search 4/22/18</v>
      </c>
      <c r="G5" t="str">
        <f t="shared" si="0"/>
        <v>CR</v>
      </c>
      <c r="H5" s="9">
        <f>IF('Billing Adjustment'!F6="Charge",'Billing Adjustment'!G6,IF('Billing Adjustment'!F6="Credit",-'Billing Adjustment'!G6,"Error"))</f>
        <v>256.11</v>
      </c>
    </row>
    <row r="6" spans="1:8" x14ac:dyDescent="0.2">
      <c r="A6" t="str">
        <f>"00-"&amp;'Billing Adjustment'!B7</f>
        <v>00-0554</v>
      </c>
      <c r="B6" s="3" t="str">
        <f>'Billing Adjustment'!C7</f>
        <v>A204</v>
      </c>
      <c r="C6" s="3" t="str">
        <f>'Billing Adjustment'!D7</f>
        <v>01</v>
      </c>
      <c r="D6" t="str">
        <f>'Billing Adjustment'!H7</f>
        <v>LG</v>
      </c>
      <c r="E6" s="59">
        <f>'Billing Adjustment'!A7</f>
        <v>41425</v>
      </c>
      <c r="F6" s="12" t="str">
        <f>'Billing Adjustment'!K7</f>
        <v>Tract Search 4/22/18</v>
      </c>
      <c r="G6" t="str">
        <f t="shared" si="0"/>
        <v>CR</v>
      </c>
      <c r="H6" s="9">
        <f>IF('Billing Adjustment'!F7="Charge",'Billing Adjustment'!G7,IF('Billing Adjustment'!F7="Credit",-'Billing Adjustment'!G7,"Error"))</f>
        <v>256.11</v>
      </c>
    </row>
    <row r="7" spans="1:8" x14ac:dyDescent="0.2">
      <c r="A7" t="str">
        <f>"00-"&amp;'Billing Adjustment'!B8</f>
        <v>00-0554</v>
      </c>
      <c r="B7" s="3" t="str">
        <f>'Billing Adjustment'!C8</f>
        <v>A105</v>
      </c>
      <c r="C7" s="3" t="str">
        <f>'Billing Adjustment'!D8</f>
        <v>01</v>
      </c>
      <c r="D7" t="str">
        <f>'Billing Adjustment'!H8</f>
        <v>LG</v>
      </c>
      <c r="E7" s="59">
        <f>'Billing Adjustment'!A8</f>
        <v>41425</v>
      </c>
      <c r="F7" s="12" t="str">
        <f>'Billing Adjustment'!K8</f>
        <v>Tract Search 4/22/18</v>
      </c>
      <c r="G7" t="str">
        <f t="shared" si="0"/>
        <v>CR</v>
      </c>
      <c r="H7" s="9">
        <f>IF('Billing Adjustment'!F8="Charge",'Billing Adjustment'!G8,IF('Billing Adjustment'!F8="Credit",-'Billing Adjustment'!G8,"Error"))</f>
        <v>256.11</v>
      </c>
    </row>
    <row r="8" spans="1:8" x14ac:dyDescent="0.2">
      <c r="A8" t="str">
        <f>"00-"&amp;'Billing Adjustment'!B9</f>
        <v>00-0554</v>
      </c>
      <c r="B8" s="3" t="str">
        <f>'Billing Adjustment'!C9</f>
        <v>B109</v>
      </c>
      <c r="C8" s="3" t="str">
        <f>'Billing Adjustment'!D9</f>
        <v>01</v>
      </c>
      <c r="D8" t="str">
        <f>'Billing Adjustment'!H9</f>
        <v>LG</v>
      </c>
      <c r="E8" s="59">
        <f>'Billing Adjustment'!A9</f>
        <v>41425</v>
      </c>
      <c r="F8" s="12" t="str">
        <f>'Billing Adjustment'!K9</f>
        <v>Tract Search 4/22/18</v>
      </c>
      <c r="G8" t="str">
        <f t="shared" si="0"/>
        <v>CR</v>
      </c>
      <c r="H8" s="9">
        <f>IF('Billing Adjustment'!F9="Charge",'Billing Adjustment'!G9,IF('Billing Adjustment'!F9="Credit",-'Billing Adjustment'!G9,"Error"))</f>
        <v>256.11</v>
      </c>
    </row>
    <row r="9" spans="1:8" x14ac:dyDescent="0.2">
      <c r="A9" t="str">
        <f>"00-"&amp;'Billing Adjustment'!B10</f>
        <v>00-0554</v>
      </c>
      <c r="B9" s="3" t="str">
        <f>'Billing Adjustment'!C10</f>
        <v>D358</v>
      </c>
      <c r="C9" s="3" t="str">
        <f>'Billing Adjustment'!D10</f>
        <v>01</v>
      </c>
      <c r="D9" t="str">
        <f>'Billing Adjustment'!H10</f>
        <v>LG</v>
      </c>
      <c r="E9" s="59">
        <f>'Billing Adjustment'!A10</f>
        <v>41425</v>
      </c>
      <c r="F9" s="12" t="str">
        <f>'Billing Adjustment'!K10</f>
        <v>Tract Search 4/22/18</v>
      </c>
      <c r="G9" t="str">
        <f t="shared" si="0"/>
        <v>CR</v>
      </c>
      <c r="H9" s="9">
        <f>IF('Billing Adjustment'!F10="Charge",'Billing Adjustment'!G10,IF('Billing Adjustment'!F10="Credit",-'Billing Adjustment'!G10,"Error"))</f>
        <v>256.11</v>
      </c>
    </row>
    <row r="10" spans="1:8" x14ac:dyDescent="0.2">
      <c r="A10" t="str">
        <f>"00-"&amp;'Billing Adjustment'!B11</f>
        <v>00-0554</v>
      </c>
      <c r="B10" s="3" t="str">
        <f>'Billing Adjustment'!C11</f>
        <v>F110</v>
      </c>
      <c r="C10" s="3" t="str">
        <f>'Billing Adjustment'!D11</f>
        <v>01</v>
      </c>
      <c r="D10" t="str">
        <f>'Billing Adjustment'!H11</f>
        <v>LG</v>
      </c>
      <c r="E10" s="59">
        <f>'Billing Adjustment'!A11</f>
        <v>41425</v>
      </c>
      <c r="F10" s="12" t="str">
        <f>'Billing Adjustment'!K11</f>
        <v>Court Appearance/Forcible Entry</v>
      </c>
      <c r="G10" t="str">
        <f t="shared" si="0"/>
        <v>CR</v>
      </c>
      <c r="H10" s="9">
        <f>IF('Billing Adjustment'!F11="Charge",'Billing Adjustment'!G11,IF('Billing Adjustment'!F11="Credit",-'Billing Adjustment'!G11,"Error"))</f>
        <v>1124.75</v>
      </c>
    </row>
    <row r="11" spans="1:8" x14ac:dyDescent="0.2">
      <c r="A11" t="str">
        <f>"00-"&amp;'Billing Adjustment'!B12</f>
        <v>00-0554</v>
      </c>
      <c r="B11" s="3" t="str">
        <f>'Billing Adjustment'!C12</f>
        <v>C212</v>
      </c>
      <c r="C11" s="3" t="str">
        <f>'Billing Adjustment'!D12</f>
        <v>02</v>
      </c>
      <c r="D11" t="str">
        <f>'Billing Adjustment'!H12</f>
        <v>LG</v>
      </c>
      <c r="E11" s="59">
        <f>'Billing Adjustment'!A12</f>
        <v>41425</v>
      </c>
      <c r="F11" s="12" t="str">
        <f>'Billing Adjustment'!K12</f>
        <v>Judicial Sale Copy 4/26/13</v>
      </c>
      <c r="G11" t="str">
        <f t="shared" si="0"/>
        <v>CR</v>
      </c>
      <c r="H11" s="9">
        <f>IF('Billing Adjustment'!F12="Charge",'Billing Adjustment'!G12,IF('Billing Adjustment'!F12="Credit",-'Billing Adjustment'!G12,"Error"))</f>
        <v>2.5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2013-05-31T19:17:51Z</dcterms:modified>
</cp:coreProperties>
</file>